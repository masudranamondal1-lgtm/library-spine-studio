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tings" sheetId="2" state="visible" r:id="rId2"/>
    <sheet name="Lookup_Codes" sheetId="3" state="visible" r:id="rId3"/>
    <sheet name="Catalog" sheetId="4" state="visible" r:id="rId4"/>
    <sheet name="Digital_Catalog" sheetId="5" state="visible" r:id="rId5"/>
    <sheet name="Archive" sheetId="6" state="visible" r:id="rId6"/>
    <sheet name="Circulation" sheetId="7" state="visible" r:id="rId7"/>
    <sheet name="Members" sheetId="8" state="visible" r:id="rId8"/>
    <sheet name="Spine_Labels" sheetId="9" state="visible" r:id="rId9"/>
    <sheet name="Dublin_Core" sheetId="10" state="visible" r:id="rId10"/>
    <sheet name="Data_Quality" sheetId="11" state="visible" r:id="rId11"/>
    <sheet name="Dashboard" sheetId="12" state="visible" r:id="rId12"/>
    <sheet name="JSON_Export" sheetId="13" state="visible" r:id="rId13"/>
  </sheets>
  <definedNames>
    <definedName name="LibraryName">Settings!$B$4</definedName>
    <definedName name="CollectionName">Settings!$B$5</definedName>
    <definedName name="DefaultLang">Settings!$B$6</definedName>
    <definedName name="LoanPeriod">Settings!$B$7</definedName>
    <definedName name="AccPrefix">Settings!$B$8</definedName>
    <definedName name="AuthorCodeLen">Settings!$B$9</definedName>
    <definedName name="ResourceTypeList">Lookup_Codes!$A$2:$A$40</definedName>
    <definedName name="GenreList">Lookup_Codes!$B$2:$B$15</definedName>
    <definedName name="LanguageList">Lookup_Codes!$C$2:$C$10</definedName>
    <definedName name="FormatList">Lookup_Codes!$D$2:$D$40</definedName>
    <definedName name="OCRStatusList">Lookup_Codes!$E$2:$E$10</definedName>
    <definedName name="ConditionList">Lookup_Codes!$F$2:$F$10</definedName>
    <definedName name="CirculationList">Lookup_Codes!$G$2:$G$10</definedName>
    <definedName name="LocationTypeList">Lookup_Codes!$H$2:$H$12</definedName>
    <definedName name="AccessLevelList">Lookup_Codes!$I$2:$I$10</definedName>
    <definedName name="RightsList">Lookup_Codes!$J$2:$J$10</definedName>
    <definedName name="AcqTypeList">Lookup_Codes!$K$2:$K$10</definedName>
    <definedName name="FrequencyList">Lookup_Codes!$L$2:$L$12</definedName>
    <definedName name="DigitisationList">Lookup_Codes!$M$2:$M$10</definedName>
    <definedName name="PhysDigiList">Lookup_Codes!$N$2:$N$5</definedName>
    <definedName name="MembershipList">Lookup_Codes!$O$2:$O$10</definedName>
    <definedName name="MemberStatusList">Lookup_Codes!$P$2:$P$6</definedName>
    <definedName name="ReadingStatusList">Lookup_Codes!$Q$2:$Q$6</definedName>
    <definedName name="PreservationList">Lookup_Codes!$R$2:$R$6</definedName>
    <definedName name="CollectionList">Lookup_Codes!$S$2:$S$18</definedName>
    <definedName name="MediaTypeList">Lookup_Codes!$T$2:$T$8</definedName>
    <definedName name="_xlnm._FilterDatabase" localSheetId="3" hidden="1">'Catalog'!$A$1:$AG$501</definedName>
    <definedName name="_xlnm._FilterDatabase" localSheetId="4" hidden="1">'Digital_Catalog'!$A$1:$AA$501</definedName>
    <definedName name="_xlnm._FilterDatabase" localSheetId="5" hidden="1">'Archive'!$A$1:$AB$201</definedName>
    <definedName name="_xlnm._FilterDatabase" localSheetId="6" hidden="1">'Circulation'!$A$1:$I$501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Garamond"/>
      <b val="1"/>
      <color rgb="00483D8B"/>
      <sz val="22"/>
    </font>
    <font>
      <name val="Baskerville Old Face"/>
      <b val="1"/>
      <color rgb="00FFFFFF"/>
      <sz val="11"/>
    </font>
    <font>
      <name val="Book Antiqua"/>
      <b val="1"/>
      <color rgb="00483D8B"/>
      <sz val="12"/>
    </font>
    <font>
      <name val="Book Antiqua"/>
      <color rgb="002F4F4F"/>
      <sz val="12"/>
    </font>
    <font>
      <name val="Book Antiqua"/>
      <i val="1"/>
      <color rgb="00CD853F"/>
      <sz val="10"/>
    </font>
    <font>
      <name val="Courier New"/>
      <color rgb="00483D8B"/>
      <sz val="12"/>
    </font>
    <font>
      <name val="Courier New"/>
      <color rgb="002F4F4F"/>
      <sz val="12"/>
    </font>
    <font>
      <name val="Courier New"/>
      <b val="1"/>
      <color rgb="00483D8B"/>
      <sz val="12"/>
    </font>
    <font>
      <name val="Garamond"/>
      <b val="1"/>
      <color rgb="00483D8B"/>
      <sz val="16"/>
    </font>
    <font>
      <name val="Courier New"/>
      <b val="1"/>
      <color rgb="00FFFFFF"/>
      <sz val="10"/>
    </font>
    <font>
      <name val="Book Antiqua"/>
      <b val="1"/>
      <color rgb="002F4F4F"/>
      <sz val="12"/>
    </font>
    <font>
      <name val="Courier New"/>
      <color rgb="002F4F4F"/>
      <sz val="10"/>
    </font>
    <font>
      <name val="Book Antiqua"/>
      <color rgb="002F4F4F"/>
      <sz val="10"/>
    </font>
    <font>
      <name val="Book Antiqua"/>
      <color rgb="00A52A2A"/>
      <sz val="10"/>
    </font>
    <font>
      <name val="Baskerville Old Face"/>
      <b val="1"/>
      <color rgb="00A52A2A"/>
      <sz val="13"/>
    </font>
    <font>
      <name val="Baskerville Old Face"/>
      <b val="1"/>
      <color rgb="00FFFFFF"/>
      <sz val="13"/>
    </font>
    <font>
      <name val="Courier New"/>
      <color rgb="00483D8B"/>
      <sz val="10"/>
    </font>
    <font>
      <name val="Baskerville Old Face"/>
      <b val="1"/>
      <color rgb="00483D8B"/>
      <sz val="13"/>
    </font>
  </fonts>
  <fills count="8">
    <fill>
      <patternFill/>
    </fill>
    <fill>
      <patternFill patternType="gray125"/>
    </fill>
    <fill>
      <patternFill patternType="solid">
        <fgColor rgb="00483D8B"/>
      </patternFill>
    </fill>
    <fill>
      <patternFill patternType="solid">
        <fgColor rgb="00A52A2A"/>
      </patternFill>
    </fill>
    <fill>
      <patternFill patternType="solid">
        <fgColor rgb="00E6E6FA"/>
      </patternFill>
    </fill>
    <fill>
      <patternFill patternType="solid">
        <fgColor rgb="00FFF8E7"/>
      </patternFill>
    </fill>
    <fill>
      <patternFill patternType="solid">
        <fgColor rgb="00E6F2F2"/>
      </patternFill>
    </fill>
    <fill>
      <patternFill patternType="solid">
        <fgColor rgb="007FFFD4"/>
      </patternFill>
    </fill>
  </fills>
  <borders count="3">
    <border>
      <left/>
      <right/>
      <top/>
      <bottom/>
      <diagonal/>
    </border>
    <border>
      <left style="thin">
        <color rgb="00B8B8C8"/>
      </left>
      <right style="thin">
        <color rgb="00B8B8C8"/>
      </right>
      <top style="thin">
        <color rgb="00B8B8C8"/>
      </top>
      <bottom style="medium">
        <color rgb="00483D8B"/>
      </bottom>
    </border>
    <border>
      <left style="thin">
        <color rgb="00B8B8C8"/>
      </left>
      <right style="thin">
        <color rgb="00B8B8C8"/>
      </right>
      <top style="thin">
        <color rgb="00B8B8C8"/>
      </top>
      <bottom style="thin">
        <color rgb="00B8B8C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pivotButton="0" quotePrefix="0" xfId="0"/>
    <xf numFmtId="0" fontId="4" fillId="5" borderId="2" applyAlignment="1" applyProtection="1" pivotButton="0" quotePrefix="0" xfId="0">
      <alignment vertical="center" wrapText="1"/>
      <protection locked="0" hidden="0"/>
    </xf>
    <xf numFmtId="0" fontId="5" fillId="0" borderId="2" applyAlignment="1" pivotButton="0" quotePrefix="0" xfId="0">
      <alignment vertical="center" wrapText="1"/>
    </xf>
    <xf numFmtId="0" fontId="4" fillId="5" borderId="0" pivotButton="0" quotePrefix="0" xfId="0"/>
    <xf numFmtId="0" fontId="4" fillId="0" borderId="0" pivotButton="0" quotePrefix="0" xfId="0"/>
    <xf numFmtId="0" fontId="6" fillId="6" borderId="2" applyAlignment="1" pivotButton="0" quotePrefix="0" xfId="0">
      <alignment vertical="center" wrapText="1"/>
    </xf>
    <xf numFmtId="0" fontId="7" fillId="5" borderId="2" applyAlignment="1" applyProtection="1" pivotButton="0" quotePrefix="0" xfId="0">
      <alignment vertical="center" wrapText="1"/>
      <protection locked="0" hidden="0"/>
    </xf>
    <xf numFmtId="0" fontId="4" fillId="6" borderId="2" applyAlignment="1" pivotButton="0" quotePrefix="0" xfId="0">
      <alignment vertical="center" wrapText="1"/>
    </xf>
    <xf numFmtId="0" fontId="8" fillId="0" borderId="2" pivotButton="0" quotePrefix="0" xfId="0"/>
    <xf numFmtId="0" fontId="4" fillId="0" borderId="2" pivotButton="0" quotePrefix="0" xfId="0"/>
    <xf numFmtId="0" fontId="9" fillId="0" borderId="0" pivotButton="0" quotePrefix="0" xfId="0"/>
    <xf numFmtId="0" fontId="10" fillId="2" borderId="2" applyAlignment="1" pivotButton="0" quotePrefix="0" xfId="0">
      <alignment horizontal="center" vertical="center" wrapText="1"/>
    </xf>
    <xf numFmtId="0" fontId="11" fillId="4" borderId="2" pivotButton="0" quotePrefix="0" xfId="0"/>
    <xf numFmtId="0" fontId="8" fillId="7" borderId="2" applyAlignment="1" pivotButton="0" quotePrefix="0" xfId="0">
      <alignment horizontal="right" vertical="center"/>
    </xf>
    <xf numFmtId="0" fontId="11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" borderId="0" applyAlignment="1" pivotButton="0" quotePrefix="0" xfId="0">
      <alignment horizontal="left" vertical="center" indent="1"/>
    </xf>
    <xf numFmtId="0" fontId="16" fillId="3" borderId="0" applyAlignment="1" pivotButton="0" quotePrefix="0" xfId="0">
      <alignment horizontal="left" vertical="center" indent="1"/>
    </xf>
    <xf numFmtId="0" fontId="4" fillId="5" borderId="2" pivotButton="0" quotePrefix="0" xfId="0"/>
    <xf numFmtId="0" fontId="5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4E1"/>
        </patternFill>
      </fill>
    </dxf>
    <dxf>
      <fill>
        <patternFill patternType="solid">
          <fgColor rgb="00FFFA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69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 ht="36" customHeight="1">
      <c r="B1" s="1" t="inlineStr">
        <is>
          <t>Personal Library Manager &amp; Digital Archive</t>
        </is>
      </c>
    </row>
    <row r="2" ht="24" customHeight="1">
      <c r="B2" s="2" t="inlineStr">
        <is>
          <t>Version 2.1 — Excel Application</t>
        </is>
      </c>
    </row>
    <row r="3" ht="26" customHeight="1">
      <c r="B3" s="3" t="inlineStr">
        <is>
          <t>The Excel workbook is the primary structured-data and metadata layer. The web application is a separate presentation and printing layer.</t>
        </is>
      </c>
    </row>
    <row r="4" ht="24" customHeight="1">
      <c r="B4" s="4" t="inlineStr">
        <is>
          <t>Quick Start</t>
        </is>
      </c>
    </row>
    <row r="5" ht="26" customHeight="1">
      <c r="B5" s="3" t="inlineStr">
        <is>
          <t>1. Open Settings and set your library name, loan period, and defaults.</t>
        </is>
      </c>
    </row>
    <row r="6" ht="26" customHeight="1">
      <c r="B6" s="3" t="inlineStr">
        <is>
          <t>2. Use Catalog for physical books, magazines, and journals. Yellow cells are editable; pale-aqua cells auto-generate.</t>
        </is>
      </c>
    </row>
    <row r="7" ht="26" customHeight="1">
      <c r="B7" s="3" t="inlineStr">
        <is>
          <t>3. Use Digital_Catalog for PDFs, images, audio, video, datasets, and other digital resources.</t>
        </is>
      </c>
    </row>
    <row r="8" ht="26" customHeight="1">
      <c r="B8" s="3" t="inlineStr">
        <is>
          <t>4. Use Archive for manuscripts, photographs, sound recordings, videos, sculptures, textiles, mementos, and other objects.</t>
        </is>
      </c>
    </row>
    <row r="9" ht="26" customHeight="1">
      <c r="B9" s="3" t="inlineStr">
        <is>
          <t>5. Record loans in Circulation. The Catalog's Circulation Status updates automatically.</t>
        </is>
      </c>
    </row>
    <row r="10" ht="26" customHeight="1">
      <c r="B10" s="3" t="inlineStr">
        <is>
          <t>6. Monitor Dashboard and Data_Quality for completeness and problems.</t>
        </is>
      </c>
    </row>
    <row r="11" ht="24" customHeight="1">
      <c r="B11" s="4" t="inlineStr">
        <is>
          <t>Worksheet Guide</t>
        </is>
      </c>
    </row>
    <row r="12" ht="26" customHeight="1">
      <c r="B12" s="3" t="inlineStr">
        <is>
          <t>README          — this page</t>
        </is>
      </c>
    </row>
    <row r="13" ht="26" customHeight="1">
      <c r="B13" s="3" t="inlineStr">
        <is>
          <t>Dashboard       — collection, metadata, reading, circulation, archive metrics</t>
        </is>
      </c>
    </row>
    <row r="14" ht="26" customHeight="1">
      <c r="B14" s="3" t="inlineStr">
        <is>
          <t>Catalog         — physical books, magazines, journals, printed materials</t>
        </is>
      </c>
    </row>
    <row r="15" ht="26" customHeight="1">
      <c r="B15" s="3" t="inlineStr">
        <is>
          <t>Digital_Catalog — digital resources of all formats</t>
        </is>
      </c>
    </row>
    <row r="16" ht="26" customHeight="1">
      <c r="B16" s="3" t="inlineStr">
        <is>
          <t>Archive         — archival objects, both physical and digital</t>
        </is>
      </c>
    </row>
    <row r="17" ht="26" customHeight="1">
      <c r="B17" s="3" t="inlineStr">
        <is>
          <t>Circulation     — loans, borrowers, due dates, returns</t>
        </is>
      </c>
    </row>
    <row r="18" ht="26" customHeight="1">
      <c r="B18" s="3" t="inlineStr">
        <is>
          <t>Members         — borrower registry</t>
        </is>
      </c>
    </row>
    <row r="19" ht="26" customHeight="1">
      <c r="B19" s="3" t="inlineStr">
        <is>
          <t>Spine_Labels    — derived label data for printing</t>
        </is>
      </c>
    </row>
    <row r="20" ht="26" customHeight="1">
      <c r="B20" s="3" t="inlineStr">
        <is>
          <t>Dublin_Core     — metadata mapping and export view</t>
        </is>
      </c>
    </row>
    <row r="21" ht="26" customHeight="1">
      <c r="B21" s="3" t="inlineStr">
        <is>
          <t>Lookup_Codes    — controlled vocabularies for dropdowns</t>
        </is>
      </c>
    </row>
    <row r="22" ht="26" customHeight="1">
      <c r="B22" s="3" t="inlineStr">
        <is>
          <t>Data_Quality    — validation and completeness checks</t>
        </is>
      </c>
    </row>
    <row r="23" ht="26" customHeight="1">
      <c r="B23" s="3" t="inlineStr">
        <is>
          <t>Settings        — configurable parameters</t>
        </is>
      </c>
    </row>
    <row r="24" ht="26" customHeight="1">
      <c r="B24" s="3" t="inlineStr">
        <is>
          <t>JSON_Export     — flattened view for JSON conversion</t>
        </is>
      </c>
    </row>
    <row r="25" ht="24" customHeight="1">
      <c r="B25" s="4" t="inlineStr">
        <is>
          <t>Typography</t>
        </is>
      </c>
    </row>
    <row r="26" ht="26" customHeight="1">
      <c r="B26" s="3" t="inlineStr">
        <is>
          <t>Titles       — Garamond</t>
        </is>
      </c>
    </row>
    <row r="27" ht="26" customHeight="1">
      <c r="B27" s="3" t="inlineStr">
        <is>
          <t>Section headers — Baskerville Old Face</t>
        </is>
      </c>
    </row>
    <row r="28" ht="26" customHeight="1">
      <c r="B28" s="3" t="inlineStr">
        <is>
          <t>Body text    — Book Antiqua (Caslon substitute)</t>
        </is>
      </c>
    </row>
    <row r="29" ht="26" customHeight="1">
      <c r="B29" s="3" t="inlineStr">
        <is>
          <t>Call numbers, IDs — Courier New</t>
        </is>
      </c>
    </row>
    <row r="30" ht="24" customHeight="1">
      <c r="B30" s="4" t="inlineStr">
        <is>
          <t>Colour System</t>
        </is>
      </c>
    </row>
    <row r="31" ht="26" customHeight="1">
      <c r="B31" s="3" t="inlineStr">
        <is>
          <t>DarkSlateBlue (#483D8B) — primary headers, generated values</t>
        </is>
      </c>
    </row>
    <row r="32" ht="26" customHeight="1">
      <c r="B32" s="3" t="inlineStr">
        <is>
          <t>Brown (#A52A2A)         — secondary headers, alternates</t>
        </is>
      </c>
    </row>
    <row r="33" ht="26" customHeight="1">
      <c r="B33" s="3" t="inlineStr">
        <is>
          <t>Aquamarine (#7FFFD4)    — metric values, highlights</t>
        </is>
      </c>
    </row>
    <row r="34" ht="26" customHeight="1">
      <c r="B34" s="3" t="inlineStr">
        <is>
          <t>Cream (#FFF8E7)         — editable cells</t>
        </is>
      </c>
    </row>
    <row r="35" ht="26" customHeight="1">
      <c r="B35" s="3" t="inlineStr">
        <is>
          <t>Lavender (#E6E6FA)      — label backgrounds</t>
        </is>
      </c>
    </row>
    <row r="36" ht="24" customHeight="1">
      <c r="B36" s="4" t="inlineStr">
        <is>
          <t>Author Code Logic</t>
        </is>
      </c>
    </row>
    <row r="37" ht="26" customHeight="1">
      <c r="B37" s="3" t="inlineStr">
        <is>
          <t>Author Code is derived from the last word of the Creator field. 'Rabindranath Tagore' → TAG. Bengali and other Unicode scripts are preserved.</t>
        </is>
      </c>
    </row>
    <row r="38" ht="26" customHeight="1">
      <c r="B38" s="3" t="inlineStr">
        <is>
          <t>Use Author Code Override to supply a manual code; it takes precedence.</t>
        </is>
      </c>
    </row>
    <row r="39" ht="24" customHeight="1">
      <c r="B39" s="4" t="inlineStr">
        <is>
          <t>Call Number System</t>
        </is>
      </c>
    </row>
    <row r="40" ht="26" customHeight="1">
      <c r="B40" s="3" t="inlineStr">
        <is>
          <t>Format: TYPE-GENRE-AUTHORCODE-ITEM-VOLUME. Example: FIC-LIT-TAG-001-Vol1.</t>
        </is>
      </c>
    </row>
    <row r="41" ht="26" customHeight="1">
      <c r="B41" s="3" t="inlineStr">
        <is>
          <t>This is the project's own identifier scheme. It is not Dewey, LC, or Cutter.</t>
        </is>
      </c>
    </row>
    <row r="42" ht="24" customHeight="1">
      <c r="B42" s="4" t="inlineStr">
        <is>
          <t>Location System</t>
        </is>
      </c>
    </row>
    <row r="43" ht="26" customHeight="1">
      <c r="B43" s="3" t="inlineStr">
        <is>
          <t>Location Type is controlled (Shelf, Magazine Rack, Journal Rack, Archive, Cabinet, Box, Display Case, Wall, Floor, Other).</t>
        </is>
      </c>
    </row>
    <row r="44" ht="26" customHeight="1">
      <c r="B44" s="3" t="inlineStr">
        <is>
          <t>Location Identifier is free text (A1, A2, MR1, JR1, ARCH-01, BOX-07).</t>
        </is>
      </c>
    </row>
    <row r="45" ht="24" customHeight="1">
      <c r="B45" s="4" t="inlineStr">
        <is>
          <t>Archive Sheet — Extended Fields</t>
        </is>
      </c>
    </row>
    <row r="46" ht="26" customHeight="1">
      <c r="B46" s="3" t="inlineStr">
        <is>
          <t>Collection         — Books, Manuscripts, Photographs, Audio, Video, Mementos, Sculptures, Paintings, Textiles, Coins &amp; Medals, Ephemera, Newspapers, Maps, Furniture, Other</t>
        </is>
      </c>
    </row>
    <row r="47" ht="26" customHeight="1">
      <c r="B47" s="3" t="inlineStr">
        <is>
          <t>Dimensions         — physical size, e.g. '24 × 18 cm' or '12 × 8 × 3 in'</t>
        </is>
      </c>
    </row>
    <row r="48" ht="26" customHeight="1">
      <c r="B48" s="3" t="inlineStr">
        <is>
          <t>Material           — e.g. 'paper, ink', 'oil on canvas', 'brass'</t>
        </is>
      </c>
    </row>
    <row r="49" ht="26" customHeight="1">
      <c r="B49" s="3" t="inlineStr">
        <is>
          <t>Place              — geographic origin</t>
        </is>
      </c>
    </row>
    <row r="50" ht="26" customHeight="1">
      <c r="B50" s="3" t="inlineStr">
        <is>
          <t>Subject / Keywords — comma-separated tags</t>
        </is>
      </c>
    </row>
    <row r="51" ht="26" customHeight="1">
      <c r="B51" s="3" t="inlineStr">
        <is>
          <t>Digital File Name  — e.g. 'manuscript_1890_scan.tif'</t>
        </is>
      </c>
    </row>
    <row r="52" ht="26" customHeight="1">
      <c r="B52" s="3" t="inlineStr">
        <is>
          <t>Public Link        — Google Drive, Dropbox, or any public URL</t>
        </is>
      </c>
    </row>
    <row r="53" ht="26" customHeight="1">
      <c r="B53" s="3" t="inlineStr">
        <is>
          <t>Media Preview      — auto-generated hyperlink</t>
        </is>
      </c>
    </row>
    <row r="54" ht="24" customHeight="1">
      <c r="B54" s="4" t="inlineStr">
        <is>
          <t>Dublin Core</t>
        </is>
      </c>
    </row>
    <row r="55" ht="26" customHeight="1">
      <c r="B55" s="3" t="inlineStr">
        <is>
          <t>Dublin Core is the primary metadata framework. See the Dublin_Core sheet.</t>
        </is>
      </c>
    </row>
    <row r="56" ht="26" customHeight="1">
      <c r="B56" s="3" t="inlineStr">
        <is>
          <t>Project-specific fields are documented as application extensions.</t>
        </is>
      </c>
    </row>
    <row r="57" ht="24" customHeight="1">
      <c r="B57" s="4" t="inlineStr">
        <is>
          <t>Interoperability</t>
        </is>
      </c>
    </row>
    <row r="58" ht="26" customHeight="1">
      <c r="B58" s="3" t="inlineStr">
        <is>
          <t>CSV — every data sheet exports cleanly with UTF-8 encoding.</t>
        </is>
      </c>
    </row>
    <row r="59" ht="26" customHeight="1">
      <c r="B59" s="3" t="inlineStr">
        <is>
          <t>JSON — see JSON_Export sheet.</t>
        </is>
      </c>
    </row>
    <row r="60" ht="26" customHeight="1">
      <c r="B60" s="3" t="inlineStr">
        <is>
          <t>TEI — catalog preserves structured fields suitable for TEI transformation.</t>
        </is>
      </c>
    </row>
    <row r="61" ht="26" customHeight="1">
      <c r="B61" s="3" t="inlineStr">
        <is>
          <t>Bibliographic APIs — ISBN, ISSN, DOI, OCLC fields ready to receive enrichment.</t>
        </is>
      </c>
    </row>
    <row r="62" ht="24" customHeight="1">
      <c r="B62" s="4" t="inlineStr">
        <is>
          <t>Protection</t>
        </is>
      </c>
    </row>
    <row r="63" ht="26" customHeight="1">
      <c r="B63" s="3" t="inlineStr">
        <is>
          <t>Generated columns are locked. Input columns are editable.</t>
        </is>
      </c>
    </row>
    <row r="64" ht="26" customHeight="1">
      <c r="B64" s="3" t="inlineStr">
        <is>
          <t>Sheet protection password: 'library'. Change in Settings if desired.</t>
        </is>
      </c>
    </row>
    <row r="65" ht="24" customHeight="1">
      <c r="B65" s="4" t="inlineStr">
        <is>
          <t>Important Notes</t>
        </is>
      </c>
    </row>
    <row r="66" ht="26" customHeight="1">
      <c r="B66" s="3" t="inlineStr">
        <is>
          <t>• Accession Number is the permanent identifier. Item ID is internal.</t>
        </is>
      </c>
    </row>
    <row r="67" ht="26" customHeight="1">
      <c r="B67" s="3" t="inlineStr">
        <is>
          <t>• Do not sort the Catalog sheet by columns other than Item ID — Call Number formulas reference row position. Use AutoFilter instead.</t>
        </is>
      </c>
    </row>
    <row r="68" ht="26" customHeight="1">
      <c r="B68" s="3" t="inlineStr">
        <is>
          <t>• Open the workbook in Excel and press Ctrl+S before uploading to the web app so formula values are cached.</t>
        </is>
      </c>
    </row>
    <row r="69" ht="26" customHeight="1">
      <c r="B69" s="3" t="inlineStr">
        <is>
          <t>• No VBA macros are used. Compatible with Microsoft Excel, Google Sheets, and LibreOffice Calc.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55" customWidth="1" min="3" max="3"/>
  </cols>
  <sheetData>
    <row r="1" ht="32" customHeight="1">
      <c r="A1" s="5" t="inlineStr">
        <is>
          <t>SETTINGS — Personal Library Manager</t>
        </is>
      </c>
    </row>
    <row r="3">
      <c r="A3" s="6" t="inlineStr">
        <is>
          <t>Setting</t>
        </is>
      </c>
      <c r="B3" s="6" t="inlineStr">
        <is>
          <t>Value</t>
        </is>
      </c>
      <c r="C3" s="7" t="inlineStr">
        <is>
          <t>Purpose</t>
        </is>
      </c>
    </row>
    <row r="4">
      <c r="A4" s="8" t="inlineStr">
        <is>
          <t>Library Name</t>
        </is>
      </c>
      <c r="B4" s="9" t="inlineStr">
        <is>
          <t>Personal Library</t>
        </is>
      </c>
      <c r="C4" s="10" t="inlineStr">
        <is>
          <t>Display name of the library</t>
        </is>
      </c>
    </row>
    <row r="5">
      <c r="A5" s="8" t="inlineStr">
        <is>
          <t>Collection Name</t>
        </is>
      </c>
      <c r="B5" s="9" t="inlineStr">
        <is>
          <t>Main Collection</t>
        </is>
      </c>
      <c r="C5" s="10" t="inlineStr">
        <is>
          <t>Name of the primary collection</t>
        </is>
      </c>
    </row>
    <row r="6">
      <c r="A6" s="8" t="inlineStr">
        <is>
          <t>Default Language</t>
        </is>
      </c>
      <c r="B6" s="9" t="inlineStr">
        <is>
          <t>English</t>
        </is>
      </c>
      <c r="C6" s="10" t="inlineStr">
        <is>
          <t>Default language for new records</t>
        </is>
      </c>
    </row>
    <row r="7">
      <c r="A7" s="8" t="inlineStr">
        <is>
          <t>Default Loan Period (days)</t>
        </is>
      </c>
      <c r="B7" s="9" t="n">
        <v>14</v>
      </c>
      <c r="C7" s="10" t="inlineStr">
        <is>
          <t>Circulation loan period in days</t>
        </is>
      </c>
    </row>
    <row r="8">
      <c r="A8" s="8" t="inlineStr">
        <is>
          <t>Accession Prefix</t>
        </is>
      </c>
      <c r="B8" s="9" t="inlineStr">
        <is>
          <t>ACC</t>
        </is>
      </c>
      <c r="C8" s="10" t="inlineStr">
        <is>
          <t>Prefix for accession numbers</t>
        </is>
      </c>
    </row>
    <row r="9">
      <c r="A9" s="8" t="inlineStr">
        <is>
          <t>Author Code Length</t>
        </is>
      </c>
      <c r="B9" s="9" t="n">
        <v>3</v>
      </c>
      <c r="C9" s="10" t="inlineStr">
        <is>
          <t>Number of letters for auto author code</t>
        </is>
      </c>
    </row>
    <row r="10">
      <c r="A10" s="8" t="inlineStr">
        <is>
          <t>Date Format</t>
        </is>
      </c>
      <c r="B10" s="9" t="inlineStr">
        <is>
          <t>YYYY-MM-DD</t>
        </is>
      </c>
      <c r="C10" s="10" t="inlineStr">
        <is>
          <t>Display format for dates</t>
        </is>
      </c>
    </row>
    <row r="11">
      <c r="A11" s="8" t="inlineStr">
        <is>
          <t>Default Resource Type</t>
        </is>
      </c>
      <c r="B11" s="9" t="inlineStr">
        <is>
          <t>Book</t>
        </is>
      </c>
      <c r="C11" s="10" t="inlineStr">
        <is>
          <t>Default resource type</t>
        </is>
      </c>
    </row>
    <row r="12">
      <c r="A12" s="8" t="inlineStr">
        <is>
          <t>Metadata Profile Version</t>
        </is>
      </c>
      <c r="B12" s="9" t="inlineStr">
        <is>
          <t>2.1</t>
        </is>
      </c>
      <c r="C12" s="10" t="inlineStr">
        <is>
          <t>Dublin Core profile version</t>
        </is>
      </c>
    </row>
    <row r="13">
      <c r="A13" s="8" t="inlineStr">
        <is>
          <t>Workbook Protection Password</t>
        </is>
      </c>
      <c r="B13" s="9" t="inlineStr">
        <is>
          <t>library</t>
        </is>
      </c>
      <c r="C13" s="10" t="inlineStr">
        <is>
          <t>Password to unprotect sheets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720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5" customWidth="1" min="13" max="13"/>
    <col width="24" customWidth="1" min="14" max="14"/>
    <col width="24" customWidth="1" min="15" max="15"/>
    <col width="24" customWidth="1" min="16" max="16"/>
    <col width="26" customWidth="1" min="17" max="17"/>
    <col width="25" customWidth="1" min="18" max="18"/>
    <col width="24" customWidth="1" min="19" max="19"/>
    <col width="24" customWidth="1" min="20" max="20"/>
  </cols>
  <sheetData>
    <row r="1">
      <c r="A1" s="6" t="inlineStr">
        <is>
          <t>Resource Type</t>
        </is>
      </c>
      <c r="B1" s="6" t="inlineStr">
        <is>
          <t>Genre</t>
        </is>
      </c>
      <c r="C1" s="6" t="inlineStr">
        <is>
          <t>Language</t>
        </is>
      </c>
      <c r="D1" s="6" t="inlineStr">
        <is>
          <t>Format</t>
        </is>
      </c>
      <c r="E1" s="6" t="inlineStr">
        <is>
          <t>OCR Status</t>
        </is>
      </c>
      <c r="F1" s="6" t="inlineStr">
        <is>
          <t>Condition</t>
        </is>
      </c>
      <c r="G1" s="6" t="inlineStr">
        <is>
          <t>Circulation Status</t>
        </is>
      </c>
      <c r="H1" s="6" t="inlineStr">
        <is>
          <t>Location Type</t>
        </is>
      </c>
      <c r="I1" s="6" t="inlineStr">
        <is>
          <t>Access Level</t>
        </is>
      </c>
      <c r="J1" s="6" t="inlineStr">
        <is>
          <t>Rights</t>
        </is>
      </c>
      <c r="K1" s="6" t="inlineStr">
        <is>
          <t>Acquisition Type</t>
        </is>
      </c>
      <c r="L1" s="6" t="inlineStr">
        <is>
          <t>Frequency</t>
        </is>
      </c>
      <c r="M1" s="6" t="inlineStr">
        <is>
          <t>Digitisation Status</t>
        </is>
      </c>
      <c r="N1" s="6" t="inlineStr">
        <is>
          <t>Physical/Digital</t>
        </is>
      </c>
      <c r="O1" s="6" t="inlineStr">
        <is>
          <t>Membership Type</t>
        </is>
      </c>
      <c r="P1" s="6" t="inlineStr">
        <is>
          <t>Member Status</t>
        </is>
      </c>
      <c r="Q1" s="6" t="inlineStr">
        <is>
          <t>Reading/Usage Status</t>
        </is>
      </c>
      <c r="R1" s="6" t="inlineStr">
        <is>
          <t>Preservation Status</t>
        </is>
      </c>
      <c r="S1" s="6" t="inlineStr">
        <is>
          <t>Collection</t>
        </is>
      </c>
      <c r="T1" s="6" t="inlineStr">
        <is>
          <t>Media Type</t>
        </is>
      </c>
    </row>
    <row r="2">
      <c r="A2" s="11" t="inlineStr">
        <is>
          <t>Book</t>
        </is>
      </c>
      <c r="B2" s="11" t="inlineStr">
        <is>
          <t>Literature (LIT)</t>
        </is>
      </c>
      <c r="C2" s="11" t="inlineStr">
        <is>
          <t>English</t>
        </is>
      </c>
      <c r="D2" s="11" t="inlineStr">
        <is>
          <t>PDF</t>
        </is>
      </c>
      <c r="E2" s="11" t="inlineStr">
        <is>
          <t>Not Applicable</t>
        </is>
      </c>
      <c r="F2" s="11" t="inlineStr">
        <is>
          <t>New</t>
        </is>
      </c>
      <c r="G2" s="11" t="inlineStr">
        <is>
          <t>Available</t>
        </is>
      </c>
      <c r="H2" s="11" t="inlineStr">
        <is>
          <t>Shelf</t>
        </is>
      </c>
      <c r="I2" s="11" t="inlineStr">
        <is>
          <t>Public</t>
        </is>
      </c>
      <c r="J2" s="11" t="inlineStr">
        <is>
          <t>Copyright</t>
        </is>
      </c>
      <c r="K2" s="11" t="inlineStr">
        <is>
          <t>Purchase</t>
        </is>
      </c>
      <c r="L2" s="11" t="inlineStr">
        <is>
          <t>Daily</t>
        </is>
      </c>
      <c r="M2" s="11" t="inlineStr">
        <is>
          <t>Not Digitised</t>
        </is>
      </c>
      <c r="N2" s="11" t="inlineStr">
        <is>
          <t>Physical</t>
        </is>
      </c>
      <c r="O2" s="11" t="inlineStr">
        <is>
          <t>Student</t>
        </is>
      </c>
      <c r="P2" s="11" t="inlineStr">
        <is>
          <t>Active</t>
        </is>
      </c>
      <c r="Q2" s="11" t="inlineStr">
        <is>
          <t>Read</t>
        </is>
      </c>
      <c r="R2" s="11" t="inlineStr">
        <is>
          <t>Master</t>
        </is>
      </c>
      <c r="S2" s="11" t="inlineStr">
        <is>
          <t>Books</t>
        </is>
      </c>
      <c r="T2" s="11" t="inlineStr">
        <is>
          <t>Image</t>
        </is>
      </c>
    </row>
    <row r="3">
      <c r="A3" s="12" t="inlineStr">
        <is>
          <t>Magazine</t>
        </is>
      </c>
      <c r="B3" s="12" t="inlineStr">
        <is>
          <t>History (HIS)</t>
        </is>
      </c>
      <c r="C3" s="12" t="inlineStr">
        <is>
          <t>Bengali</t>
        </is>
      </c>
      <c r="D3" s="12" t="inlineStr">
        <is>
          <t>EPUB</t>
        </is>
      </c>
      <c r="E3" s="12" t="inlineStr">
        <is>
          <t>Not Digitised</t>
        </is>
      </c>
      <c r="F3" s="12" t="inlineStr">
        <is>
          <t>Excellent</t>
        </is>
      </c>
      <c r="G3" s="12" t="inlineStr">
        <is>
          <t>On Loan</t>
        </is>
      </c>
      <c r="H3" s="12" t="inlineStr">
        <is>
          <t>Magazine Rack</t>
        </is>
      </c>
      <c r="I3" s="12" t="inlineStr">
        <is>
          <t>Private</t>
        </is>
      </c>
      <c r="J3" s="12" t="inlineStr">
        <is>
          <t>Public Domain</t>
        </is>
      </c>
      <c r="K3" s="12" t="inlineStr">
        <is>
          <t>Gift</t>
        </is>
      </c>
      <c r="L3" s="12" t="inlineStr">
        <is>
          <t>Weekly</t>
        </is>
      </c>
      <c r="M3" s="12" t="inlineStr">
        <is>
          <t>Digitisation Planned</t>
        </is>
      </c>
      <c r="N3" s="12" t="inlineStr">
        <is>
          <t>Digital</t>
        </is>
      </c>
      <c r="O3" s="12" t="inlineStr">
        <is>
          <t>Faculty</t>
        </is>
      </c>
      <c r="P3" s="12" t="inlineStr">
        <is>
          <t>Inactive</t>
        </is>
      </c>
      <c r="Q3" s="12" t="inlineStr">
        <is>
          <t>Reading</t>
        </is>
      </c>
      <c r="R3" s="12" t="inlineStr">
        <is>
          <t>Derivative</t>
        </is>
      </c>
      <c r="S3" s="12" t="inlineStr">
        <is>
          <t>Manuscripts</t>
        </is>
      </c>
      <c r="T3" s="12" t="inlineStr">
        <is>
          <t>Audio</t>
        </is>
      </c>
    </row>
    <row r="4">
      <c r="A4" s="11" t="inlineStr">
        <is>
          <t>Journal</t>
        </is>
      </c>
      <c r="B4" s="11" t="inlineStr">
        <is>
          <t>Philosophy (PHI)</t>
        </is>
      </c>
      <c r="C4" s="11" t="inlineStr">
        <is>
          <t>Hindi</t>
        </is>
      </c>
      <c r="D4" s="11" t="inlineStr">
        <is>
          <t>MOBI</t>
        </is>
      </c>
      <c r="E4" s="11" t="inlineStr">
        <is>
          <t>Scanned (No OCR)</t>
        </is>
      </c>
      <c r="F4" s="11" t="inlineStr">
        <is>
          <t>Good</t>
        </is>
      </c>
      <c r="G4" s="11" t="inlineStr">
        <is>
          <t>Reference Only</t>
        </is>
      </c>
      <c r="H4" s="11" t="inlineStr">
        <is>
          <t>Journal Rack</t>
        </is>
      </c>
      <c r="I4" s="11" t="inlineStr">
        <is>
          <t>Restricted</t>
        </is>
      </c>
      <c r="J4" s="11" t="inlineStr">
        <is>
          <t>Licensed</t>
        </is>
      </c>
      <c r="K4" s="11" t="inlineStr">
        <is>
          <t>Donation</t>
        </is>
      </c>
      <c r="L4" s="11" t="inlineStr">
        <is>
          <t>Fortnightly</t>
        </is>
      </c>
      <c r="M4" s="11" t="inlineStr">
        <is>
          <t>Scanned</t>
        </is>
      </c>
      <c r="N4" s="11" t="inlineStr">
        <is>
          <t>Both</t>
        </is>
      </c>
      <c r="O4" s="11" t="inlineStr">
        <is>
          <t>Public</t>
        </is>
      </c>
      <c r="P4" s="11" t="inlineStr">
        <is>
          <t>Suspended</t>
        </is>
      </c>
      <c r="Q4" s="11" t="inlineStr">
        <is>
          <t>Unread</t>
        </is>
      </c>
      <c r="R4" s="11" t="inlineStr">
        <is>
          <t>Archived</t>
        </is>
      </c>
      <c r="S4" s="11" t="inlineStr">
        <is>
          <t>Photographs</t>
        </is>
      </c>
      <c r="T4" s="11" t="inlineStr">
        <is>
          <t>Video</t>
        </is>
      </c>
    </row>
    <row r="5">
      <c r="A5" s="12" t="inlineStr">
        <is>
          <t>Periodical</t>
        </is>
      </c>
      <c r="B5" s="12" t="inlineStr">
        <is>
          <t>Science &amp; Tech (SCI)</t>
        </is>
      </c>
      <c r="C5" s="12" t="inlineStr">
        <is>
          <t>Other</t>
        </is>
      </c>
      <c r="D5" s="12" t="inlineStr">
        <is>
          <t>DJVU</t>
        </is>
      </c>
      <c r="E5" s="12" t="inlineStr">
        <is>
          <t>OCR Pending</t>
        </is>
      </c>
      <c r="F5" s="12" t="inlineStr">
        <is>
          <t>Fair</t>
        </is>
      </c>
      <c r="G5" s="12" t="inlineStr">
        <is>
          <t>Lost</t>
        </is>
      </c>
      <c r="H5" s="12" t="inlineStr">
        <is>
          <t>Archive</t>
        </is>
      </c>
      <c r="I5" s="12" t="inlineStr">
        <is>
          <t>Research Only</t>
        </is>
      </c>
      <c r="J5" s="12" t="inlineStr">
        <is>
          <t>Unknown</t>
        </is>
      </c>
      <c r="K5" s="12" t="inlineStr">
        <is>
          <t>Exchange</t>
        </is>
      </c>
      <c r="L5" s="12" t="inlineStr">
        <is>
          <t>Monthly</t>
        </is>
      </c>
      <c r="M5" s="12" t="inlineStr">
        <is>
          <t>OCR Pending</t>
        </is>
      </c>
      <c r="O5" s="12" t="inlineStr">
        <is>
          <t>Institutional</t>
        </is>
      </c>
      <c r="Q5" s="12" t="inlineStr">
        <is>
          <t>N/A</t>
        </is>
      </c>
      <c r="R5" s="12" t="inlineStr">
        <is>
          <t>At Risk</t>
        </is>
      </c>
      <c r="S5" s="12" t="inlineStr">
        <is>
          <t>Audio</t>
        </is>
      </c>
      <c r="T5" s="12" t="inlineStr">
        <is>
          <t>Document</t>
        </is>
      </c>
    </row>
    <row r="6">
      <c r="A6" s="11" t="inlineStr">
        <is>
          <t>Newsletter</t>
        </is>
      </c>
      <c r="B6" s="11" t="inlineStr">
        <is>
          <t>Politics (POL)</t>
        </is>
      </c>
      <c r="D6" s="11" t="inlineStr">
        <is>
          <t>TXT</t>
        </is>
      </c>
      <c r="E6" s="11" t="inlineStr">
        <is>
          <t>OCR Complete</t>
        </is>
      </c>
      <c r="F6" s="11" t="inlineStr">
        <is>
          <t>Poor</t>
        </is>
      </c>
      <c r="G6" s="11" t="inlineStr">
        <is>
          <t>Withdrawn</t>
        </is>
      </c>
      <c r="H6" s="11" t="inlineStr">
        <is>
          <t>Cabinet</t>
        </is>
      </c>
      <c r="I6" s="11" t="inlineStr">
        <is>
          <t>Permission Required</t>
        </is>
      </c>
      <c r="J6" s="11" t="inlineStr">
        <is>
          <t>User-Owned</t>
        </is>
      </c>
      <c r="K6" s="11" t="inlineStr">
        <is>
          <t>Legacy</t>
        </is>
      </c>
      <c r="L6" s="11" t="inlineStr">
        <is>
          <t>Bi-Monthly</t>
        </is>
      </c>
      <c r="M6" s="11" t="inlineStr">
        <is>
          <t>OCR Complete</t>
        </is>
      </c>
      <c r="O6" s="11" t="inlineStr">
        <is>
          <t>Other</t>
        </is>
      </c>
      <c r="S6" s="11" t="inlineStr">
        <is>
          <t>Video</t>
        </is>
      </c>
      <c r="T6" s="11" t="inlineStr">
        <is>
          <t>Link</t>
        </is>
      </c>
    </row>
    <row r="7">
      <c r="A7" s="12" t="inlineStr">
        <is>
          <t>Annual</t>
        </is>
      </c>
      <c r="B7" s="12" t="inlineStr">
        <is>
          <t>Essays (ESS)</t>
        </is>
      </c>
      <c r="D7" s="12" t="inlineStr">
        <is>
          <t>DOCX</t>
        </is>
      </c>
      <c r="E7" s="12" t="inlineStr">
        <is>
          <t>Searchable (OCR)</t>
        </is>
      </c>
      <c r="F7" s="12" t="inlineStr">
        <is>
          <t>Damaged</t>
        </is>
      </c>
      <c r="H7" s="12" t="inlineStr">
        <is>
          <t>Box</t>
        </is>
      </c>
      <c r="J7" s="12" t="inlineStr">
        <is>
          <t>Institutional</t>
        </is>
      </c>
      <c r="K7" s="12" t="inlineStr">
        <is>
          <t>Inherited</t>
        </is>
      </c>
      <c r="L7" s="12" t="inlineStr">
        <is>
          <t>Quarterly</t>
        </is>
      </c>
      <c r="M7" s="12" t="inlineStr">
        <is>
          <t>OCR Verified</t>
        </is>
      </c>
      <c r="S7" s="12" t="inlineStr">
        <is>
          <t>Mementos</t>
        </is>
      </c>
      <c r="T7" s="12" t="inlineStr">
        <is>
          <t>None</t>
        </is>
      </c>
    </row>
    <row r="8">
      <c r="A8" s="11" t="inlineStr">
        <is>
          <t>Special Issue</t>
        </is>
      </c>
      <c r="B8" s="11" t="inlineStr">
        <is>
          <t>Biography / Memoir (BIO)</t>
        </is>
      </c>
      <c r="D8" s="11" t="inlineStr">
        <is>
          <t>HTML</t>
        </is>
      </c>
      <c r="E8" s="11" t="inlineStr">
        <is>
          <t>Image Only</t>
        </is>
      </c>
      <c r="F8" s="11" t="inlineStr">
        <is>
          <t>Under Repair</t>
        </is>
      </c>
      <c r="H8" s="11" t="inlineStr">
        <is>
          <t>Display Case</t>
        </is>
      </c>
      <c r="J8" s="11" t="inlineStr">
        <is>
          <t>Other</t>
        </is>
      </c>
      <c r="K8" s="11" t="inlineStr">
        <is>
          <t>Unknown</t>
        </is>
      </c>
      <c r="L8" s="11" t="inlineStr">
        <is>
          <t>Annual</t>
        </is>
      </c>
      <c r="S8" s="11" t="inlineStr">
        <is>
          <t>Sculptures</t>
        </is>
      </c>
    </row>
    <row r="9">
      <c r="A9" s="12" t="inlineStr">
        <is>
          <t>Article</t>
        </is>
      </c>
      <c r="B9" s="12" t="inlineStr">
        <is>
          <t>Mystery / Thriller (THR)</t>
        </is>
      </c>
      <c r="D9" s="12" t="inlineStr">
        <is>
          <t>XML</t>
        </is>
      </c>
      <c r="H9" s="12" t="inlineStr">
        <is>
          <t>Wall</t>
        </is>
      </c>
      <c r="L9" s="12" t="inlineStr">
        <is>
          <t>Irregular</t>
        </is>
      </c>
      <c r="S9" s="12" t="inlineStr">
        <is>
          <t>Paintings</t>
        </is>
      </c>
    </row>
    <row r="10">
      <c r="A10" s="11" t="inlineStr">
        <is>
          <t>Newspaper</t>
        </is>
      </c>
      <c r="B10" s="11" t="inlineStr">
        <is>
          <t>Religion &amp; Mythology (REL)</t>
        </is>
      </c>
      <c r="D10" s="11" t="inlineStr">
        <is>
          <t>TEI XML</t>
        </is>
      </c>
      <c r="H10" s="11" t="inlineStr">
        <is>
          <t>Floor</t>
        </is>
      </c>
      <c r="S10" s="11" t="inlineStr">
        <is>
          <t>Textiles</t>
        </is>
      </c>
    </row>
    <row r="11">
      <c r="A11" s="12" t="inlineStr">
        <is>
          <t>Newspaper Clipping</t>
        </is>
      </c>
      <c r="B11" s="12" t="inlineStr">
        <is>
          <t>Art &amp; Cinema (ART)</t>
        </is>
      </c>
      <c r="D11" s="12" t="inlineStr">
        <is>
          <t>Markdown</t>
        </is>
      </c>
      <c r="H11" s="12" t="inlineStr">
        <is>
          <t>Other</t>
        </is>
      </c>
      <c r="S11" s="12" t="inlineStr">
        <is>
          <t>Coins &amp; Medals</t>
        </is>
      </c>
    </row>
    <row r="12">
      <c r="A12" s="11" t="inlineStr">
        <is>
          <t>Manuscript</t>
        </is>
      </c>
      <c r="B12" s="11" t="inlineStr">
        <is>
          <t>Other</t>
        </is>
      </c>
      <c r="D12" s="11" t="inlineStr">
        <is>
          <t>RTF</t>
        </is>
      </c>
      <c r="S12" s="11" t="inlineStr">
        <is>
          <t>Ephemera</t>
        </is>
      </c>
    </row>
    <row r="13">
      <c r="A13" s="12" t="inlineStr">
        <is>
          <t>Personal Papers</t>
        </is>
      </c>
      <c r="D13" s="12" t="inlineStr">
        <is>
          <t>JPG</t>
        </is>
      </c>
      <c r="S13" s="12" t="inlineStr">
        <is>
          <t>Newspapers</t>
        </is>
      </c>
    </row>
    <row r="14">
      <c r="A14" s="11" t="inlineStr">
        <is>
          <t>Pamphlet</t>
        </is>
      </c>
      <c r="D14" s="11" t="inlineStr">
        <is>
          <t>JPEG</t>
        </is>
      </c>
      <c r="S14" s="11" t="inlineStr">
        <is>
          <t>Maps</t>
        </is>
      </c>
    </row>
    <row r="15">
      <c r="A15" s="12" t="inlineStr">
        <is>
          <t>Brochure</t>
        </is>
      </c>
      <c r="D15" s="12" t="inlineStr">
        <is>
          <t>PNG</t>
        </is>
      </c>
      <c r="S15" s="12" t="inlineStr">
        <is>
          <t>Furniture</t>
        </is>
      </c>
    </row>
    <row r="16">
      <c r="A16" s="11" t="inlineStr">
        <is>
          <t>Paper Ephemera</t>
        </is>
      </c>
      <c r="D16" s="11" t="inlineStr">
        <is>
          <t>TIFF</t>
        </is>
      </c>
      <c r="S16" s="11" t="inlineStr">
        <is>
          <t>Other</t>
        </is>
      </c>
    </row>
    <row r="17">
      <c r="A17" s="12" t="inlineStr">
        <is>
          <t>Image</t>
        </is>
      </c>
      <c r="D17" s="12" t="inlineStr">
        <is>
          <t>WebP</t>
        </is>
      </c>
    </row>
    <row r="18">
      <c r="A18" s="11" t="inlineStr">
        <is>
          <t>Photograph</t>
        </is>
      </c>
      <c r="D18" s="11" t="inlineStr">
        <is>
          <t>SVG</t>
        </is>
      </c>
    </row>
    <row r="19">
      <c r="A19" s="12" t="inlineStr">
        <is>
          <t>Poster</t>
        </is>
      </c>
      <c r="D19" s="12" t="inlineStr">
        <is>
          <t>MP3</t>
        </is>
      </c>
    </row>
    <row r="20">
      <c r="A20" s="11" t="inlineStr">
        <is>
          <t>Map</t>
        </is>
      </c>
      <c r="D20" s="11" t="inlineStr">
        <is>
          <t>WAV</t>
        </is>
      </c>
    </row>
    <row r="21">
      <c r="A21" s="12" t="inlineStr">
        <is>
          <t>Sound Recording</t>
        </is>
      </c>
      <c r="D21" s="12" t="inlineStr">
        <is>
          <t>FLAC</t>
        </is>
      </c>
    </row>
    <row r="22">
      <c r="A22" s="11" t="inlineStr">
        <is>
          <t>Audio Recording</t>
        </is>
      </c>
      <c r="D22" s="11" t="inlineStr">
        <is>
          <t>M4A</t>
        </is>
      </c>
    </row>
    <row r="23">
      <c r="A23" s="12" t="inlineStr">
        <is>
          <t>AV Recording</t>
        </is>
      </c>
      <c r="D23" s="12" t="inlineStr">
        <is>
          <t>AAC</t>
        </is>
      </c>
    </row>
    <row r="24">
      <c r="A24" s="11" t="inlineStr">
        <is>
          <t>Video Recording</t>
        </is>
      </c>
      <c r="D24" s="11" t="inlineStr">
        <is>
          <t>OGG</t>
        </is>
      </c>
    </row>
    <row r="25">
      <c r="A25" s="12" t="inlineStr">
        <is>
          <t>Memento</t>
        </is>
      </c>
      <c r="D25" s="12" t="inlineStr">
        <is>
          <t>MP4</t>
        </is>
      </c>
    </row>
    <row r="26">
      <c r="A26" s="11" t="inlineStr">
        <is>
          <t>Sculpture</t>
        </is>
      </c>
      <c r="D26" s="11" t="inlineStr">
        <is>
          <t>MKV</t>
        </is>
      </c>
    </row>
    <row r="27">
      <c r="A27" s="12" t="inlineStr">
        <is>
          <t>Painting</t>
        </is>
      </c>
      <c r="D27" s="12" t="inlineStr">
        <is>
          <t>MOV</t>
        </is>
      </c>
    </row>
    <row r="28">
      <c r="A28" s="11" t="inlineStr">
        <is>
          <t>Textile</t>
        </is>
      </c>
      <c r="D28" s="11" t="inlineStr">
        <is>
          <t>WebM</t>
        </is>
      </c>
    </row>
    <row r="29">
      <c r="A29" s="12" t="inlineStr">
        <is>
          <t>Coin</t>
        </is>
      </c>
      <c r="D29" s="12" t="inlineStr">
        <is>
          <t>AVI</t>
        </is>
      </c>
    </row>
    <row r="30">
      <c r="A30" s="11" t="inlineStr">
        <is>
          <t>Medal</t>
        </is>
      </c>
      <c r="D30" s="11" t="inlineStr">
        <is>
          <t>ZIP</t>
        </is>
      </c>
    </row>
    <row r="31">
      <c r="A31" s="12" t="inlineStr">
        <is>
          <t>Furniture</t>
        </is>
      </c>
      <c r="D31" s="12" t="inlineStr">
        <is>
          <t>Other</t>
        </is>
      </c>
    </row>
    <row r="32">
      <c r="A32" s="11" t="inlineStr">
        <is>
          <t>Dataset</t>
        </is>
      </c>
    </row>
    <row r="33">
      <c r="A33" s="12" t="inlineStr">
        <is>
          <t>Website</t>
        </is>
      </c>
    </row>
    <row r="34">
      <c r="A34" s="11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32" customWidth="1" min="4" max="4"/>
    <col width="22" customWidth="1" min="5" max="5"/>
    <col width="26" customWidth="1" min="6" max="6"/>
    <col width="12" customWidth="1" min="7" max="7"/>
    <col width="12" customWidth="1" min="8" max="8"/>
    <col width="20" customWidth="1" min="9" max="9"/>
    <col width="20" customWidth="1" min="10" max="10"/>
    <col width="18" customWidth="1" min="11" max="11"/>
    <col width="18" customWidth="1" min="12" max="12"/>
    <col width="12" customWidth="1" min="13" max="13"/>
    <col width="10" customWidth="1" min="14" max="14"/>
    <col width="12" customWidth="1" min="15" max="15"/>
    <col width="22" customWidth="1" min="16" max="16"/>
    <col width="16" customWidth="1" min="17" max="17"/>
    <col width="8" customWidth="1" min="18" max="18"/>
    <col width="16" customWidth="1" min="19" max="19"/>
    <col width="14" customWidth="1" min="20" max="20"/>
    <col width="8" customWidth="1" min="21" max="21"/>
    <col width="20" customWidth="1" min="22" max="22"/>
    <col width="16" customWidth="1" min="23" max="23"/>
    <col width="16" customWidth="1" min="24" max="24"/>
    <col width="12" customWidth="1" min="25" max="25"/>
    <col width="14" customWidth="1" min="26" max="26"/>
    <col width="14" customWidth="1" min="27" max="27"/>
    <col width="14" customWidth="1" min="28" max="28"/>
    <col width="10" customWidth="1" min="29" max="29"/>
    <col width="20" customWidth="1" min="30" max="30"/>
    <col width="30" customWidth="1" min="31" max="31"/>
    <col width="16" customWidth="1" min="32" max="32"/>
    <col width="30" customWidth="1" min="33" max="33"/>
  </cols>
  <sheetData>
    <row r="1" ht="34" customHeight="1">
      <c r="A1" s="6" t="inlineStr">
        <is>
          <t>Item ID</t>
        </is>
      </c>
      <c r="B1" s="6" t="inlineStr">
        <is>
          <t>Accession Number</t>
        </is>
      </c>
      <c r="C1" s="6" t="inlineStr">
        <is>
          <t>Call Number</t>
        </is>
      </c>
      <c r="D1" s="6" t="inlineStr">
        <is>
          <t>Title</t>
        </is>
      </c>
      <c r="E1" s="6" t="inlineStr">
        <is>
          <t>Subtitle</t>
        </is>
      </c>
      <c r="F1" s="6" t="inlineStr">
        <is>
          <t>Creator</t>
        </is>
      </c>
      <c r="G1" s="6" t="inlineStr">
        <is>
          <t>Author Code Override</t>
        </is>
      </c>
      <c r="H1" s="6" t="inlineStr">
        <is>
          <t>Author Code</t>
        </is>
      </c>
      <c r="I1" s="6" t="inlineStr">
        <is>
          <t>Editor</t>
        </is>
      </c>
      <c r="J1" s="6" t="inlineStr">
        <is>
          <t>Translator</t>
        </is>
      </c>
      <c r="K1" s="6" t="inlineStr">
        <is>
          <t>Type</t>
        </is>
      </c>
      <c r="L1" s="6" t="inlineStr">
        <is>
          <t>Genre</t>
        </is>
      </c>
      <c r="M1" s="6" t="inlineStr">
        <is>
          <t>Language</t>
        </is>
      </c>
      <c r="N1" s="6" t="inlineStr">
        <is>
          <t>Volume</t>
        </is>
      </c>
      <c r="O1" s="6" t="inlineStr">
        <is>
          <t>Edition</t>
        </is>
      </c>
      <c r="P1" s="6" t="inlineStr">
        <is>
          <t>Publisher</t>
        </is>
      </c>
      <c r="Q1" s="6" t="inlineStr">
        <is>
          <t>Publication Place</t>
        </is>
      </c>
      <c r="R1" s="6" t="inlineStr">
        <is>
          <t>Publication Year</t>
        </is>
      </c>
      <c r="S1" s="6" t="inlineStr">
        <is>
          <t>ISBN</t>
        </is>
      </c>
      <c r="T1" s="6" t="inlineStr">
        <is>
          <t>ISSN</t>
        </is>
      </c>
      <c r="U1" s="6" t="inlineStr">
        <is>
          <t>Pages</t>
        </is>
      </c>
      <c r="V1" s="6" t="inlineStr">
        <is>
          <t>Series</t>
        </is>
      </c>
      <c r="W1" s="6" t="inlineStr">
        <is>
          <t>Location Type</t>
        </is>
      </c>
      <c r="X1" s="6" t="inlineStr">
        <is>
          <t>Location Identifier</t>
        </is>
      </c>
      <c r="Y1" s="6" t="inlineStr">
        <is>
          <t>Condition</t>
        </is>
      </c>
      <c r="Z1" s="6" t="inlineStr">
        <is>
          <t>Circulation Status</t>
        </is>
      </c>
      <c r="AA1" s="6" t="inlineStr">
        <is>
          <t>Acquisition Date</t>
        </is>
      </c>
      <c r="AB1" s="6" t="inlineStr">
        <is>
          <t>Acquisition Type</t>
        </is>
      </c>
      <c r="AC1" s="6" t="inlineStr">
        <is>
          <t>Price</t>
        </is>
      </c>
      <c r="AD1" s="6" t="inlineStr">
        <is>
          <t>Donor/Vendor</t>
        </is>
      </c>
      <c r="AE1" s="6" t="inlineStr">
        <is>
          <t>Notes</t>
        </is>
      </c>
      <c r="AF1" s="6" t="inlineStr">
        <is>
          <t>Rights</t>
        </is>
      </c>
      <c r="AG1" s="6" t="inlineStr">
        <is>
          <t>Description</t>
        </is>
      </c>
    </row>
    <row r="2">
      <c r="A2" s="13">
        <f>IF(ISBLANK(D2),"",ROW()-1)</f>
        <v/>
      </c>
      <c r="B2" s="14" t="inlineStr">
        <is>
          <t>ACC-0001</t>
        </is>
      </c>
      <c r="C2" s="13">
        <f>IF(ISBLANK(D2),"",MID(K2,SEARCH("(",K2)+1,SEARCH(")",K2)-SEARCH("(",K2)-1)&amp;"-"&amp;MID(L2,SEARCH("(",L2)+1,SEARCH(")",L2)-SEARCH("(",L2)-1)&amp;"-"&amp;H2&amp;"-"&amp;TEXT(A2,"000")&amp;IF(ISBLANK(N2),"","-"&amp;SUBSTITUTE(N2," ","")))</f>
        <v/>
      </c>
      <c r="D2" s="9" t="inlineStr">
        <is>
          <t>Rabindra Rachanabali</t>
        </is>
      </c>
      <c r="E2" s="9" t="inlineStr">
        <is>
          <t>Vol 1</t>
        </is>
      </c>
      <c r="F2" s="9" t="inlineStr">
        <is>
          <t>Rabindranath Tagore</t>
        </is>
      </c>
      <c r="G2" s="9" t="n"/>
      <c r="H2" s="13">
        <f>IF(ISBLANK(F2),"",IF(G2&lt;&gt;"",UPPER(TRIM(G2)),IF(ISNUMBER(SEARCH(" ",TRIM(F2))),UPPER(LEFT(TRIM(RIGHT(SUBSTITUTE(TRIM(F2)," ",REPT(" ",100)),100)),Settings!$B$9)),UPPER(LEFT(TRIM(F2),Settings!$B$9)))))</f>
        <v/>
      </c>
      <c r="I2" s="9" t="n"/>
      <c r="J2" s="9" t="n"/>
      <c r="K2" s="9" t="inlineStr">
        <is>
          <t>Fiction (FIC)</t>
        </is>
      </c>
      <c r="L2" s="9" t="inlineStr">
        <is>
          <t>Literature (LIT)</t>
        </is>
      </c>
      <c r="M2" s="9" t="inlineStr">
        <is>
          <t>Bengali</t>
        </is>
      </c>
      <c r="N2" s="9" t="inlineStr">
        <is>
          <t>Vol 1</t>
        </is>
      </c>
      <c r="O2" s="9" t="n"/>
      <c r="P2" s="9" t="n"/>
      <c r="Q2" s="9" t="n"/>
      <c r="R2" s="9" t="n"/>
      <c r="S2" s="9" t="n"/>
      <c r="T2" s="9" t="n"/>
      <c r="U2" s="9" t="n"/>
      <c r="V2" s="9" t="n"/>
      <c r="W2" s="9" t="inlineStr">
        <is>
          <t>Shelf</t>
        </is>
      </c>
      <c r="X2" s="9" t="inlineStr">
        <is>
          <t>A2</t>
        </is>
      </c>
      <c r="Y2" s="9" t="inlineStr">
        <is>
          <t>Good</t>
        </is>
      </c>
      <c r="Z2" s="15">
        <f>IF(ISBLANK(D2),"",IF(COUNTIFS(Circulation!$B$2:$B$500,A2,Circulation!$H$2:$H$500,"Active")&gt;0,"On Loan","Available"))</f>
        <v/>
      </c>
      <c r="AA2" s="9" t="n"/>
      <c r="AB2" s="9" t="n"/>
      <c r="AC2" s="9" t="n"/>
      <c r="AD2" s="9" t="n"/>
      <c r="AE2" s="9" t="n"/>
      <c r="AF2" s="9" t="n"/>
      <c r="AG2" s="9" t="n"/>
    </row>
    <row r="3">
      <c r="A3" s="13">
        <f>IF(ISBLANK(D3),"",ROW()-1)</f>
        <v/>
      </c>
      <c r="B3" s="14" t="inlineStr">
        <is>
          <t>ACC-0002</t>
        </is>
      </c>
      <c r="C3" s="13">
        <f>IF(ISBLANK(D3),"",MID(K3,SEARCH("(",K3)+1,SEARCH(")",K3)-SEARCH("(",K3)-1)&amp;"-"&amp;MID(L3,SEARCH("(",L3)+1,SEARCH(")",L3)-SEARCH("(",L3)-1)&amp;"-"&amp;H3&amp;"-"&amp;TEXT(A3,"000")&amp;IF(ISBLANK(N3),"","-"&amp;SUBSTITUTE(N3," ","")))</f>
        <v/>
      </c>
      <c r="D3" s="9" t="inlineStr">
        <is>
          <t>Rabindra Rachanabali</t>
        </is>
      </c>
      <c r="E3" s="9" t="inlineStr">
        <is>
          <t>Vol 2</t>
        </is>
      </c>
      <c r="F3" s="9" t="inlineStr">
        <is>
          <t>Rabindranath Tagore</t>
        </is>
      </c>
      <c r="G3" s="9" t="n"/>
      <c r="H3" s="13">
        <f>IF(ISBLANK(F3),"",IF(G3&lt;&gt;"",UPPER(TRIM(G3)),IF(ISNUMBER(SEARCH(" ",TRIM(F3))),UPPER(LEFT(TRIM(RIGHT(SUBSTITUTE(TRIM(F3)," ",REPT(" ",100)),100)),Settings!$B$9)),UPPER(LEFT(TRIM(F3),Settings!$B$9)))))</f>
        <v/>
      </c>
      <c r="I3" s="9" t="n"/>
      <c r="J3" s="9" t="n"/>
      <c r="K3" s="9" t="inlineStr">
        <is>
          <t>Fiction (FIC)</t>
        </is>
      </c>
      <c r="L3" s="9" t="inlineStr">
        <is>
          <t>Literature (LIT)</t>
        </is>
      </c>
      <c r="M3" s="9" t="inlineStr">
        <is>
          <t>Bengali</t>
        </is>
      </c>
      <c r="N3" s="9" t="inlineStr">
        <is>
          <t>Vol 2</t>
        </is>
      </c>
      <c r="O3" s="9" t="n"/>
      <c r="P3" s="9" t="n"/>
      <c r="Q3" s="9" t="n"/>
      <c r="R3" s="9" t="n"/>
      <c r="S3" s="9" t="n"/>
      <c r="T3" s="9" t="n"/>
      <c r="U3" s="9" t="n"/>
      <c r="V3" s="9" t="n"/>
      <c r="W3" s="9" t="inlineStr">
        <is>
          <t>Shelf</t>
        </is>
      </c>
      <c r="X3" s="9" t="inlineStr">
        <is>
          <t>A2</t>
        </is>
      </c>
      <c r="Y3" s="9" t="inlineStr">
        <is>
          <t>Good</t>
        </is>
      </c>
      <c r="Z3" s="15">
        <f>IF(ISBLANK(D3),"",IF(COUNTIFS(Circulation!$B$2:$B$500,A3,Circulation!$H$2:$H$500,"Active")&gt;0,"On Loan","Available"))</f>
        <v/>
      </c>
      <c r="AA3" s="9" t="n"/>
      <c r="AB3" s="9" t="n"/>
      <c r="AC3" s="9" t="n"/>
      <c r="AD3" s="9" t="n"/>
      <c r="AE3" s="9" t="n"/>
      <c r="AF3" s="9" t="n"/>
      <c r="AG3" s="9" t="n"/>
    </row>
    <row r="4">
      <c r="A4" s="13">
        <f>IF(ISBLANK(D4),"",ROW()-1)</f>
        <v/>
      </c>
      <c r="B4" s="14" t="inlineStr">
        <is>
          <t>ACC-0003</t>
        </is>
      </c>
      <c r="C4" s="13">
        <f>IF(ISBLANK(D4),"",MID(K4,SEARCH("(",K4)+1,SEARCH(")",K4)-SEARCH("(",K4)-1)&amp;"-"&amp;MID(L4,SEARCH("(",L4)+1,SEARCH(")",L4)-SEARCH("(",L4)-1)&amp;"-"&amp;H4&amp;"-"&amp;TEXT(A4,"000")&amp;IF(ISBLANK(N4),"","-"&amp;SUBSTITUTE(N4," ","")))</f>
        <v/>
      </c>
      <c r="D4" s="9" t="inlineStr">
        <is>
          <t>Rabindra Rachanabali</t>
        </is>
      </c>
      <c r="E4" s="9" t="inlineStr">
        <is>
          <t>Vol 3</t>
        </is>
      </c>
      <c r="F4" s="9" t="inlineStr">
        <is>
          <t>Rabindranath Tagore</t>
        </is>
      </c>
      <c r="G4" s="9" t="n"/>
      <c r="H4" s="13">
        <f>IF(ISBLANK(F4),"",IF(G4&lt;&gt;"",UPPER(TRIM(G4)),IF(ISNUMBER(SEARCH(" ",TRIM(F4))),UPPER(LEFT(TRIM(RIGHT(SUBSTITUTE(TRIM(F4)," ",REPT(" ",100)),100)),Settings!$B$9)),UPPER(LEFT(TRIM(F4),Settings!$B$9)))))</f>
        <v/>
      </c>
      <c r="I4" s="9" t="n"/>
      <c r="J4" s="9" t="n"/>
      <c r="K4" s="9" t="inlineStr">
        <is>
          <t>Fiction (FIC)</t>
        </is>
      </c>
      <c r="L4" s="9" t="inlineStr">
        <is>
          <t>Literature (LIT)</t>
        </is>
      </c>
      <c r="M4" s="9" t="inlineStr">
        <is>
          <t>Bengali</t>
        </is>
      </c>
      <c r="N4" s="9" t="inlineStr">
        <is>
          <t>Vol 3</t>
        </is>
      </c>
      <c r="O4" s="9" t="n"/>
      <c r="P4" s="9" t="n"/>
      <c r="Q4" s="9" t="n"/>
      <c r="R4" s="9" t="n"/>
      <c r="S4" s="9" t="n"/>
      <c r="T4" s="9" t="n"/>
      <c r="U4" s="9" t="n"/>
      <c r="V4" s="9" t="n"/>
      <c r="W4" s="9" t="inlineStr">
        <is>
          <t>Shelf</t>
        </is>
      </c>
      <c r="X4" s="9" t="inlineStr">
        <is>
          <t>A2</t>
        </is>
      </c>
      <c r="Y4" s="9" t="inlineStr">
        <is>
          <t>Good</t>
        </is>
      </c>
      <c r="Z4" s="15">
        <f>IF(ISBLANK(D4),"",IF(COUNTIFS(Circulation!$B$2:$B$500,A4,Circulation!$H$2:$H$500,"Active")&gt;0,"On Loan","Available"))</f>
        <v/>
      </c>
      <c r="AA4" s="9" t="n"/>
      <c r="AB4" s="9" t="n"/>
      <c r="AC4" s="9" t="n"/>
      <c r="AD4" s="9" t="n"/>
      <c r="AE4" s="9" t="n"/>
      <c r="AF4" s="9" t="n"/>
      <c r="AG4" s="9" t="n"/>
    </row>
    <row r="5">
      <c r="A5" s="13">
        <f>IF(ISBLANK(D5),"",ROW()-1)</f>
        <v/>
      </c>
      <c r="B5" s="14" t="inlineStr">
        <is>
          <t>ACC-0004</t>
        </is>
      </c>
      <c r="C5" s="13">
        <f>IF(ISBLANK(D5),"",MID(K5,SEARCH("(",K5)+1,SEARCH(")",K5)-SEARCH("(",K5)-1)&amp;"-"&amp;MID(L5,SEARCH("(",L5)+1,SEARCH(")",L5)-SEARCH("(",L5)-1)&amp;"-"&amp;H5&amp;"-"&amp;TEXT(A5,"000")&amp;IF(ISBLANK(N5),"","-"&amp;SUBSTITUTE(N5," ","")))</f>
        <v/>
      </c>
      <c r="D5" s="9" t="inlineStr">
        <is>
          <t>Rabindra Rachanabali</t>
        </is>
      </c>
      <c r="E5" s="9" t="inlineStr">
        <is>
          <t>Vol 4</t>
        </is>
      </c>
      <c r="F5" s="9" t="inlineStr">
        <is>
          <t>Rabindranath Tagore</t>
        </is>
      </c>
      <c r="G5" s="9" t="n"/>
      <c r="H5" s="13">
        <f>IF(ISBLANK(F5),"",IF(G5&lt;&gt;"",UPPER(TRIM(G5)),IF(ISNUMBER(SEARCH(" ",TRIM(F5))),UPPER(LEFT(TRIM(RIGHT(SUBSTITUTE(TRIM(F5)," ",REPT(" ",100)),100)),Settings!$B$9)),UPPER(LEFT(TRIM(F5),Settings!$B$9)))))</f>
        <v/>
      </c>
      <c r="I5" s="9" t="n"/>
      <c r="J5" s="9" t="n"/>
      <c r="K5" s="9" t="inlineStr">
        <is>
          <t>Fiction (FIC)</t>
        </is>
      </c>
      <c r="L5" s="9" t="inlineStr">
        <is>
          <t>Literature (LIT)</t>
        </is>
      </c>
      <c r="M5" s="9" t="inlineStr">
        <is>
          <t>Bengali</t>
        </is>
      </c>
      <c r="N5" s="9" t="inlineStr">
        <is>
          <t>Vol 4</t>
        </is>
      </c>
      <c r="O5" s="9" t="n"/>
      <c r="P5" s="9" t="n"/>
      <c r="Q5" s="9" t="n"/>
      <c r="R5" s="9" t="n"/>
      <c r="S5" s="9" t="n"/>
      <c r="T5" s="9" t="n"/>
      <c r="U5" s="9" t="n"/>
      <c r="V5" s="9" t="n"/>
      <c r="W5" s="9" t="inlineStr">
        <is>
          <t>Shelf</t>
        </is>
      </c>
      <c r="X5" s="9" t="inlineStr">
        <is>
          <t>A2</t>
        </is>
      </c>
      <c r="Y5" s="9" t="inlineStr">
        <is>
          <t>Good</t>
        </is>
      </c>
      <c r="Z5" s="15">
        <f>IF(ISBLANK(D5),"",IF(COUNTIFS(Circulation!$B$2:$B$500,A5,Circulation!$H$2:$H$500,"Active")&gt;0,"On Loan","Available"))</f>
        <v/>
      </c>
      <c r="AA5" s="9" t="n"/>
      <c r="AB5" s="9" t="n"/>
      <c r="AC5" s="9" t="n"/>
      <c r="AD5" s="9" t="n"/>
      <c r="AE5" s="9" t="n"/>
      <c r="AF5" s="9" t="n"/>
      <c r="AG5" s="9" t="n"/>
    </row>
    <row r="6">
      <c r="A6" s="13">
        <f>IF(ISBLANK(D6),"",ROW()-1)</f>
        <v/>
      </c>
      <c r="B6" s="14" t="inlineStr">
        <is>
          <t>ACC-0005</t>
        </is>
      </c>
      <c r="C6" s="13">
        <f>IF(ISBLANK(D6),"",MID(K6,SEARCH("(",K6)+1,SEARCH(")",K6)-SEARCH("(",K6)-1)&amp;"-"&amp;MID(L6,SEARCH("(",L6)+1,SEARCH(")",L6)-SEARCH("(",L6)-1)&amp;"-"&amp;H6&amp;"-"&amp;TEXT(A6,"000")&amp;IF(ISBLANK(N6),"","-"&amp;SUBSTITUTE(N6," ","")))</f>
        <v/>
      </c>
      <c r="D6" s="9" t="inlineStr">
        <is>
          <t>Rabindra Rachanabali</t>
        </is>
      </c>
      <c r="E6" s="9" t="inlineStr">
        <is>
          <t>Vol 5</t>
        </is>
      </c>
      <c r="F6" s="9" t="inlineStr">
        <is>
          <t>Rabindranath Tagore</t>
        </is>
      </c>
      <c r="G6" s="9" t="n"/>
      <c r="H6" s="13">
        <f>IF(ISBLANK(F6),"",IF(G6&lt;&gt;"",UPPER(TRIM(G6)),IF(ISNUMBER(SEARCH(" ",TRIM(F6))),UPPER(LEFT(TRIM(RIGHT(SUBSTITUTE(TRIM(F6)," ",REPT(" ",100)),100)),Settings!$B$9)),UPPER(LEFT(TRIM(F6),Settings!$B$9)))))</f>
        <v/>
      </c>
      <c r="I6" s="9" t="n"/>
      <c r="J6" s="9" t="n"/>
      <c r="K6" s="9" t="inlineStr">
        <is>
          <t>Fiction (FIC)</t>
        </is>
      </c>
      <c r="L6" s="9" t="inlineStr">
        <is>
          <t>Literature (LIT)</t>
        </is>
      </c>
      <c r="M6" s="9" t="inlineStr">
        <is>
          <t>Bengali</t>
        </is>
      </c>
      <c r="N6" s="9" t="inlineStr">
        <is>
          <t>Vol 5</t>
        </is>
      </c>
      <c r="O6" s="9" t="n"/>
      <c r="P6" s="9" t="n"/>
      <c r="Q6" s="9" t="n"/>
      <c r="R6" s="9" t="n"/>
      <c r="S6" s="9" t="n"/>
      <c r="T6" s="9" t="n"/>
      <c r="U6" s="9" t="n"/>
      <c r="V6" s="9" t="n"/>
      <c r="W6" s="9" t="inlineStr">
        <is>
          <t>Shelf</t>
        </is>
      </c>
      <c r="X6" s="9" t="inlineStr">
        <is>
          <t>A2</t>
        </is>
      </c>
      <c r="Y6" s="9" t="inlineStr">
        <is>
          <t>Good</t>
        </is>
      </c>
      <c r="Z6" s="15">
        <f>IF(ISBLANK(D6),"",IF(COUNTIFS(Circulation!$B$2:$B$500,A6,Circulation!$H$2:$H$500,"Active")&gt;0,"On Loan","Available"))</f>
        <v/>
      </c>
      <c r="AA6" s="9" t="n"/>
      <c r="AB6" s="9" t="n"/>
      <c r="AC6" s="9" t="n"/>
      <c r="AD6" s="9" t="n"/>
      <c r="AE6" s="9" t="n"/>
      <c r="AF6" s="9" t="n"/>
      <c r="AG6" s="9" t="n"/>
    </row>
    <row r="7">
      <c r="A7" s="13">
        <f>IF(ISBLANK(D7),"",ROW()-1)</f>
        <v/>
      </c>
      <c r="B7" s="14" t="inlineStr">
        <is>
          <t>ACC-0006</t>
        </is>
      </c>
      <c r="C7" s="13">
        <f>IF(ISBLANK(D7),"",MID(K7,SEARCH("(",K7)+1,SEARCH(")",K7)-SEARCH("(",K7)-1)&amp;"-"&amp;MID(L7,SEARCH("(",L7)+1,SEARCH(")",L7)-SEARCH("(",L7)-1)&amp;"-"&amp;H7&amp;"-"&amp;TEXT(A7,"000")&amp;IF(ISBLANK(N7),"","-"&amp;SUBSTITUTE(N7," ","")))</f>
        <v/>
      </c>
      <c r="D7" s="9" t="inlineStr">
        <is>
          <t>Rabindra Rachanabali</t>
        </is>
      </c>
      <c r="E7" s="9" t="inlineStr">
        <is>
          <t>Vol 6</t>
        </is>
      </c>
      <c r="F7" s="9" t="inlineStr">
        <is>
          <t>Rabindranath Tagore</t>
        </is>
      </c>
      <c r="G7" s="9" t="n"/>
      <c r="H7" s="13">
        <f>IF(ISBLANK(F7),"",IF(G7&lt;&gt;"",UPPER(TRIM(G7)),IF(ISNUMBER(SEARCH(" ",TRIM(F7))),UPPER(LEFT(TRIM(RIGHT(SUBSTITUTE(TRIM(F7)," ",REPT(" ",100)),100)),Settings!$B$9)),UPPER(LEFT(TRIM(F7),Settings!$B$9)))))</f>
        <v/>
      </c>
      <c r="I7" s="9" t="n"/>
      <c r="J7" s="9" t="n"/>
      <c r="K7" s="9" t="inlineStr">
        <is>
          <t>Fiction (FIC)</t>
        </is>
      </c>
      <c r="L7" s="9" t="inlineStr">
        <is>
          <t>Literature (LIT)</t>
        </is>
      </c>
      <c r="M7" s="9" t="inlineStr">
        <is>
          <t>Bengali</t>
        </is>
      </c>
      <c r="N7" s="9" t="inlineStr">
        <is>
          <t>Vol 6</t>
        </is>
      </c>
      <c r="O7" s="9" t="n"/>
      <c r="P7" s="9" t="n"/>
      <c r="Q7" s="9" t="n"/>
      <c r="R7" s="9" t="n"/>
      <c r="S7" s="9" t="n"/>
      <c r="T7" s="9" t="n"/>
      <c r="U7" s="9" t="n"/>
      <c r="V7" s="9" t="n"/>
      <c r="W7" s="9" t="inlineStr">
        <is>
          <t>Shelf</t>
        </is>
      </c>
      <c r="X7" s="9" t="inlineStr">
        <is>
          <t>A2</t>
        </is>
      </c>
      <c r="Y7" s="9" t="inlineStr">
        <is>
          <t>Good</t>
        </is>
      </c>
      <c r="Z7" s="15">
        <f>IF(ISBLANK(D7),"",IF(COUNTIFS(Circulation!$B$2:$B$500,A7,Circulation!$H$2:$H$500,"Active")&gt;0,"On Loan","Available"))</f>
        <v/>
      </c>
      <c r="AA7" s="9" t="n"/>
      <c r="AB7" s="9" t="n"/>
      <c r="AC7" s="9" t="n"/>
      <c r="AD7" s="9" t="n"/>
      <c r="AE7" s="9" t="n"/>
      <c r="AF7" s="9" t="n"/>
      <c r="AG7" s="9" t="n"/>
    </row>
    <row r="8">
      <c r="A8" s="13">
        <f>IF(ISBLANK(D8),"",ROW()-1)</f>
        <v/>
      </c>
      <c r="B8" s="14" t="inlineStr">
        <is>
          <t>ACC-0007</t>
        </is>
      </c>
      <c r="C8" s="13">
        <f>IF(ISBLANK(D8),"",MID(K8,SEARCH("(",K8)+1,SEARCH(")",K8)-SEARCH("(",K8)-1)&amp;"-"&amp;MID(L8,SEARCH("(",L8)+1,SEARCH(")",L8)-SEARCH("(",L8)-1)&amp;"-"&amp;H8&amp;"-"&amp;TEXT(A8,"000")&amp;IF(ISBLANK(N8),"","-"&amp;SUBSTITUTE(N8," ","")))</f>
        <v/>
      </c>
      <c r="D8" s="9" t="inlineStr">
        <is>
          <t>Rabindra Rachanabali</t>
        </is>
      </c>
      <c r="E8" s="9" t="inlineStr">
        <is>
          <t>Vol 7</t>
        </is>
      </c>
      <c r="F8" s="9" t="inlineStr">
        <is>
          <t>Rabindranath Tagore</t>
        </is>
      </c>
      <c r="G8" s="9" t="n"/>
      <c r="H8" s="13">
        <f>IF(ISBLANK(F8),"",IF(G8&lt;&gt;"",UPPER(TRIM(G8)),IF(ISNUMBER(SEARCH(" ",TRIM(F8))),UPPER(LEFT(TRIM(RIGHT(SUBSTITUTE(TRIM(F8)," ",REPT(" ",100)),100)),Settings!$B$9)),UPPER(LEFT(TRIM(F8),Settings!$B$9)))))</f>
        <v/>
      </c>
      <c r="I8" s="9" t="n"/>
      <c r="J8" s="9" t="n"/>
      <c r="K8" s="9" t="inlineStr">
        <is>
          <t>Fiction (FIC)</t>
        </is>
      </c>
      <c r="L8" s="9" t="inlineStr">
        <is>
          <t>Literature (LIT)</t>
        </is>
      </c>
      <c r="M8" s="9" t="inlineStr">
        <is>
          <t>Bengali</t>
        </is>
      </c>
      <c r="N8" s="9" t="inlineStr">
        <is>
          <t>Vol 7</t>
        </is>
      </c>
      <c r="O8" s="9" t="n"/>
      <c r="P8" s="9" t="n"/>
      <c r="Q8" s="9" t="n"/>
      <c r="R8" s="9" t="n"/>
      <c r="S8" s="9" t="n"/>
      <c r="T8" s="9" t="n"/>
      <c r="U8" s="9" t="n"/>
      <c r="V8" s="9" t="n"/>
      <c r="W8" s="9" t="inlineStr">
        <is>
          <t>Shelf</t>
        </is>
      </c>
      <c r="X8" s="9" t="inlineStr">
        <is>
          <t>A2</t>
        </is>
      </c>
      <c r="Y8" s="9" t="inlineStr">
        <is>
          <t>Good</t>
        </is>
      </c>
      <c r="Z8" s="15">
        <f>IF(ISBLANK(D8),"",IF(COUNTIFS(Circulation!$B$2:$B$500,A8,Circulation!$H$2:$H$500,"Active")&gt;0,"On Loan","Available"))</f>
        <v/>
      </c>
      <c r="AA8" s="9" t="n"/>
      <c r="AB8" s="9" t="n"/>
      <c r="AC8" s="9" t="n"/>
      <c r="AD8" s="9" t="n"/>
      <c r="AE8" s="9" t="n"/>
      <c r="AF8" s="9" t="n"/>
      <c r="AG8" s="9" t="n"/>
    </row>
    <row r="9">
      <c r="A9" s="13">
        <f>IF(ISBLANK(D9),"",ROW()-1)</f>
        <v/>
      </c>
      <c r="B9" s="14" t="inlineStr">
        <is>
          <t>ACC-0008</t>
        </is>
      </c>
      <c r="C9" s="13">
        <f>IF(ISBLANK(D9),"",MID(K9,SEARCH("(",K9)+1,SEARCH(")",K9)-SEARCH("(",K9)-1)&amp;"-"&amp;MID(L9,SEARCH("(",L9)+1,SEARCH(")",L9)-SEARCH("(",L9)-1)&amp;"-"&amp;H9&amp;"-"&amp;TEXT(A9,"000")&amp;IF(ISBLANK(N9),"","-"&amp;SUBSTITUTE(N9," ","")))</f>
        <v/>
      </c>
      <c r="D9" s="9" t="inlineStr">
        <is>
          <t>Rabindra Rachanabali</t>
        </is>
      </c>
      <c r="E9" s="9" t="inlineStr">
        <is>
          <t>Vol 8</t>
        </is>
      </c>
      <c r="F9" s="9" t="inlineStr">
        <is>
          <t>Rabindranath Tagore</t>
        </is>
      </c>
      <c r="G9" s="9" t="n"/>
      <c r="H9" s="13">
        <f>IF(ISBLANK(F9),"",IF(G9&lt;&gt;"",UPPER(TRIM(G9)),IF(ISNUMBER(SEARCH(" ",TRIM(F9))),UPPER(LEFT(TRIM(RIGHT(SUBSTITUTE(TRIM(F9)," ",REPT(" ",100)),100)),Settings!$B$9)),UPPER(LEFT(TRIM(F9),Settings!$B$9)))))</f>
        <v/>
      </c>
      <c r="I9" s="9" t="n"/>
      <c r="J9" s="9" t="n"/>
      <c r="K9" s="9" t="inlineStr">
        <is>
          <t>Fiction (FIC)</t>
        </is>
      </c>
      <c r="L9" s="9" t="inlineStr">
        <is>
          <t>Literature (LIT)</t>
        </is>
      </c>
      <c r="M9" s="9" t="inlineStr">
        <is>
          <t>Bengali</t>
        </is>
      </c>
      <c r="N9" s="9" t="inlineStr">
        <is>
          <t>Vol 8</t>
        </is>
      </c>
      <c r="O9" s="9" t="n"/>
      <c r="P9" s="9" t="n"/>
      <c r="Q9" s="9" t="n"/>
      <c r="R9" s="9" t="n"/>
      <c r="S9" s="9" t="n"/>
      <c r="T9" s="9" t="n"/>
      <c r="U9" s="9" t="n"/>
      <c r="V9" s="9" t="n"/>
      <c r="W9" s="9" t="inlineStr">
        <is>
          <t>Shelf</t>
        </is>
      </c>
      <c r="X9" s="9" t="inlineStr">
        <is>
          <t>A2</t>
        </is>
      </c>
      <c r="Y9" s="9" t="inlineStr">
        <is>
          <t>Good</t>
        </is>
      </c>
      <c r="Z9" s="15">
        <f>IF(ISBLANK(D9),"",IF(COUNTIFS(Circulation!$B$2:$B$500,A9,Circulation!$H$2:$H$500,"Active")&gt;0,"On Loan","Available"))</f>
        <v/>
      </c>
      <c r="AA9" s="9" t="n"/>
      <c r="AB9" s="9" t="n"/>
      <c r="AC9" s="9" t="n"/>
      <c r="AD9" s="9" t="n"/>
      <c r="AE9" s="9" t="n"/>
      <c r="AF9" s="9" t="n"/>
      <c r="AG9" s="9" t="n"/>
    </row>
    <row r="10">
      <c r="A10" s="13">
        <f>IF(ISBLANK(D10),"",ROW()-1)</f>
        <v/>
      </c>
      <c r="B10" s="14" t="inlineStr">
        <is>
          <t>ACC-0009</t>
        </is>
      </c>
      <c r="C10" s="13">
        <f>IF(ISBLANK(D10),"",MID(K10,SEARCH("(",K10)+1,SEARCH(")",K10)-SEARCH("(",K10)-1)&amp;"-"&amp;MID(L10,SEARCH("(",L10)+1,SEARCH(")",L10)-SEARCH("(",L10)-1)&amp;"-"&amp;H10&amp;"-"&amp;TEXT(A10,"000")&amp;IF(ISBLANK(N10),"","-"&amp;SUBSTITUTE(N10," ","")))</f>
        <v/>
      </c>
      <c r="D10" s="9" t="inlineStr">
        <is>
          <t>Rabindra Rachanabali</t>
        </is>
      </c>
      <c r="E10" s="9" t="inlineStr">
        <is>
          <t>Vol 9</t>
        </is>
      </c>
      <c r="F10" s="9" t="inlineStr">
        <is>
          <t>Rabindranath Tagore</t>
        </is>
      </c>
      <c r="G10" s="9" t="n"/>
      <c r="H10" s="13">
        <f>IF(ISBLANK(F10),"",IF(G10&lt;&gt;"",UPPER(TRIM(G10)),IF(ISNUMBER(SEARCH(" ",TRIM(F10))),UPPER(LEFT(TRIM(RIGHT(SUBSTITUTE(TRIM(F10)," ",REPT(" ",100)),100)),Settings!$B$9)),UPPER(LEFT(TRIM(F10),Settings!$B$9)))))</f>
        <v/>
      </c>
      <c r="I10" s="9" t="n"/>
      <c r="J10" s="9" t="n"/>
      <c r="K10" s="9" t="inlineStr">
        <is>
          <t>Fiction (FIC)</t>
        </is>
      </c>
      <c r="L10" s="9" t="inlineStr">
        <is>
          <t>Literature (LIT)</t>
        </is>
      </c>
      <c r="M10" s="9" t="inlineStr">
        <is>
          <t>Bengali</t>
        </is>
      </c>
      <c r="N10" s="9" t="inlineStr">
        <is>
          <t>Vol 9</t>
        </is>
      </c>
      <c r="O10" s="9" t="n"/>
      <c r="P10" s="9" t="n"/>
      <c r="Q10" s="9" t="n"/>
      <c r="R10" s="9" t="n"/>
      <c r="S10" s="9" t="n"/>
      <c r="T10" s="9" t="n"/>
      <c r="U10" s="9" t="n"/>
      <c r="V10" s="9" t="n"/>
      <c r="W10" s="9" t="inlineStr">
        <is>
          <t>Shelf</t>
        </is>
      </c>
      <c r="X10" s="9" t="inlineStr">
        <is>
          <t>A1</t>
        </is>
      </c>
      <c r="Y10" s="9" t="inlineStr">
        <is>
          <t>Good</t>
        </is>
      </c>
      <c r="Z10" s="15">
        <f>IF(ISBLANK(D10),"",IF(COUNTIFS(Circulation!$B$2:$B$500,A10,Circulation!$H$2:$H$500,"Active")&gt;0,"On Loan","Available"))</f>
        <v/>
      </c>
      <c r="AA10" s="9" t="n"/>
      <c r="AB10" s="9" t="n"/>
      <c r="AC10" s="9" t="n"/>
      <c r="AD10" s="9" t="n"/>
      <c r="AE10" s="9" t="n"/>
      <c r="AF10" s="9" t="n"/>
      <c r="AG10" s="9" t="n"/>
    </row>
    <row r="11">
      <c r="A11" s="13">
        <f>IF(ISBLANK(D11),"",ROW()-1)</f>
        <v/>
      </c>
      <c r="B11" s="14" t="inlineStr">
        <is>
          <t>ACC-0010</t>
        </is>
      </c>
      <c r="C11" s="13">
        <f>IF(ISBLANK(D11),"",MID(K11,SEARCH("(",K11)+1,SEARCH(")",K11)-SEARCH("(",K11)-1)&amp;"-"&amp;MID(L11,SEARCH("(",L11)+1,SEARCH(")",L11)-SEARCH("(",L11)-1)&amp;"-"&amp;H11&amp;"-"&amp;TEXT(A11,"000")&amp;IF(ISBLANK(N11),"","-"&amp;SUBSTITUTE(N11," ","")))</f>
        <v/>
      </c>
      <c r="D11" s="9" t="inlineStr">
        <is>
          <t>Rabindra Rachanabali</t>
        </is>
      </c>
      <c r="E11" s="9" t="inlineStr">
        <is>
          <t>Vol 10</t>
        </is>
      </c>
      <c r="F11" s="9" t="inlineStr">
        <is>
          <t>Rabindranath Tagore</t>
        </is>
      </c>
      <c r="G11" s="9" t="n"/>
      <c r="H11" s="13">
        <f>IF(ISBLANK(F11),"",IF(G11&lt;&gt;"",UPPER(TRIM(G11)),IF(ISNUMBER(SEARCH(" ",TRIM(F11))),UPPER(LEFT(TRIM(RIGHT(SUBSTITUTE(TRIM(F11)," ",REPT(" ",100)),100)),Settings!$B$9)),UPPER(LEFT(TRIM(F11),Settings!$B$9)))))</f>
        <v/>
      </c>
      <c r="I11" s="9" t="n"/>
      <c r="J11" s="9" t="n"/>
      <c r="K11" s="9" t="inlineStr">
        <is>
          <t>Fiction (FIC)</t>
        </is>
      </c>
      <c r="L11" s="9" t="inlineStr">
        <is>
          <t>Literature (LIT)</t>
        </is>
      </c>
      <c r="M11" s="9" t="inlineStr">
        <is>
          <t>Bengali</t>
        </is>
      </c>
      <c r="N11" s="9" t="inlineStr">
        <is>
          <t>Vol 10</t>
        </is>
      </c>
      <c r="O11" s="9" t="n"/>
      <c r="P11" s="9" t="n"/>
      <c r="Q11" s="9" t="n"/>
      <c r="R11" s="9" t="n"/>
      <c r="S11" s="9" t="n"/>
      <c r="T11" s="9" t="n"/>
      <c r="U11" s="9" t="n"/>
      <c r="V11" s="9" t="n"/>
      <c r="W11" s="9" t="inlineStr">
        <is>
          <t>Shelf</t>
        </is>
      </c>
      <c r="X11" s="9" t="inlineStr">
        <is>
          <t>A1</t>
        </is>
      </c>
      <c r="Y11" s="9" t="inlineStr">
        <is>
          <t>Good</t>
        </is>
      </c>
      <c r="Z11" s="15">
        <f>IF(ISBLANK(D11),"",IF(COUNTIFS(Circulation!$B$2:$B$500,A11,Circulation!$H$2:$H$500,"Active")&gt;0,"On Loan","Available"))</f>
        <v/>
      </c>
      <c r="AA11" s="9" t="n"/>
      <c r="AB11" s="9" t="n"/>
      <c r="AC11" s="9" t="n"/>
      <c r="AD11" s="9" t="n"/>
      <c r="AE11" s="9" t="n"/>
      <c r="AF11" s="9" t="n"/>
      <c r="AG11" s="9" t="n"/>
    </row>
    <row r="12">
      <c r="A12" s="13">
        <f>IF(ISBLANK(D12),"",ROW()-1)</f>
        <v/>
      </c>
      <c r="B12" s="14" t="inlineStr">
        <is>
          <t>ACC-0011</t>
        </is>
      </c>
      <c r="C12" s="13">
        <f>IF(ISBLANK(D12),"",MID(K12,SEARCH("(",K12)+1,SEARCH(")",K12)-SEARCH("(",K12)-1)&amp;"-"&amp;MID(L12,SEARCH("(",L12)+1,SEARCH(")",L12)-SEARCH("(",L12)-1)&amp;"-"&amp;H12&amp;"-"&amp;TEXT(A12,"000")&amp;IF(ISBLANK(N12),"","-"&amp;SUBSTITUTE(N12," ","")))</f>
        <v/>
      </c>
      <c r="D12" s="9" t="inlineStr">
        <is>
          <t>Rabindra Rachanabali</t>
        </is>
      </c>
      <c r="E12" s="9" t="inlineStr">
        <is>
          <t>Vol 11</t>
        </is>
      </c>
      <c r="F12" s="9" t="inlineStr">
        <is>
          <t>Rabindranath Tagore</t>
        </is>
      </c>
      <c r="G12" s="9" t="n"/>
      <c r="H12" s="13">
        <f>IF(ISBLANK(F12),"",IF(G12&lt;&gt;"",UPPER(TRIM(G12)),IF(ISNUMBER(SEARCH(" ",TRIM(F12))),UPPER(LEFT(TRIM(RIGHT(SUBSTITUTE(TRIM(F12)," ",REPT(" ",100)),100)),Settings!$B$9)),UPPER(LEFT(TRIM(F12),Settings!$B$9)))))</f>
        <v/>
      </c>
      <c r="I12" s="9" t="n"/>
      <c r="J12" s="9" t="n"/>
      <c r="K12" s="9" t="inlineStr">
        <is>
          <t>Fiction (FIC)</t>
        </is>
      </c>
      <c r="L12" s="9" t="inlineStr">
        <is>
          <t>Literature (LIT)</t>
        </is>
      </c>
      <c r="M12" s="9" t="inlineStr">
        <is>
          <t>Bengali</t>
        </is>
      </c>
      <c r="N12" s="9" t="inlineStr">
        <is>
          <t>Vol 11</t>
        </is>
      </c>
      <c r="O12" s="9" t="n"/>
      <c r="P12" s="9" t="n"/>
      <c r="Q12" s="9" t="n"/>
      <c r="R12" s="9" t="n"/>
      <c r="S12" s="9" t="n"/>
      <c r="T12" s="9" t="n"/>
      <c r="U12" s="9" t="n"/>
      <c r="V12" s="9" t="n"/>
      <c r="W12" s="9" t="inlineStr">
        <is>
          <t>Shelf</t>
        </is>
      </c>
      <c r="X12" s="9" t="inlineStr">
        <is>
          <t>A1</t>
        </is>
      </c>
      <c r="Y12" s="9" t="inlineStr">
        <is>
          <t>Good</t>
        </is>
      </c>
      <c r="Z12" s="15">
        <f>IF(ISBLANK(D12),"",IF(COUNTIFS(Circulation!$B$2:$B$500,A12,Circulation!$H$2:$H$500,"Active")&gt;0,"On Loan","Available"))</f>
        <v/>
      </c>
      <c r="AA12" s="9" t="n"/>
      <c r="AB12" s="9" t="n"/>
      <c r="AC12" s="9" t="n"/>
      <c r="AD12" s="9" t="n"/>
      <c r="AE12" s="9" t="n"/>
      <c r="AF12" s="9" t="n"/>
      <c r="AG12" s="9" t="n"/>
    </row>
    <row r="13">
      <c r="A13" s="13">
        <f>IF(ISBLANK(D13),"",ROW()-1)</f>
        <v/>
      </c>
      <c r="B13" s="14" t="inlineStr">
        <is>
          <t>ACC-0012</t>
        </is>
      </c>
      <c r="C13" s="13">
        <f>IF(ISBLANK(D13),"",MID(K13,SEARCH("(",K13)+1,SEARCH(")",K13)-SEARCH("(",K13)-1)&amp;"-"&amp;MID(L13,SEARCH("(",L13)+1,SEARCH(")",L13)-SEARCH("(",L13)-1)&amp;"-"&amp;H13&amp;"-"&amp;TEXT(A13,"000")&amp;IF(ISBLANK(N13),"","-"&amp;SUBSTITUTE(N13," ","")))</f>
        <v/>
      </c>
      <c r="D13" s="9" t="inlineStr">
        <is>
          <t>Rabindra Rachanabali</t>
        </is>
      </c>
      <c r="E13" s="9" t="inlineStr">
        <is>
          <t>Vol 12</t>
        </is>
      </c>
      <c r="F13" s="9" t="inlineStr">
        <is>
          <t>Rabindranath Tagore</t>
        </is>
      </c>
      <c r="G13" s="9" t="n"/>
      <c r="H13" s="13">
        <f>IF(ISBLANK(F13),"",IF(G13&lt;&gt;"",UPPER(TRIM(G13)),IF(ISNUMBER(SEARCH(" ",TRIM(F13))),UPPER(LEFT(TRIM(RIGHT(SUBSTITUTE(TRIM(F13)," ",REPT(" ",100)),100)),Settings!$B$9)),UPPER(LEFT(TRIM(F13),Settings!$B$9)))))</f>
        <v/>
      </c>
      <c r="I13" s="9" t="n"/>
      <c r="J13" s="9" t="n"/>
      <c r="K13" s="9" t="inlineStr">
        <is>
          <t>Fiction (FIC)</t>
        </is>
      </c>
      <c r="L13" s="9" t="inlineStr">
        <is>
          <t>Literature (LIT)</t>
        </is>
      </c>
      <c r="M13" s="9" t="inlineStr">
        <is>
          <t>Bengali</t>
        </is>
      </c>
      <c r="N13" s="9" t="inlineStr">
        <is>
          <t>Vol 12</t>
        </is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inlineStr">
        <is>
          <t>Shelf</t>
        </is>
      </c>
      <c r="X13" s="9" t="inlineStr">
        <is>
          <t>A1</t>
        </is>
      </c>
      <c r="Y13" s="9" t="inlineStr">
        <is>
          <t>Good</t>
        </is>
      </c>
      <c r="Z13" s="15">
        <f>IF(ISBLANK(D13),"",IF(COUNTIFS(Circulation!$B$2:$B$500,A13,Circulation!$H$2:$H$500,"Active")&gt;0,"On Loan","Available"))</f>
        <v/>
      </c>
      <c r="AA13" s="9" t="n"/>
      <c r="AB13" s="9" t="n"/>
      <c r="AC13" s="9" t="n"/>
      <c r="AD13" s="9" t="n"/>
      <c r="AE13" s="9" t="n"/>
      <c r="AF13" s="9" t="n"/>
      <c r="AG13" s="9" t="n"/>
    </row>
    <row r="14">
      <c r="A14" s="13">
        <f>IF(ISBLANK(D14),"",ROW()-1)</f>
        <v/>
      </c>
      <c r="B14" s="14" t="inlineStr">
        <is>
          <t>ACC-0013</t>
        </is>
      </c>
      <c r="C14" s="13">
        <f>IF(ISBLANK(D14),"",MID(K14,SEARCH("(",K14)+1,SEARCH(")",K14)-SEARCH("(",K14)-1)&amp;"-"&amp;MID(L14,SEARCH("(",L14)+1,SEARCH(")",L14)-SEARCH("(",L14)-1)&amp;"-"&amp;H14&amp;"-"&amp;TEXT(A14,"000")&amp;IF(ISBLANK(N14),"","-"&amp;SUBSTITUTE(N14," ","")))</f>
        <v/>
      </c>
      <c r="D14" s="9" t="inlineStr">
        <is>
          <t>Rabindra Rachanabali</t>
        </is>
      </c>
      <c r="E14" s="9" t="inlineStr">
        <is>
          <t>Vol 13</t>
        </is>
      </c>
      <c r="F14" s="9" t="inlineStr">
        <is>
          <t>Rabindranath Tagore</t>
        </is>
      </c>
      <c r="G14" s="9" t="n"/>
      <c r="H14" s="13">
        <f>IF(ISBLANK(F14),"",IF(G14&lt;&gt;"",UPPER(TRIM(G14)),IF(ISNUMBER(SEARCH(" ",TRIM(F14))),UPPER(LEFT(TRIM(RIGHT(SUBSTITUTE(TRIM(F14)," ",REPT(" ",100)),100)),Settings!$B$9)),UPPER(LEFT(TRIM(F14),Settings!$B$9)))))</f>
        <v/>
      </c>
      <c r="I14" s="9" t="n"/>
      <c r="J14" s="9" t="n"/>
      <c r="K14" s="9" t="inlineStr">
        <is>
          <t>Fiction (FIC)</t>
        </is>
      </c>
      <c r="L14" s="9" t="inlineStr">
        <is>
          <t>Literature (LIT)</t>
        </is>
      </c>
      <c r="M14" s="9" t="inlineStr">
        <is>
          <t>Bengali</t>
        </is>
      </c>
      <c r="N14" s="9" t="inlineStr">
        <is>
          <t>Vol 13</t>
        </is>
      </c>
      <c r="O14" s="9" t="n"/>
      <c r="P14" s="9" t="n"/>
      <c r="Q14" s="9" t="n"/>
      <c r="R14" s="9" t="n"/>
      <c r="S14" s="9" t="n"/>
      <c r="T14" s="9" t="n"/>
      <c r="U14" s="9" t="n"/>
      <c r="V14" s="9" t="n"/>
      <c r="W14" s="9" t="inlineStr">
        <is>
          <t>Shelf</t>
        </is>
      </c>
      <c r="X14" s="9" t="inlineStr">
        <is>
          <t>A1</t>
        </is>
      </c>
      <c r="Y14" s="9" t="inlineStr">
        <is>
          <t>Good</t>
        </is>
      </c>
      <c r="Z14" s="15">
        <f>IF(ISBLANK(D14),"",IF(COUNTIFS(Circulation!$B$2:$B$500,A14,Circulation!$H$2:$H$500,"Active")&gt;0,"On Loan","Available"))</f>
        <v/>
      </c>
      <c r="AA14" s="9" t="n"/>
      <c r="AB14" s="9" t="n"/>
      <c r="AC14" s="9" t="n"/>
      <c r="AD14" s="9" t="n"/>
      <c r="AE14" s="9" t="n"/>
      <c r="AF14" s="9" t="n"/>
      <c r="AG14" s="9" t="n"/>
    </row>
    <row r="15">
      <c r="A15" s="13">
        <f>IF(ISBLANK(D15),"",ROW()-1)</f>
        <v/>
      </c>
      <c r="B15" s="14" t="inlineStr">
        <is>
          <t>ACC-0014</t>
        </is>
      </c>
      <c r="C15" s="13">
        <f>IF(ISBLANK(D15),"",MID(K15,SEARCH("(",K15)+1,SEARCH(")",K15)-SEARCH("(",K15)-1)&amp;"-"&amp;MID(L15,SEARCH("(",L15)+1,SEARCH(")",L15)-SEARCH("(",L15)-1)&amp;"-"&amp;H15&amp;"-"&amp;TEXT(A15,"000")&amp;IF(ISBLANK(N15),"","-"&amp;SUBSTITUTE(N15," ","")))</f>
        <v/>
      </c>
      <c r="D15" s="9" t="inlineStr">
        <is>
          <t>Rabindra Rachanabali</t>
        </is>
      </c>
      <c r="E15" s="9" t="inlineStr">
        <is>
          <t>Vol 14</t>
        </is>
      </c>
      <c r="F15" s="9" t="inlineStr">
        <is>
          <t>Rabindranath Tagore</t>
        </is>
      </c>
      <c r="G15" s="9" t="n"/>
      <c r="H15" s="13">
        <f>IF(ISBLANK(F15),"",IF(G15&lt;&gt;"",UPPER(TRIM(G15)),IF(ISNUMBER(SEARCH(" ",TRIM(F15))),UPPER(LEFT(TRIM(RIGHT(SUBSTITUTE(TRIM(F15)," ",REPT(" ",100)),100)),Settings!$B$9)),UPPER(LEFT(TRIM(F15),Settings!$B$9)))))</f>
        <v/>
      </c>
      <c r="I15" s="9" t="n"/>
      <c r="J15" s="9" t="n"/>
      <c r="K15" s="9" t="inlineStr">
        <is>
          <t>Fiction (FIC)</t>
        </is>
      </c>
      <c r="L15" s="9" t="inlineStr">
        <is>
          <t>Literature (LIT)</t>
        </is>
      </c>
      <c r="M15" s="9" t="inlineStr">
        <is>
          <t>Bengali</t>
        </is>
      </c>
      <c r="N15" s="9" t="inlineStr">
        <is>
          <t>Vol 14</t>
        </is>
      </c>
      <c r="O15" s="9" t="n"/>
      <c r="P15" s="9" t="n"/>
      <c r="Q15" s="9" t="n"/>
      <c r="R15" s="9" t="n"/>
      <c r="S15" s="9" t="n"/>
      <c r="T15" s="9" t="n"/>
      <c r="U15" s="9" t="n"/>
      <c r="V15" s="9" t="n"/>
      <c r="W15" s="9" t="inlineStr">
        <is>
          <t>Shelf</t>
        </is>
      </c>
      <c r="X15" s="9" t="inlineStr">
        <is>
          <t>A1</t>
        </is>
      </c>
      <c r="Y15" s="9" t="inlineStr">
        <is>
          <t>Good</t>
        </is>
      </c>
      <c r="Z15" s="15">
        <f>IF(ISBLANK(D15),"",IF(COUNTIFS(Circulation!$B$2:$B$500,A15,Circulation!$H$2:$H$500,"Active")&gt;0,"On Loan","Available"))</f>
        <v/>
      </c>
      <c r="AA15" s="9" t="n"/>
      <c r="AB15" s="9" t="n"/>
      <c r="AC15" s="9" t="n"/>
      <c r="AD15" s="9" t="n"/>
      <c r="AE15" s="9" t="n"/>
      <c r="AF15" s="9" t="n"/>
      <c r="AG15" s="9" t="n"/>
    </row>
    <row r="16">
      <c r="A16" s="13">
        <f>IF(ISBLANK(D16),"",ROW()-1)</f>
        <v/>
      </c>
      <c r="B16" s="14" t="inlineStr">
        <is>
          <t>ACC-0015</t>
        </is>
      </c>
      <c r="C16" s="13">
        <f>IF(ISBLANK(D16),"",MID(K16,SEARCH("(",K16)+1,SEARCH(")",K16)-SEARCH("(",K16)-1)&amp;"-"&amp;MID(L16,SEARCH("(",L16)+1,SEARCH(")",L16)-SEARCH("(",L16)-1)&amp;"-"&amp;H16&amp;"-"&amp;TEXT(A16,"000")&amp;IF(ISBLANK(N16),"","-"&amp;SUBSTITUTE(N16," ","")))</f>
        <v/>
      </c>
      <c r="D16" s="9" t="inlineStr">
        <is>
          <t>Rabindra Rachanabali</t>
        </is>
      </c>
      <c r="E16" s="9" t="inlineStr">
        <is>
          <t>Vol 15</t>
        </is>
      </c>
      <c r="F16" s="9" t="inlineStr">
        <is>
          <t>Rabindranath Tagore</t>
        </is>
      </c>
      <c r="G16" s="9" t="n"/>
      <c r="H16" s="13">
        <f>IF(ISBLANK(F16),"",IF(G16&lt;&gt;"",UPPER(TRIM(G16)),IF(ISNUMBER(SEARCH(" ",TRIM(F16))),UPPER(LEFT(TRIM(RIGHT(SUBSTITUTE(TRIM(F16)," ",REPT(" ",100)),100)),Settings!$B$9)),UPPER(LEFT(TRIM(F16),Settings!$B$9)))))</f>
        <v/>
      </c>
      <c r="I16" s="9" t="n"/>
      <c r="J16" s="9" t="n"/>
      <c r="K16" s="9" t="inlineStr">
        <is>
          <t>Fiction (FIC)</t>
        </is>
      </c>
      <c r="L16" s="9" t="inlineStr">
        <is>
          <t>Literature (LIT)</t>
        </is>
      </c>
      <c r="M16" s="9" t="inlineStr">
        <is>
          <t>Bengali</t>
        </is>
      </c>
      <c r="N16" s="9" t="inlineStr">
        <is>
          <t>Vol 15</t>
        </is>
      </c>
      <c r="O16" s="9" t="n"/>
      <c r="P16" s="9" t="n"/>
      <c r="Q16" s="9" t="n"/>
      <c r="R16" s="9" t="n"/>
      <c r="S16" s="9" t="n"/>
      <c r="T16" s="9" t="n"/>
      <c r="U16" s="9" t="n"/>
      <c r="V16" s="9" t="n"/>
      <c r="W16" s="9" t="inlineStr">
        <is>
          <t>Shelf</t>
        </is>
      </c>
      <c r="X16" s="9" t="inlineStr">
        <is>
          <t>A1</t>
        </is>
      </c>
      <c r="Y16" s="9" t="inlineStr">
        <is>
          <t>Good</t>
        </is>
      </c>
      <c r="Z16" s="15">
        <f>IF(ISBLANK(D16),"",IF(COUNTIFS(Circulation!$B$2:$B$500,A16,Circulation!$H$2:$H$500,"Active")&gt;0,"On Loan","Available"))</f>
        <v/>
      </c>
      <c r="AA16" s="9" t="n"/>
      <c r="AB16" s="9" t="n"/>
      <c r="AC16" s="9" t="n"/>
      <c r="AD16" s="9" t="n"/>
      <c r="AE16" s="9" t="n"/>
      <c r="AF16" s="9" t="n"/>
      <c r="AG16" s="9" t="n"/>
    </row>
    <row r="17">
      <c r="A17" s="13">
        <f>IF(ISBLANK(D17),"",ROW()-1)</f>
        <v/>
      </c>
      <c r="B17" s="14" t="inlineStr">
        <is>
          <t>ACC-0016</t>
        </is>
      </c>
      <c r="C17" s="13">
        <f>IF(ISBLANK(D17),"",MID(K17,SEARCH("(",K17)+1,SEARCH(")",K17)-SEARCH("(",K17)-1)&amp;"-"&amp;MID(L17,SEARCH("(",L17)+1,SEARCH(")",L17)-SEARCH("(",L17)-1)&amp;"-"&amp;H17&amp;"-"&amp;TEXT(A17,"000")&amp;IF(ISBLANK(N17),"","-"&amp;SUBSTITUTE(N17," ","")))</f>
        <v/>
      </c>
      <c r="D17" s="9" t="inlineStr">
        <is>
          <t>Rabindra Rachanabali</t>
        </is>
      </c>
      <c r="E17" s="9" t="inlineStr">
        <is>
          <t>Vol 16</t>
        </is>
      </c>
      <c r="F17" s="9" t="inlineStr">
        <is>
          <t>Rabindranath Tagore</t>
        </is>
      </c>
      <c r="G17" s="9" t="n"/>
      <c r="H17" s="13">
        <f>IF(ISBLANK(F17),"",IF(G17&lt;&gt;"",UPPER(TRIM(G17)),IF(ISNUMBER(SEARCH(" ",TRIM(F17))),UPPER(LEFT(TRIM(RIGHT(SUBSTITUTE(TRIM(F17)," ",REPT(" ",100)),100)),Settings!$B$9)),UPPER(LEFT(TRIM(F17),Settings!$B$9)))))</f>
        <v/>
      </c>
      <c r="I17" s="9" t="n"/>
      <c r="J17" s="9" t="n"/>
      <c r="K17" s="9" t="inlineStr">
        <is>
          <t>Fiction (FIC)</t>
        </is>
      </c>
      <c r="L17" s="9" t="inlineStr">
        <is>
          <t>Literature (LIT)</t>
        </is>
      </c>
      <c r="M17" s="9" t="inlineStr">
        <is>
          <t>Bengali</t>
        </is>
      </c>
      <c r="N17" s="9" t="inlineStr">
        <is>
          <t>Vol 16</t>
        </is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inlineStr">
        <is>
          <t>Shelf</t>
        </is>
      </c>
      <c r="X17" s="9" t="inlineStr">
        <is>
          <t>A1</t>
        </is>
      </c>
      <c r="Y17" s="9" t="inlineStr">
        <is>
          <t>Good</t>
        </is>
      </c>
      <c r="Z17" s="15">
        <f>IF(ISBLANK(D17),"",IF(COUNTIFS(Circulation!$B$2:$B$500,A17,Circulation!$H$2:$H$500,"Active")&gt;0,"On Loan","Available"))</f>
        <v/>
      </c>
      <c r="AA17" s="9" t="n"/>
      <c r="AB17" s="9" t="n"/>
      <c r="AC17" s="9" t="n"/>
      <c r="AD17" s="9" t="n"/>
      <c r="AE17" s="9" t="n"/>
      <c r="AF17" s="9" t="n"/>
      <c r="AG17" s="9" t="n"/>
    </row>
    <row r="18">
      <c r="A18" s="13">
        <f>IF(ISBLANK(D18),"",ROW()-1)</f>
        <v/>
      </c>
      <c r="B18" s="14" t="inlineStr">
        <is>
          <t>ACC-0017</t>
        </is>
      </c>
      <c r="C18" s="13">
        <f>IF(ISBLANK(D18),"",MID(K18,SEARCH("(",K18)+1,SEARCH(")",K18)-SEARCH("(",K18)-1)&amp;"-"&amp;MID(L18,SEARCH("(",L18)+1,SEARCH(")",L18)-SEARCH("(",L18)-1)&amp;"-"&amp;H18&amp;"-"&amp;TEXT(A18,"000")&amp;IF(ISBLANK(N18),"","-"&amp;SUBSTITUTE(N18," ","")))</f>
        <v/>
      </c>
      <c r="D18" s="9" t="inlineStr">
        <is>
          <t>Rabindra Rachanabali</t>
        </is>
      </c>
      <c r="E18" s="9" t="inlineStr">
        <is>
          <t>Vol 17</t>
        </is>
      </c>
      <c r="F18" s="9" t="inlineStr">
        <is>
          <t>Rabindranath Tagore</t>
        </is>
      </c>
      <c r="G18" s="9" t="n"/>
      <c r="H18" s="13">
        <f>IF(ISBLANK(F18),"",IF(G18&lt;&gt;"",UPPER(TRIM(G18)),IF(ISNUMBER(SEARCH(" ",TRIM(F18))),UPPER(LEFT(TRIM(RIGHT(SUBSTITUTE(TRIM(F18)," ",REPT(" ",100)),100)),Settings!$B$9)),UPPER(LEFT(TRIM(F18),Settings!$B$9)))))</f>
        <v/>
      </c>
      <c r="I18" s="9" t="n"/>
      <c r="J18" s="9" t="n"/>
      <c r="K18" s="9" t="inlineStr">
        <is>
          <t>Fiction (FIC)</t>
        </is>
      </c>
      <c r="L18" s="9" t="inlineStr">
        <is>
          <t>Literature (LIT)</t>
        </is>
      </c>
      <c r="M18" s="9" t="inlineStr">
        <is>
          <t>Bengali</t>
        </is>
      </c>
      <c r="N18" s="9" t="inlineStr">
        <is>
          <t>Vol 17</t>
        </is>
      </c>
      <c r="O18" s="9" t="n"/>
      <c r="P18" s="9" t="n"/>
      <c r="Q18" s="9" t="n"/>
      <c r="R18" s="9" t="n"/>
      <c r="S18" s="9" t="n"/>
      <c r="T18" s="9" t="n"/>
      <c r="U18" s="9" t="n"/>
      <c r="V18" s="9" t="n"/>
      <c r="W18" s="9" t="inlineStr">
        <is>
          <t>Shelf</t>
        </is>
      </c>
      <c r="X18" s="9" t="inlineStr">
        <is>
          <t>A1</t>
        </is>
      </c>
      <c r="Y18" s="9" t="inlineStr">
        <is>
          <t>Good</t>
        </is>
      </c>
      <c r="Z18" s="15">
        <f>IF(ISBLANK(D18),"",IF(COUNTIFS(Circulation!$B$2:$B$500,A18,Circulation!$H$2:$H$500,"Active")&gt;0,"On Loan","Available"))</f>
        <v/>
      </c>
      <c r="AA18" s="9" t="n"/>
      <c r="AB18" s="9" t="n"/>
      <c r="AC18" s="9" t="n"/>
      <c r="AD18" s="9" t="n"/>
      <c r="AE18" s="9" t="n"/>
      <c r="AF18" s="9" t="n"/>
      <c r="AG18" s="9" t="n"/>
    </row>
    <row r="19">
      <c r="A19" s="13">
        <f>IF(ISBLANK(D19),"",ROW()-1)</f>
        <v/>
      </c>
      <c r="B19" s="14" t="inlineStr">
        <is>
          <t>ACC-0018</t>
        </is>
      </c>
      <c r="C19" s="13">
        <f>IF(ISBLANK(D19),"",MID(K19,SEARCH("(",K19)+1,SEARCH(")",K19)-SEARCH("(",K19)-1)&amp;"-"&amp;MID(L19,SEARCH("(",L19)+1,SEARCH(")",L19)-SEARCH("(",L19)-1)&amp;"-"&amp;H19&amp;"-"&amp;TEXT(A19,"000")&amp;IF(ISBLANK(N19),"","-"&amp;SUBSTITUTE(N19," ","")))</f>
        <v/>
      </c>
      <c r="D19" s="9" t="inlineStr">
        <is>
          <t>Rabindra Rachanabali</t>
        </is>
      </c>
      <c r="E19" s="9" t="inlineStr">
        <is>
          <t>Vol 18</t>
        </is>
      </c>
      <c r="F19" s="9" t="inlineStr">
        <is>
          <t>Rabindranath Tagore</t>
        </is>
      </c>
      <c r="G19" s="9" t="n"/>
      <c r="H19" s="13">
        <f>IF(ISBLANK(F19),"",IF(G19&lt;&gt;"",UPPER(TRIM(G19)),IF(ISNUMBER(SEARCH(" ",TRIM(F19))),UPPER(LEFT(TRIM(RIGHT(SUBSTITUTE(TRIM(F19)," ",REPT(" ",100)),100)),Settings!$B$9)),UPPER(LEFT(TRIM(F19),Settings!$B$9)))))</f>
        <v/>
      </c>
      <c r="I19" s="9" t="n"/>
      <c r="J19" s="9" t="n"/>
      <c r="K19" s="9" t="inlineStr">
        <is>
          <t>Fiction (FIC)</t>
        </is>
      </c>
      <c r="L19" s="9" t="inlineStr">
        <is>
          <t>Literature (LIT)</t>
        </is>
      </c>
      <c r="M19" s="9" t="inlineStr">
        <is>
          <t>Bengali</t>
        </is>
      </c>
      <c r="N19" s="9" t="inlineStr">
        <is>
          <t>Vol 18</t>
        </is>
      </c>
      <c r="O19" s="9" t="n"/>
      <c r="P19" s="9" t="n"/>
      <c r="Q19" s="9" t="n"/>
      <c r="R19" s="9" t="n"/>
      <c r="S19" s="9" t="n"/>
      <c r="T19" s="9" t="n"/>
      <c r="U19" s="9" t="n"/>
      <c r="V19" s="9" t="n"/>
      <c r="W19" s="9" t="inlineStr">
        <is>
          <t>Shelf</t>
        </is>
      </c>
      <c r="X19" s="9" t="inlineStr">
        <is>
          <t>A1</t>
        </is>
      </c>
      <c r="Y19" s="9" t="inlineStr">
        <is>
          <t>Good</t>
        </is>
      </c>
      <c r="Z19" s="15">
        <f>IF(ISBLANK(D19),"",IF(COUNTIFS(Circulation!$B$2:$B$500,A19,Circulation!$H$2:$H$500,"Active")&gt;0,"On Loan","Available"))</f>
        <v/>
      </c>
      <c r="AA19" s="9" t="n"/>
      <c r="AB19" s="9" t="n"/>
      <c r="AC19" s="9" t="n"/>
      <c r="AD19" s="9" t="n"/>
      <c r="AE19" s="9" t="n"/>
      <c r="AF19" s="9" t="n"/>
      <c r="AG19" s="9" t="n"/>
    </row>
    <row r="20">
      <c r="A20" s="13">
        <f>IF(ISBLANK(D20),"",ROW()-1)</f>
        <v/>
      </c>
      <c r="B20" s="14" t="inlineStr">
        <is>
          <t>ACC-0019</t>
        </is>
      </c>
      <c r="C20" s="13">
        <f>IF(ISBLANK(D20),"",MID(K20,SEARCH("(",K20)+1,SEARCH(")",K20)-SEARCH("(",K20)-1)&amp;"-"&amp;MID(L20,SEARCH("(",L20)+1,SEARCH(")",L20)-SEARCH("(",L20)-1)&amp;"-"&amp;H20&amp;"-"&amp;TEXT(A20,"000")&amp;IF(ISBLANK(N20),"","-"&amp;SUBSTITUTE(N20," ","")))</f>
        <v/>
      </c>
      <c r="D20" s="9" t="inlineStr">
        <is>
          <t>নীলকণ্ঠ পাখির খোঁজে</t>
        </is>
      </c>
      <c r="E20" s="9" t="inlineStr">
        <is>
          <t>Vol 1</t>
        </is>
      </c>
      <c r="F20" s="9" t="inlineStr">
        <is>
          <t>অতীন বন্দ্যোপাধ্যায়</t>
        </is>
      </c>
      <c r="G20" s="9" t="n"/>
      <c r="H20" s="13">
        <f>IF(ISBLANK(F20),"",IF(G20&lt;&gt;"",UPPER(TRIM(G20)),IF(ISNUMBER(SEARCH(" ",TRIM(F20))),UPPER(LEFT(TRIM(RIGHT(SUBSTITUTE(TRIM(F20)," ",REPT(" ",100)),100)),Settings!$B$9)),UPPER(LEFT(TRIM(F20),Settings!$B$9)))))</f>
        <v/>
      </c>
      <c r="I20" s="9" t="n"/>
      <c r="J20" s="9" t="n"/>
      <c r="K20" s="9" t="inlineStr">
        <is>
          <t>Fiction (FIC)</t>
        </is>
      </c>
      <c r="L20" s="9" t="inlineStr">
        <is>
          <t>Literature (LIT)</t>
        </is>
      </c>
      <c r="M20" s="9" t="inlineStr">
        <is>
          <t>Bengali</t>
        </is>
      </c>
      <c r="N20" s="9" t="inlineStr">
        <is>
          <t>Vol 1</t>
        </is>
      </c>
      <c r="O20" s="9" t="n"/>
      <c r="P20" s="9" t="n"/>
      <c r="Q20" s="9" t="n"/>
      <c r="R20" s="9" t="n"/>
      <c r="S20" s="9" t="n"/>
      <c r="T20" s="9" t="n"/>
      <c r="U20" s="9" t="n"/>
      <c r="V20" s="9" t="n"/>
      <c r="W20" s="9" t="inlineStr">
        <is>
          <t>Shelf</t>
        </is>
      </c>
      <c r="X20" s="9" t="inlineStr">
        <is>
          <t>B1</t>
        </is>
      </c>
      <c r="Y20" s="9" t="inlineStr">
        <is>
          <t>Good</t>
        </is>
      </c>
      <c r="Z20" s="15">
        <f>IF(ISBLANK(D20),"",IF(COUNTIFS(Circulation!$B$2:$B$500,A20,Circulation!$H$2:$H$500,"Active")&gt;0,"On Loan","Available"))</f>
        <v/>
      </c>
      <c r="AA20" s="9" t="n"/>
      <c r="AB20" s="9" t="n"/>
      <c r="AC20" s="9" t="n"/>
      <c r="AD20" s="9" t="n"/>
      <c r="AE20" s="9" t="n"/>
      <c r="AF20" s="9" t="n"/>
      <c r="AG20" s="9" t="n"/>
    </row>
    <row r="21">
      <c r="A21" s="13">
        <f>IF(ISBLANK(D21),"",ROW()-1)</f>
        <v/>
      </c>
      <c r="B21" s="14" t="inlineStr">
        <is>
          <t>ACC-0020</t>
        </is>
      </c>
      <c r="C21" s="13">
        <f>IF(ISBLANK(D21),"",MID(K21,SEARCH("(",K21)+1,SEARCH(")",K21)-SEARCH("(",K21)-1)&amp;"-"&amp;MID(L21,SEARCH("(",L21)+1,SEARCH(")",L21)-SEARCH("(",L21)-1)&amp;"-"&amp;H21&amp;"-"&amp;TEXT(A21,"000")&amp;IF(ISBLANK(N21),"","-"&amp;SUBSTITUTE(N21," ","")))</f>
        <v/>
      </c>
      <c r="D21" s="9" t="inlineStr">
        <is>
          <t>Desh</t>
        </is>
      </c>
      <c r="E21" s="9" t="inlineStr"/>
      <c r="F21" s="9" t="inlineStr"/>
      <c r="G21" s="9" t="n"/>
      <c r="H21" s="13">
        <f>IF(ISBLANK(F21),"",IF(G21&lt;&gt;"",UPPER(TRIM(G21)),IF(ISNUMBER(SEARCH(" ",TRIM(F21))),UPPER(LEFT(TRIM(RIGHT(SUBSTITUTE(TRIM(F21)," ",REPT(" ",100)),100)),Settings!$B$9)),UPPER(LEFT(TRIM(F21),Settings!$B$9)))))</f>
        <v/>
      </c>
      <c r="I21" s="9" t="n"/>
      <c r="J21" s="9" t="n"/>
      <c r="K21" s="9" t="inlineStr">
        <is>
          <t>Magazine</t>
        </is>
      </c>
      <c r="L21" s="9" t="inlineStr">
        <is>
          <t>Literature (LIT)</t>
        </is>
      </c>
      <c r="M21" s="9" t="inlineStr">
        <is>
          <t>Bengali</t>
        </is>
      </c>
      <c r="N21" s="9" t="inlineStr"/>
      <c r="O21" s="9" t="n"/>
      <c r="P21" s="9" t="n"/>
      <c r="Q21" s="9" t="n"/>
      <c r="R21" s="9" t="n"/>
      <c r="S21" s="9" t="n"/>
      <c r="T21" s="9" t="n"/>
      <c r="U21" s="9" t="n"/>
      <c r="V21" s="9" t="n"/>
      <c r="W21" s="9" t="inlineStr">
        <is>
          <t>Magazine Rack</t>
        </is>
      </c>
      <c r="X21" s="9" t="inlineStr">
        <is>
          <t>MR1</t>
        </is>
      </c>
      <c r="Y21" s="9" t="inlineStr">
        <is>
          <t>Good</t>
        </is>
      </c>
      <c r="Z21" s="15">
        <f>IF(ISBLANK(D21),"",IF(COUNTIFS(Circulation!$B$2:$B$500,A21,Circulation!$H$2:$H$500,"Active")&gt;0,"On Loan","Available"))</f>
        <v/>
      </c>
      <c r="AA21" s="9" t="n"/>
      <c r="AB21" s="9" t="n"/>
      <c r="AC21" s="9" t="n"/>
      <c r="AD21" s="9" t="n"/>
      <c r="AE21" s="9" t="n"/>
      <c r="AF21" s="9" t="n"/>
      <c r="AG21" s="9" t="n"/>
    </row>
    <row r="22">
      <c r="A22" s="13">
        <f>IF(ISBLANK(D22),"",ROW()-1)</f>
        <v/>
      </c>
      <c r="B22" s="14" t="n"/>
      <c r="C22" s="13">
        <f>IF(ISBLANK(D22),"",MID(K22,SEARCH("(",K22)+1,SEARCH(")",K22)-SEARCH("(",K22)-1)&amp;"-"&amp;MID(L22,SEARCH("(",L22)+1,SEARCH(")",L22)-SEARCH("(",L22)-1)&amp;"-"&amp;H22&amp;"-"&amp;TEXT(A22,"000")&amp;IF(ISBLANK(N22),"","-"&amp;SUBSTITUTE(N22," ","")))</f>
        <v/>
      </c>
      <c r="D22" s="9" t="n"/>
      <c r="E22" s="9" t="n"/>
      <c r="F22" s="9" t="n"/>
      <c r="G22" s="9" t="n"/>
      <c r="H22" s="13">
        <f>IF(ISBLANK(F22),"",IF(G22&lt;&gt;"",UPPER(TRIM(G22)),IF(ISNUMBER(SEARCH(" ",TRIM(F22))),UPPER(LEFT(TRIM(RIGHT(SUBSTITUTE(TRIM(F22)," ",REPT(" ",100)),100)),Settings!$B$9)),UPPER(LEFT(TRIM(F22),Settings!$B$9)))))</f>
        <v/>
      </c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5">
        <f>IF(ISBLANK(D22),"",IF(COUNTIFS(Circulation!$B$2:$B$500,A22,Circulation!$H$2:$H$500,"Active")&gt;0,"On Loan","Available"))</f>
        <v/>
      </c>
      <c r="AA22" s="9" t="n"/>
      <c r="AB22" s="9" t="n"/>
      <c r="AC22" s="9" t="n"/>
      <c r="AD22" s="9" t="n"/>
      <c r="AE22" s="9" t="n"/>
      <c r="AF22" s="9" t="n"/>
      <c r="AG22" s="9" t="n"/>
    </row>
    <row r="23">
      <c r="A23" s="13">
        <f>IF(ISBLANK(D23),"",ROW()-1)</f>
        <v/>
      </c>
      <c r="B23" s="14" t="n"/>
      <c r="C23" s="13">
        <f>IF(ISBLANK(D23),"",MID(K23,SEARCH("(",K23)+1,SEARCH(")",K23)-SEARCH("(",K23)-1)&amp;"-"&amp;MID(L23,SEARCH("(",L23)+1,SEARCH(")",L23)-SEARCH("(",L23)-1)&amp;"-"&amp;H23&amp;"-"&amp;TEXT(A23,"000")&amp;IF(ISBLANK(N23),"","-"&amp;SUBSTITUTE(N23," ","")))</f>
        <v/>
      </c>
      <c r="D23" s="9" t="n"/>
      <c r="E23" s="9" t="n"/>
      <c r="F23" s="9" t="n"/>
      <c r="G23" s="9" t="n"/>
      <c r="H23" s="13">
        <f>IF(ISBLANK(F23),"",IF(G23&lt;&gt;"",UPPER(TRIM(G23)),IF(ISNUMBER(SEARCH(" ",TRIM(F23))),UPPER(LEFT(TRIM(RIGHT(SUBSTITUTE(TRIM(F23)," ",REPT(" ",100)),100)),Settings!$B$9)),UPPER(LEFT(TRIM(F23),Settings!$B$9)))))</f>
        <v/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15">
        <f>IF(ISBLANK(D23),"",IF(COUNTIFS(Circulation!$B$2:$B$500,A23,Circulation!$H$2:$H$500,"Active")&gt;0,"On Loan","Available"))</f>
        <v/>
      </c>
      <c r="AA23" s="9" t="n"/>
      <c r="AB23" s="9" t="n"/>
      <c r="AC23" s="9" t="n"/>
      <c r="AD23" s="9" t="n"/>
      <c r="AE23" s="9" t="n"/>
      <c r="AF23" s="9" t="n"/>
      <c r="AG23" s="9" t="n"/>
    </row>
    <row r="24">
      <c r="A24" s="13">
        <f>IF(ISBLANK(D24),"",ROW()-1)</f>
        <v/>
      </c>
      <c r="B24" s="14" t="n"/>
      <c r="C24" s="13">
        <f>IF(ISBLANK(D24),"",MID(K24,SEARCH("(",K24)+1,SEARCH(")",K24)-SEARCH("(",K24)-1)&amp;"-"&amp;MID(L24,SEARCH("(",L24)+1,SEARCH(")",L24)-SEARCH("(",L24)-1)&amp;"-"&amp;H24&amp;"-"&amp;TEXT(A24,"000")&amp;IF(ISBLANK(N24),"","-"&amp;SUBSTITUTE(N24," ","")))</f>
        <v/>
      </c>
      <c r="D24" s="9" t="n"/>
      <c r="E24" s="9" t="n"/>
      <c r="F24" s="9" t="n"/>
      <c r="G24" s="9" t="n"/>
      <c r="H24" s="13">
        <f>IF(ISBLANK(F24),"",IF(G24&lt;&gt;"",UPPER(TRIM(G24)),IF(ISNUMBER(SEARCH(" ",TRIM(F24))),UPPER(LEFT(TRIM(RIGHT(SUBSTITUTE(TRIM(F24)," ",REPT(" ",100)),100)),Settings!$B$9)),UPPER(LEFT(TRIM(F24),Settings!$B$9)))))</f>
        <v/>
      </c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15">
        <f>IF(ISBLANK(D24),"",IF(COUNTIFS(Circulation!$B$2:$B$500,A24,Circulation!$H$2:$H$500,"Active")&gt;0,"On Loan","Available"))</f>
        <v/>
      </c>
      <c r="AA24" s="9" t="n"/>
      <c r="AB24" s="9" t="n"/>
      <c r="AC24" s="9" t="n"/>
      <c r="AD24" s="9" t="n"/>
      <c r="AE24" s="9" t="n"/>
      <c r="AF24" s="9" t="n"/>
      <c r="AG24" s="9" t="n"/>
    </row>
    <row r="25">
      <c r="A25" s="13">
        <f>IF(ISBLANK(D25),"",ROW()-1)</f>
        <v/>
      </c>
      <c r="B25" s="14" t="n"/>
      <c r="C25" s="13">
        <f>IF(ISBLANK(D25),"",MID(K25,SEARCH("(",K25)+1,SEARCH(")",K25)-SEARCH("(",K25)-1)&amp;"-"&amp;MID(L25,SEARCH("(",L25)+1,SEARCH(")",L25)-SEARCH("(",L25)-1)&amp;"-"&amp;H25&amp;"-"&amp;TEXT(A25,"000")&amp;IF(ISBLANK(N25),"","-"&amp;SUBSTITUTE(N25," ","")))</f>
        <v/>
      </c>
      <c r="D25" s="9" t="n"/>
      <c r="E25" s="9" t="n"/>
      <c r="F25" s="9" t="n"/>
      <c r="G25" s="9" t="n"/>
      <c r="H25" s="13">
        <f>IF(ISBLANK(F25),"",IF(G25&lt;&gt;"",UPPER(TRIM(G25)),IF(ISNUMBER(SEARCH(" ",TRIM(F25))),UPPER(LEFT(TRIM(RIGHT(SUBSTITUTE(TRIM(F25)," ",REPT(" ",100)),100)),Settings!$B$9)),UPPER(LEFT(TRIM(F25),Settings!$B$9)))))</f>
        <v/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15">
        <f>IF(ISBLANK(D25),"",IF(COUNTIFS(Circulation!$B$2:$B$500,A25,Circulation!$H$2:$H$500,"Active")&gt;0,"On Loan","Available"))</f>
        <v/>
      </c>
      <c r="AA25" s="9" t="n"/>
      <c r="AB25" s="9" t="n"/>
      <c r="AC25" s="9" t="n"/>
      <c r="AD25" s="9" t="n"/>
      <c r="AE25" s="9" t="n"/>
      <c r="AF25" s="9" t="n"/>
      <c r="AG25" s="9" t="n"/>
    </row>
    <row r="26">
      <c r="A26" s="13">
        <f>IF(ISBLANK(D26),"",ROW()-1)</f>
        <v/>
      </c>
      <c r="B26" s="14" t="n"/>
      <c r="C26" s="13">
        <f>IF(ISBLANK(D26),"",MID(K26,SEARCH("(",K26)+1,SEARCH(")",K26)-SEARCH("(",K26)-1)&amp;"-"&amp;MID(L26,SEARCH("(",L26)+1,SEARCH(")",L26)-SEARCH("(",L26)-1)&amp;"-"&amp;H26&amp;"-"&amp;TEXT(A26,"000")&amp;IF(ISBLANK(N26),"","-"&amp;SUBSTITUTE(N26," ","")))</f>
        <v/>
      </c>
      <c r="D26" s="9" t="n"/>
      <c r="E26" s="9" t="n"/>
      <c r="F26" s="9" t="n"/>
      <c r="G26" s="9" t="n"/>
      <c r="H26" s="13">
        <f>IF(ISBLANK(F26),"",IF(G26&lt;&gt;"",UPPER(TRIM(G26)),IF(ISNUMBER(SEARCH(" ",TRIM(F26))),UPPER(LEFT(TRIM(RIGHT(SUBSTITUTE(TRIM(F26)," ",REPT(" ",100)),100)),Settings!$B$9)),UPPER(LEFT(TRIM(F26),Settings!$B$9)))))</f>
        <v/>
      </c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15">
        <f>IF(ISBLANK(D26),"",IF(COUNTIFS(Circulation!$B$2:$B$500,A26,Circulation!$H$2:$H$500,"Active")&gt;0,"On Loan","Available"))</f>
        <v/>
      </c>
      <c r="AA26" s="9" t="n"/>
      <c r="AB26" s="9" t="n"/>
      <c r="AC26" s="9" t="n"/>
      <c r="AD26" s="9" t="n"/>
      <c r="AE26" s="9" t="n"/>
      <c r="AF26" s="9" t="n"/>
      <c r="AG26" s="9" t="n"/>
    </row>
    <row r="27">
      <c r="A27" s="13">
        <f>IF(ISBLANK(D27),"",ROW()-1)</f>
        <v/>
      </c>
      <c r="B27" s="14" t="n"/>
      <c r="C27" s="13">
        <f>IF(ISBLANK(D27),"",MID(K27,SEARCH("(",K27)+1,SEARCH(")",K27)-SEARCH("(",K27)-1)&amp;"-"&amp;MID(L27,SEARCH("(",L27)+1,SEARCH(")",L27)-SEARCH("(",L27)-1)&amp;"-"&amp;H27&amp;"-"&amp;TEXT(A27,"000")&amp;IF(ISBLANK(N27),"","-"&amp;SUBSTITUTE(N27," ","")))</f>
        <v/>
      </c>
      <c r="D27" s="9" t="n"/>
      <c r="E27" s="9" t="n"/>
      <c r="F27" s="9" t="n"/>
      <c r="G27" s="9" t="n"/>
      <c r="H27" s="13">
        <f>IF(ISBLANK(F27),"",IF(G27&lt;&gt;"",UPPER(TRIM(G27)),IF(ISNUMBER(SEARCH(" ",TRIM(F27))),UPPER(LEFT(TRIM(RIGHT(SUBSTITUTE(TRIM(F27)," ",REPT(" ",100)),100)),Settings!$B$9)),UPPER(LEFT(TRIM(F27),Settings!$B$9)))))</f>
        <v/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15">
        <f>IF(ISBLANK(D27),"",IF(COUNTIFS(Circulation!$B$2:$B$500,A27,Circulation!$H$2:$H$500,"Active")&gt;0,"On Loan","Available"))</f>
        <v/>
      </c>
      <c r="AA27" s="9" t="n"/>
      <c r="AB27" s="9" t="n"/>
      <c r="AC27" s="9" t="n"/>
      <c r="AD27" s="9" t="n"/>
      <c r="AE27" s="9" t="n"/>
      <c r="AF27" s="9" t="n"/>
      <c r="AG27" s="9" t="n"/>
    </row>
    <row r="28">
      <c r="A28" s="13">
        <f>IF(ISBLANK(D28),"",ROW()-1)</f>
        <v/>
      </c>
      <c r="B28" s="14" t="n"/>
      <c r="C28" s="13">
        <f>IF(ISBLANK(D28),"",MID(K28,SEARCH("(",K28)+1,SEARCH(")",K28)-SEARCH("(",K28)-1)&amp;"-"&amp;MID(L28,SEARCH("(",L28)+1,SEARCH(")",L28)-SEARCH("(",L28)-1)&amp;"-"&amp;H28&amp;"-"&amp;TEXT(A28,"000")&amp;IF(ISBLANK(N28),"","-"&amp;SUBSTITUTE(N28," ","")))</f>
        <v/>
      </c>
      <c r="D28" s="9" t="n"/>
      <c r="E28" s="9" t="n"/>
      <c r="F28" s="9" t="n"/>
      <c r="G28" s="9" t="n"/>
      <c r="H28" s="13">
        <f>IF(ISBLANK(F28),"",IF(G28&lt;&gt;"",UPPER(TRIM(G28)),IF(ISNUMBER(SEARCH(" ",TRIM(F28))),UPPER(LEFT(TRIM(RIGHT(SUBSTITUTE(TRIM(F28)," ",REPT(" ",100)),100)),Settings!$B$9)),UPPER(LEFT(TRIM(F28),Settings!$B$9)))))</f>
        <v/>
      </c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15">
        <f>IF(ISBLANK(D28),"",IF(COUNTIFS(Circulation!$B$2:$B$500,A28,Circulation!$H$2:$H$500,"Active")&gt;0,"On Loan","Available"))</f>
        <v/>
      </c>
      <c r="AA28" s="9" t="n"/>
      <c r="AB28" s="9" t="n"/>
      <c r="AC28" s="9" t="n"/>
      <c r="AD28" s="9" t="n"/>
      <c r="AE28" s="9" t="n"/>
      <c r="AF28" s="9" t="n"/>
      <c r="AG28" s="9" t="n"/>
    </row>
    <row r="29">
      <c r="A29" s="13">
        <f>IF(ISBLANK(D29),"",ROW()-1)</f>
        <v/>
      </c>
      <c r="B29" s="14" t="n"/>
      <c r="C29" s="13">
        <f>IF(ISBLANK(D29),"",MID(K29,SEARCH("(",K29)+1,SEARCH(")",K29)-SEARCH("(",K29)-1)&amp;"-"&amp;MID(L29,SEARCH("(",L29)+1,SEARCH(")",L29)-SEARCH("(",L29)-1)&amp;"-"&amp;H29&amp;"-"&amp;TEXT(A29,"000")&amp;IF(ISBLANK(N29),"","-"&amp;SUBSTITUTE(N29," ","")))</f>
        <v/>
      </c>
      <c r="D29" s="9" t="n"/>
      <c r="E29" s="9" t="n"/>
      <c r="F29" s="9" t="n"/>
      <c r="G29" s="9" t="n"/>
      <c r="H29" s="13">
        <f>IF(ISBLANK(F29),"",IF(G29&lt;&gt;"",UPPER(TRIM(G29)),IF(ISNUMBER(SEARCH(" ",TRIM(F29))),UPPER(LEFT(TRIM(RIGHT(SUBSTITUTE(TRIM(F29)," ",REPT(" ",100)),100)),Settings!$B$9)),UPPER(LEFT(TRIM(F29),Settings!$B$9)))))</f>
        <v/>
      </c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5">
        <f>IF(ISBLANK(D29),"",IF(COUNTIFS(Circulation!$B$2:$B$500,A29,Circulation!$H$2:$H$500,"Active")&gt;0,"On Loan","Available"))</f>
        <v/>
      </c>
      <c r="AA29" s="9" t="n"/>
      <c r="AB29" s="9" t="n"/>
      <c r="AC29" s="9" t="n"/>
      <c r="AD29" s="9" t="n"/>
      <c r="AE29" s="9" t="n"/>
      <c r="AF29" s="9" t="n"/>
      <c r="AG29" s="9" t="n"/>
    </row>
    <row r="30">
      <c r="A30" s="13">
        <f>IF(ISBLANK(D30),"",ROW()-1)</f>
        <v/>
      </c>
      <c r="B30" s="14" t="n"/>
      <c r="C30" s="13">
        <f>IF(ISBLANK(D30),"",MID(K30,SEARCH("(",K30)+1,SEARCH(")",K30)-SEARCH("(",K30)-1)&amp;"-"&amp;MID(L30,SEARCH("(",L30)+1,SEARCH(")",L30)-SEARCH("(",L30)-1)&amp;"-"&amp;H30&amp;"-"&amp;TEXT(A30,"000")&amp;IF(ISBLANK(N30),"","-"&amp;SUBSTITUTE(N30," ","")))</f>
        <v/>
      </c>
      <c r="D30" s="9" t="n"/>
      <c r="E30" s="9" t="n"/>
      <c r="F30" s="9" t="n"/>
      <c r="G30" s="9" t="n"/>
      <c r="H30" s="13">
        <f>IF(ISBLANK(F30),"",IF(G30&lt;&gt;"",UPPER(TRIM(G30)),IF(ISNUMBER(SEARCH(" ",TRIM(F30))),UPPER(LEFT(TRIM(RIGHT(SUBSTITUTE(TRIM(F30)," ",REPT(" ",100)),100)),Settings!$B$9)),UPPER(LEFT(TRIM(F30),Settings!$B$9)))))</f>
        <v/>
      </c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15">
        <f>IF(ISBLANK(D30),"",IF(COUNTIFS(Circulation!$B$2:$B$500,A30,Circulation!$H$2:$H$500,"Active")&gt;0,"On Loan","Available"))</f>
        <v/>
      </c>
      <c r="AA30" s="9" t="n"/>
      <c r="AB30" s="9" t="n"/>
      <c r="AC30" s="9" t="n"/>
      <c r="AD30" s="9" t="n"/>
      <c r="AE30" s="9" t="n"/>
      <c r="AF30" s="9" t="n"/>
      <c r="AG30" s="9" t="n"/>
    </row>
    <row r="31">
      <c r="A31" s="13">
        <f>IF(ISBLANK(D31),"",ROW()-1)</f>
        <v/>
      </c>
      <c r="B31" s="14" t="n"/>
      <c r="C31" s="13">
        <f>IF(ISBLANK(D31),"",MID(K31,SEARCH("(",K31)+1,SEARCH(")",K31)-SEARCH("(",K31)-1)&amp;"-"&amp;MID(L31,SEARCH("(",L31)+1,SEARCH(")",L31)-SEARCH("(",L31)-1)&amp;"-"&amp;H31&amp;"-"&amp;TEXT(A31,"000")&amp;IF(ISBLANK(N31),"","-"&amp;SUBSTITUTE(N31," ","")))</f>
        <v/>
      </c>
      <c r="D31" s="9" t="n"/>
      <c r="E31" s="9" t="n"/>
      <c r="F31" s="9" t="n"/>
      <c r="G31" s="9" t="n"/>
      <c r="H31" s="13">
        <f>IF(ISBLANK(F31),"",IF(G31&lt;&gt;"",UPPER(TRIM(G31)),IF(ISNUMBER(SEARCH(" ",TRIM(F31))),UPPER(LEFT(TRIM(RIGHT(SUBSTITUTE(TRIM(F31)," ",REPT(" ",100)),100)),Settings!$B$9)),UPPER(LEFT(TRIM(F31),Settings!$B$9)))))</f>
        <v/>
      </c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15">
        <f>IF(ISBLANK(D31),"",IF(COUNTIFS(Circulation!$B$2:$B$500,A31,Circulation!$H$2:$H$500,"Active")&gt;0,"On Loan","Available"))</f>
        <v/>
      </c>
      <c r="AA31" s="9" t="n"/>
      <c r="AB31" s="9" t="n"/>
      <c r="AC31" s="9" t="n"/>
      <c r="AD31" s="9" t="n"/>
      <c r="AE31" s="9" t="n"/>
      <c r="AF31" s="9" t="n"/>
      <c r="AG31" s="9" t="n"/>
    </row>
    <row r="32">
      <c r="A32" s="13">
        <f>IF(ISBLANK(D32),"",ROW()-1)</f>
        <v/>
      </c>
      <c r="B32" s="14" t="n"/>
      <c r="C32" s="13">
        <f>IF(ISBLANK(D32),"",MID(K32,SEARCH("(",K32)+1,SEARCH(")",K32)-SEARCH("(",K32)-1)&amp;"-"&amp;MID(L32,SEARCH("(",L32)+1,SEARCH(")",L32)-SEARCH("(",L32)-1)&amp;"-"&amp;H32&amp;"-"&amp;TEXT(A32,"000")&amp;IF(ISBLANK(N32),"","-"&amp;SUBSTITUTE(N32," ","")))</f>
        <v/>
      </c>
      <c r="D32" s="9" t="n"/>
      <c r="E32" s="9" t="n"/>
      <c r="F32" s="9" t="n"/>
      <c r="G32" s="9" t="n"/>
      <c r="H32" s="13">
        <f>IF(ISBLANK(F32),"",IF(G32&lt;&gt;"",UPPER(TRIM(G32)),IF(ISNUMBER(SEARCH(" ",TRIM(F32))),UPPER(LEFT(TRIM(RIGHT(SUBSTITUTE(TRIM(F32)," ",REPT(" ",100)),100)),Settings!$B$9)),UPPER(LEFT(TRIM(F32),Settings!$B$9)))))</f>
        <v/>
      </c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15">
        <f>IF(ISBLANK(D32),"",IF(COUNTIFS(Circulation!$B$2:$B$500,A32,Circulation!$H$2:$H$500,"Active")&gt;0,"On Loan","Available"))</f>
        <v/>
      </c>
      <c r="AA32" s="9" t="n"/>
      <c r="AB32" s="9" t="n"/>
      <c r="AC32" s="9" t="n"/>
      <c r="AD32" s="9" t="n"/>
      <c r="AE32" s="9" t="n"/>
      <c r="AF32" s="9" t="n"/>
      <c r="AG32" s="9" t="n"/>
    </row>
    <row r="33">
      <c r="A33" s="13">
        <f>IF(ISBLANK(D33),"",ROW()-1)</f>
        <v/>
      </c>
      <c r="B33" s="14" t="n"/>
      <c r="C33" s="13">
        <f>IF(ISBLANK(D33),"",MID(K33,SEARCH("(",K33)+1,SEARCH(")",K33)-SEARCH("(",K33)-1)&amp;"-"&amp;MID(L33,SEARCH("(",L33)+1,SEARCH(")",L33)-SEARCH("(",L33)-1)&amp;"-"&amp;H33&amp;"-"&amp;TEXT(A33,"000")&amp;IF(ISBLANK(N33),"","-"&amp;SUBSTITUTE(N33," ","")))</f>
        <v/>
      </c>
      <c r="D33" s="9" t="n"/>
      <c r="E33" s="9" t="n"/>
      <c r="F33" s="9" t="n"/>
      <c r="G33" s="9" t="n"/>
      <c r="H33" s="13">
        <f>IF(ISBLANK(F33),"",IF(G33&lt;&gt;"",UPPER(TRIM(G33)),IF(ISNUMBER(SEARCH(" ",TRIM(F33))),UPPER(LEFT(TRIM(RIGHT(SUBSTITUTE(TRIM(F33)," ",REPT(" ",100)),100)),Settings!$B$9)),UPPER(LEFT(TRIM(F33),Settings!$B$9)))))</f>
        <v/>
      </c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15">
        <f>IF(ISBLANK(D33),"",IF(COUNTIFS(Circulation!$B$2:$B$500,A33,Circulation!$H$2:$H$500,"Active")&gt;0,"On Loan","Available"))</f>
        <v/>
      </c>
      <c r="AA33" s="9" t="n"/>
      <c r="AB33" s="9" t="n"/>
      <c r="AC33" s="9" t="n"/>
      <c r="AD33" s="9" t="n"/>
      <c r="AE33" s="9" t="n"/>
      <c r="AF33" s="9" t="n"/>
      <c r="AG33" s="9" t="n"/>
    </row>
    <row r="34">
      <c r="A34" s="13">
        <f>IF(ISBLANK(D34),"",ROW()-1)</f>
        <v/>
      </c>
      <c r="B34" s="14" t="n"/>
      <c r="C34" s="13">
        <f>IF(ISBLANK(D34),"",MID(K34,SEARCH("(",K34)+1,SEARCH(")",K34)-SEARCH("(",K34)-1)&amp;"-"&amp;MID(L34,SEARCH("(",L34)+1,SEARCH(")",L34)-SEARCH("(",L34)-1)&amp;"-"&amp;H34&amp;"-"&amp;TEXT(A34,"000")&amp;IF(ISBLANK(N34),"","-"&amp;SUBSTITUTE(N34," ","")))</f>
        <v/>
      </c>
      <c r="D34" s="9" t="n"/>
      <c r="E34" s="9" t="n"/>
      <c r="F34" s="9" t="n"/>
      <c r="G34" s="9" t="n"/>
      <c r="H34" s="13">
        <f>IF(ISBLANK(F34),"",IF(G34&lt;&gt;"",UPPER(TRIM(G34)),IF(ISNUMBER(SEARCH(" ",TRIM(F34))),UPPER(LEFT(TRIM(RIGHT(SUBSTITUTE(TRIM(F34)," ",REPT(" ",100)),100)),Settings!$B$9)),UPPER(LEFT(TRIM(F34),Settings!$B$9)))))</f>
        <v/>
      </c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15">
        <f>IF(ISBLANK(D34),"",IF(COUNTIFS(Circulation!$B$2:$B$500,A34,Circulation!$H$2:$H$500,"Active")&gt;0,"On Loan","Available"))</f>
        <v/>
      </c>
      <c r="AA34" s="9" t="n"/>
      <c r="AB34" s="9" t="n"/>
      <c r="AC34" s="9" t="n"/>
      <c r="AD34" s="9" t="n"/>
      <c r="AE34" s="9" t="n"/>
      <c r="AF34" s="9" t="n"/>
      <c r="AG34" s="9" t="n"/>
    </row>
    <row r="35">
      <c r="A35" s="13">
        <f>IF(ISBLANK(D35),"",ROW()-1)</f>
        <v/>
      </c>
      <c r="B35" s="14" t="n"/>
      <c r="C35" s="13">
        <f>IF(ISBLANK(D35),"",MID(K35,SEARCH("(",K35)+1,SEARCH(")",K35)-SEARCH("(",K35)-1)&amp;"-"&amp;MID(L35,SEARCH("(",L35)+1,SEARCH(")",L35)-SEARCH("(",L35)-1)&amp;"-"&amp;H35&amp;"-"&amp;TEXT(A35,"000")&amp;IF(ISBLANK(N35),"","-"&amp;SUBSTITUTE(N35," ","")))</f>
        <v/>
      </c>
      <c r="D35" s="9" t="n"/>
      <c r="E35" s="9" t="n"/>
      <c r="F35" s="9" t="n"/>
      <c r="G35" s="9" t="n"/>
      <c r="H35" s="13">
        <f>IF(ISBLANK(F35),"",IF(G35&lt;&gt;"",UPPER(TRIM(G35)),IF(ISNUMBER(SEARCH(" ",TRIM(F35))),UPPER(LEFT(TRIM(RIGHT(SUBSTITUTE(TRIM(F35)," ",REPT(" ",100)),100)),Settings!$B$9)),UPPER(LEFT(TRIM(F35),Settings!$B$9)))))</f>
        <v/>
      </c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15">
        <f>IF(ISBLANK(D35),"",IF(COUNTIFS(Circulation!$B$2:$B$500,A35,Circulation!$H$2:$H$500,"Active")&gt;0,"On Loan","Available"))</f>
        <v/>
      </c>
      <c r="AA35" s="9" t="n"/>
      <c r="AB35" s="9" t="n"/>
      <c r="AC35" s="9" t="n"/>
      <c r="AD35" s="9" t="n"/>
      <c r="AE35" s="9" t="n"/>
      <c r="AF35" s="9" t="n"/>
      <c r="AG35" s="9" t="n"/>
    </row>
    <row r="36">
      <c r="A36" s="13">
        <f>IF(ISBLANK(D36),"",ROW()-1)</f>
        <v/>
      </c>
      <c r="B36" s="14" t="n"/>
      <c r="C36" s="13">
        <f>IF(ISBLANK(D36),"",MID(K36,SEARCH("(",K36)+1,SEARCH(")",K36)-SEARCH("(",K36)-1)&amp;"-"&amp;MID(L36,SEARCH("(",L36)+1,SEARCH(")",L36)-SEARCH("(",L36)-1)&amp;"-"&amp;H36&amp;"-"&amp;TEXT(A36,"000")&amp;IF(ISBLANK(N36),"","-"&amp;SUBSTITUTE(N36," ","")))</f>
        <v/>
      </c>
      <c r="D36" s="9" t="n"/>
      <c r="E36" s="9" t="n"/>
      <c r="F36" s="9" t="n"/>
      <c r="G36" s="9" t="n"/>
      <c r="H36" s="13">
        <f>IF(ISBLANK(F36),"",IF(G36&lt;&gt;"",UPPER(TRIM(G36)),IF(ISNUMBER(SEARCH(" ",TRIM(F36))),UPPER(LEFT(TRIM(RIGHT(SUBSTITUTE(TRIM(F36)," ",REPT(" ",100)),100)),Settings!$B$9)),UPPER(LEFT(TRIM(F36),Settings!$B$9)))))</f>
        <v/>
      </c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5">
        <f>IF(ISBLANK(D36),"",IF(COUNTIFS(Circulation!$B$2:$B$500,A36,Circulation!$H$2:$H$500,"Active")&gt;0,"On Loan","Available"))</f>
        <v/>
      </c>
      <c r="AA36" s="9" t="n"/>
      <c r="AB36" s="9" t="n"/>
      <c r="AC36" s="9" t="n"/>
      <c r="AD36" s="9" t="n"/>
      <c r="AE36" s="9" t="n"/>
      <c r="AF36" s="9" t="n"/>
      <c r="AG36" s="9" t="n"/>
    </row>
    <row r="37">
      <c r="A37" s="13">
        <f>IF(ISBLANK(D37),"",ROW()-1)</f>
        <v/>
      </c>
      <c r="B37" s="14" t="n"/>
      <c r="C37" s="13">
        <f>IF(ISBLANK(D37),"",MID(K37,SEARCH("(",K37)+1,SEARCH(")",K37)-SEARCH("(",K37)-1)&amp;"-"&amp;MID(L37,SEARCH("(",L37)+1,SEARCH(")",L37)-SEARCH("(",L37)-1)&amp;"-"&amp;H37&amp;"-"&amp;TEXT(A37,"000")&amp;IF(ISBLANK(N37),"","-"&amp;SUBSTITUTE(N37," ","")))</f>
        <v/>
      </c>
      <c r="D37" s="9" t="n"/>
      <c r="E37" s="9" t="n"/>
      <c r="F37" s="9" t="n"/>
      <c r="G37" s="9" t="n"/>
      <c r="H37" s="13">
        <f>IF(ISBLANK(F37),"",IF(G37&lt;&gt;"",UPPER(TRIM(G37)),IF(ISNUMBER(SEARCH(" ",TRIM(F37))),UPPER(LEFT(TRIM(RIGHT(SUBSTITUTE(TRIM(F37)," ",REPT(" ",100)),100)),Settings!$B$9)),UPPER(LEFT(TRIM(F37),Settings!$B$9)))))</f>
        <v/>
      </c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15">
        <f>IF(ISBLANK(D37),"",IF(COUNTIFS(Circulation!$B$2:$B$500,A37,Circulation!$H$2:$H$500,"Active")&gt;0,"On Loan","Available"))</f>
        <v/>
      </c>
      <c r="AA37" s="9" t="n"/>
      <c r="AB37" s="9" t="n"/>
      <c r="AC37" s="9" t="n"/>
      <c r="AD37" s="9" t="n"/>
      <c r="AE37" s="9" t="n"/>
      <c r="AF37" s="9" t="n"/>
      <c r="AG37" s="9" t="n"/>
    </row>
    <row r="38">
      <c r="A38" s="13">
        <f>IF(ISBLANK(D38),"",ROW()-1)</f>
        <v/>
      </c>
      <c r="B38" s="14" t="n"/>
      <c r="C38" s="13">
        <f>IF(ISBLANK(D38),"",MID(K38,SEARCH("(",K38)+1,SEARCH(")",K38)-SEARCH("(",K38)-1)&amp;"-"&amp;MID(L38,SEARCH("(",L38)+1,SEARCH(")",L38)-SEARCH("(",L38)-1)&amp;"-"&amp;H38&amp;"-"&amp;TEXT(A38,"000")&amp;IF(ISBLANK(N38),"","-"&amp;SUBSTITUTE(N38," ","")))</f>
        <v/>
      </c>
      <c r="D38" s="9" t="n"/>
      <c r="E38" s="9" t="n"/>
      <c r="F38" s="9" t="n"/>
      <c r="G38" s="9" t="n"/>
      <c r="H38" s="13">
        <f>IF(ISBLANK(F38),"",IF(G38&lt;&gt;"",UPPER(TRIM(G38)),IF(ISNUMBER(SEARCH(" ",TRIM(F38))),UPPER(LEFT(TRIM(RIGHT(SUBSTITUTE(TRIM(F38)," ",REPT(" ",100)),100)),Settings!$B$9)),UPPER(LEFT(TRIM(F38),Settings!$B$9)))))</f>
        <v/>
      </c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15">
        <f>IF(ISBLANK(D38),"",IF(COUNTIFS(Circulation!$B$2:$B$500,A38,Circulation!$H$2:$H$500,"Active")&gt;0,"On Loan","Available"))</f>
        <v/>
      </c>
      <c r="AA38" s="9" t="n"/>
      <c r="AB38" s="9" t="n"/>
      <c r="AC38" s="9" t="n"/>
      <c r="AD38" s="9" t="n"/>
      <c r="AE38" s="9" t="n"/>
      <c r="AF38" s="9" t="n"/>
      <c r="AG38" s="9" t="n"/>
    </row>
    <row r="39">
      <c r="A39" s="13">
        <f>IF(ISBLANK(D39),"",ROW()-1)</f>
        <v/>
      </c>
      <c r="B39" s="14" t="n"/>
      <c r="C39" s="13">
        <f>IF(ISBLANK(D39),"",MID(K39,SEARCH("(",K39)+1,SEARCH(")",K39)-SEARCH("(",K39)-1)&amp;"-"&amp;MID(L39,SEARCH("(",L39)+1,SEARCH(")",L39)-SEARCH("(",L39)-1)&amp;"-"&amp;H39&amp;"-"&amp;TEXT(A39,"000")&amp;IF(ISBLANK(N39),"","-"&amp;SUBSTITUTE(N39," ","")))</f>
        <v/>
      </c>
      <c r="D39" s="9" t="n"/>
      <c r="E39" s="9" t="n"/>
      <c r="F39" s="9" t="n"/>
      <c r="G39" s="9" t="n"/>
      <c r="H39" s="13">
        <f>IF(ISBLANK(F39),"",IF(G39&lt;&gt;"",UPPER(TRIM(G39)),IF(ISNUMBER(SEARCH(" ",TRIM(F39))),UPPER(LEFT(TRIM(RIGHT(SUBSTITUTE(TRIM(F39)," ",REPT(" ",100)),100)),Settings!$B$9)),UPPER(LEFT(TRIM(F39),Settings!$B$9)))))</f>
        <v/>
      </c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15">
        <f>IF(ISBLANK(D39),"",IF(COUNTIFS(Circulation!$B$2:$B$500,A39,Circulation!$H$2:$H$500,"Active")&gt;0,"On Loan","Available"))</f>
        <v/>
      </c>
      <c r="AA39" s="9" t="n"/>
      <c r="AB39" s="9" t="n"/>
      <c r="AC39" s="9" t="n"/>
      <c r="AD39" s="9" t="n"/>
      <c r="AE39" s="9" t="n"/>
      <c r="AF39" s="9" t="n"/>
      <c r="AG39" s="9" t="n"/>
    </row>
    <row r="40">
      <c r="A40" s="13">
        <f>IF(ISBLANK(D40),"",ROW()-1)</f>
        <v/>
      </c>
      <c r="B40" s="14" t="n"/>
      <c r="C40" s="13">
        <f>IF(ISBLANK(D40),"",MID(K40,SEARCH("(",K40)+1,SEARCH(")",K40)-SEARCH("(",K40)-1)&amp;"-"&amp;MID(L40,SEARCH("(",L40)+1,SEARCH(")",L40)-SEARCH("(",L40)-1)&amp;"-"&amp;H40&amp;"-"&amp;TEXT(A40,"000")&amp;IF(ISBLANK(N40),"","-"&amp;SUBSTITUTE(N40," ","")))</f>
        <v/>
      </c>
      <c r="D40" s="9" t="n"/>
      <c r="E40" s="9" t="n"/>
      <c r="F40" s="9" t="n"/>
      <c r="G40" s="9" t="n"/>
      <c r="H40" s="13">
        <f>IF(ISBLANK(F40),"",IF(G40&lt;&gt;"",UPPER(TRIM(G40)),IF(ISNUMBER(SEARCH(" ",TRIM(F40))),UPPER(LEFT(TRIM(RIGHT(SUBSTITUTE(TRIM(F40)," ",REPT(" ",100)),100)),Settings!$B$9)),UPPER(LEFT(TRIM(F40),Settings!$B$9)))))</f>
        <v/>
      </c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15">
        <f>IF(ISBLANK(D40),"",IF(COUNTIFS(Circulation!$B$2:$B$500,A40,Circulation!$H$2:$H$500,"Active")&gt;0,"On Loan","Available"))</f>
        <v/>
      </c>
      <c r="AA40" s="9" t="n"/>
      <c r="AB40" s="9" t="n"/>
      <c r="AC40" s="9" t="n"/>
      <c r="AD40" s="9" t="n"/>
      <c r="AE40" s="9" t="n"/>
      <c r="AF40" s="9" t="n"/>
      <c r="AG40" s="9" t="n"/>
    </row>
    <row r="41">
      <c r="A41" s="13">
        <f>IF(ISBLANK(D41),"",ROW()-1)</f>
        <v/>
      </c>
      <c r="B41" s="14" t="n"/>
      <c r="C41" s="13">
        <f>IF(ISBLANK(D41),"",MID(K41,SEARCH("(",K41)+1,SEARCH(")",K41)-SEARCH("(",K41)-1)&amp;"-"&amp;MID(L41,SEARCH("(",L41)+1,SEARCH(")",L41)-SEARCH("(",L41)-1)&amp;"-"&amp;H41&amp;"-"&amp;TEXT(A41,"000")&amp;IF(ISBLANK(N41),"","-"&amp;SUBSTITUTE(N41," ","")))</f>
        <v/>
      </c>
      <c r="D41" s="9" t="n"/>
      <c r="E41" s="9" t="n"/>
      <c r="F41" s="9" t="n"/>
      <c r="G41" s="9" t="n"/>
      <c r="H41" s="13">
        <f>IF(ISBLANK(F41),"",IF(G41&lt;&gt;"",UPPER(TRIM(G41)),IF(ISNUMBER(SEARCH(" ",TRIM(F41))),UPPER(LEFT(TRIM(RIGHT(SUBSTITUTE(TRIM(F41)," ",REPT(" ",100)),100)),Settings!$B$9)),UPPER(LEFT(TRIM(F41),Settings!$B$9)))))</f>
        <v/>
      </c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15">
        <f>IF(ISBLANK(D41),"",IF(COUNTIFS(Circulation!$B$2:$B$500,A41,Circulation!$H$2:$H$500,"Active")&gt;0,"On Loan","Available"))</f>
        <v/>
      </c>
      <c r="AA41" s="9" t="n"/>
      <c r="AB41" s="9" t="n"/>
      <c r="AC41" s="9" t="n"/>
      <c r="AD41" s="9" t="n"/>
      <c r="AE41" s="9" t="n"/>
      <c r="AF41" s="9" t="n"/>
      <c r="AG41" s="9" t="n"/>
    </row>
    <row r="42">
      <c r="A42" s="13">
        <f>IF(ISBLANK(D42),"",ROW()-1)</f>
        <v/>
      </c>
      <c r="B42" s="14" t="n"/>
      <c r="C42" s="13">
        <f>IF(ISBLANK(D42),"",MID(K42,SEARCH("(",K42)+1,SEARCH(")",K42)-SEARCH("(",K42)-1)&amp;"-"&amp;MID(L42,SEARCH("(",L42)+1,SEARCH(")",L42)-SEARCH("(",L42)-1)&amp;"-"&amp;H42&amp;"-"&amp;TEXT(A42,"000")&amp;IF(ISBLANK(N42),"","-"&amp;SUBSTITUTE(N42," ","")))</f>
        <v/>
      </c>
      <c r="D42" s="9" t="n"/>
      <c r="E42" s="9" t="n"/>
      <c r="F42" s="9" t="n"/>
      <c r="G42" s="9" t="n"/>
      <c r="H42" s="13">
        <f>IF(ISBLANK(F42),"",IF(G42&lt;&gt;"",UPPER(TRIM(G42)),IF(ISNUMBER(SEARCH(" ",TRIM(F42))),UPPER(LEFT(TRIM(RIGHT(SUBSTITUTE(TRIM(F42)," ",REPT(" ",100)),100)),Settings!$B$9)),UPPER(LEFT(TRIM(F42),Settings!$B$9)))))</f>
        <v/>
      </c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15">
        <f>IF(ISBLANK(D42),"",IF(COUNTIFS(Circulation!$B$2:$B$500,A42,Circulation!$H$2:$H$500,"Active")&gt;0,"On Loan","Available"))</f>
        <v/>
      </c>
      <c r="AA42" s="9" t="n"/>
      <c r="AB42" s="9" t="n"/>
      <c r="AC42" s="9" t="n"/>
      <c r="AD42" s="9" t="n"/>
      <c r="AE42" s="9" t="n"/>
      <c r="AF42" s="9" t="n"/>
      <c r="AG42" s="9" t="n"/>
    </row>
    <row r="43">
      <c r="A43" s="13">
        <f>IF(ISBLANK(D43),"",ROW()-1)</f>
        <v/>
      </c>
      <c r="B43" s="14" t="n"/>
      <c r="C43" s="13">
        <f>IF(ISBLANK(D43),"",MID(K43,SEARCH("(",K43)+1,SEARCH(")",K43)-SEARCH("(",K43)-1)&amp;"-"&amp;MID(L43,SEARCH("(",L43)+1,SEARCH(")",L43)-SEARCH("(",L43)-1)&amp;"-"&amp;H43&amp;"-"&amp;TEXT(A43,"000")&amp;IF(ISBLANK(N43),"","-"&amp;SUBSTITUTE(N43," ","")))</f>
        <v/>
      </c>
      <c r="D43" s="9" t="n"/>
      <c r="E43" s="9" t="n"/>
      <c r="F43" s="9" t="n"/>
      <c r="G43" s="9" t="n"/>
      <c r="H43" s="13">
        <f>IF(ISBLANK(F43),"",IF(G43&lt;&gt;"",UPPER(TRIM(G43)),IF(ISNUMBER(SEARCH(" ",TRIM(F43))),UPPER(LEFT(TRIM(RIGHT(SUBSTITUTE(TRIM(F43)," ",REPT(" ",100)),100)),Settings!$B$9)),UPPER(LEFT(TRIM(F43),Settings!$B$9)))))</f>
        <v/>
      </c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15">
        <f>IF(ISBLANK(D43),"",IF(COUNTIFS(Circulation!$B$2:$B$500,A43,Circulation!$H$2:$H$500,"Active")&gt;0,"On Loan","Available"))</f>
        <v/>
      </c>
      <c r="AA43" s="9" t="n"/>
      <c r="AB43" s="9" t="n"/>
      <c r="AC43" s="9" t="n"/>
      <c r="AD43" s="9" t="n"/>
      <c r="AE43" s="9" t="n"/>
      <c r="AF43" s="9" t="n"/>
      <c r="AG43" s="9" t="n"/>
    </row>
    <row r="44">
      <c r="A44" s="13">
        <f>IF(ISBLANK(D44),"",ROW()-1)</f>
        <v/>
      </c>
      <c r="B44" s="14" t="n"/>
      <c r="C44" s="13">
        <f>IF(ISBLANK(D44),"",MID(K44,SEARCH("(",K44)+1,SEARCH(")",K44)-SEARCH("(",K44)-1)&amp;"-"&amp;MID(L44,SEARCH("(",L44)+1,SEARCH(")",L44)-SEARCH("(",L44)-1)&amp;"-"&amp;H44&amp;"-"&amp;TEXT(A44,"000")&amp;IF(ISBLANK(N44),"","-"&amp;SUBSTITUTE(N44," ","")))</f>
        <v/>
      </c>
      <c r="D44" s="9" t="n"/>
      <c r="E44" s="9" t="n"/>
      <c r="F44" s="9" t="n"/>
      <c r="G44" s="9" t="n"/>
      <c r="H44" s="13">
        <f>IF(ISBLANK(F44),"",IF(G44&lt;&gt;"",UPPER(TRIM(G44)),IF(ISNUMBER(SEARCH(" ",TRIM(F44))),UPPER(LEFT(TRIM(RIGHT(SUBSTITUTE(TRIM(F44)," ",REPT(" ",100)),100)),Settings!$B$9)),UPPER(LEFT(TRIM(F44),Settings!$B$9)))))</f>
        <v/>
      </c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15">
        <f>IF(ISBLANK(D44),"",IF(COUNTIFS(Circulation!$B$2:$B$500,A44,Circulation!$H$2:$H$500,"Active")&gt;0,"On Loan","Available"))</f>
        <v/>
      </c>
      <c r="AA44" s="9" t="n"/>
      <c r="AB44" s="9" t="n"/>
      <c r="AC44" s="9" t="n"/>
      <c r="AD44" s="9" t="n"/>
      <c r="AE44" s="9" t="n"/>
      <c r="AF44" s="9" t="n"/>
      <c r="AG44" s="9" t="n"/>
    </row>
    <row r="45">
      <c r="A45" s="13">
        <f>IF(ISBLANK(D45),"",ROW()-1)</f>
        <v/>
      </c>
      <c r="B45" s="14" t="n"/>
      <c r="C45" s="13">
        <f>IF(ISBLANK(D45),"",MID(K45,SEARCH("(",K45)+1,SEARCH(")",K45)-SEARCH("(",K45)-1)&amp;"-"&amp;MID(L45,SEARCH("(",L45)+1,SEARCH(")",L45)-SEARCH("(",L45)-1)&amp;"-"&amp;H45&amp;"-"&amp;TEXT(A45,"000")&amp;IF(ISBLANK(N45),"","-"&amp;SUBSTITUTE(N45," ","")))</f>
        <v/>
      </c>
      <c r="D45" s="9" t="n"/>
      <c r="E45" s="9" t="n"/>
      <c r="F45" s="9" t="n"/>
      <c r="G45" s="9" t="n"/>
      <c r="H45" s="13">
        <f>IF(ISBLANK(F45),"",IF(G45&lt;&gt;"",UPPER(TRIM(G45)),IF(ISNUMBER(SEARCH(" ",TRIM(F45))),UPPER(LEFT(TRIM(RIGHT(SUBSTITUTE(TRIM(F45)," ",REPT(" ",100)),100)),Settings!$B$9)),UPPER(LEFT(TRIM(F45),Settings!$B$9)))))</f>
        <v/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15">
        <f>IF(ISBLANK(D45),"",IF(COUNTIFS(Circulation!$B$2:$B$500,A45,Circulation!$H$2:$H$500,"Active")&gt;0,"On Loan","Available"))</f>
        <v/>
      </c>
      <c r="AA45" s="9" t="n"/>
      <c r="AB45" s="9" t="n"/>
      <c r="AC45" s="9" t="n"/>
      <c r="AD45" s="9" t="n"/>
      <c r="AE45" s="9" t="n"/>
      <c r="AF45" s="9" t="n"/>
      <c r="AG45" s="9" t="n"/>
    </row>
    <row r="46">
      <c r="A46" s="13">
        <f>IF(ISBLANK(D46),"",ROW()-1)</f>
        <v/>
      </c>
      <c r="B46" s="14" t="n"/>
      <c r="C46" s="13">
        <f>IF(ISBLANK(D46),"",MID(K46,SEARCH("(",K46)+1,SEARCH(")",K46)-SEARCH("(",K46)-1)&amp;"-"&amp;MID(L46,SEARCH("(",L46)+1,SEARCH(")",L46)-SEARCH("(",L46)-1)&amp;"-"&amp;H46&amp;"-"&amp;TEXT(A46,"000")&amp;IF(ISBLANK(N46),"","-"&amp;SUBSTITUTE(N46," ","")))</f>
        <v/>
      </c>
      <c r="D46" s="9" t="n"/>
      <c r="E46" s="9" t="n"/>
      <c r="F46" s="9" t="n"/>
      <c r="G46" s="9" t="n"/>
      <c r="H46" s="13">
        <f>IF(ISBLANK(F46),"",IF(G46&lt;&gt;"",UPPER(TRIM(G46)),IF(ISNUMBER(SEARCH(" ",TRIM(F46))),UPPER(LEFT(TRIM(RIGHT(SUBSTITUTE(TRIM(F46)," ",REPT(" ",100)),100)),Settings!$B$9)),UPPER(LEFT(TRIM(F46),Settings!$B$9)))))</f>
        <v/>
      </c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15">
        <f>IF(ISBLANK(D46),"",IF(COUNTIFS(Circulation!$B$2:$B$500,A46,Circulation!$H$2:$H$500,"Active")&gt;0,"On Loan","Available"))</f>
        <v/>
      </c>
      <c r="AA46" s="9" t="n"/>
      <c r="AB46" s="9" t="n"/>
      <c r="AC46" s="9" t="n"/>
      <c r="AD46" s="9" t="n"/>
      <c r="AE46" s="9" t="n"/>
      <c r="AF46" s="9" t="n"/>
      <c r="AG46" s="9" t="n"/>
    </row>
    <row r="47">
      <c r="A47" s="13">
        <f>IF(ISBLANK(D47),"",ROW()-1)</f>
        <v/>
      </c>
      <c r="B47" s="14" t="n"/>
      <c r="C47" s="13">
        <f>IF(ISBLANK(D47),"",MID(K47,SEARCH("(",K47)+1,SEARCH(")",K47)-SEARCH("(",K47)-1)&amp;"-"&amp;MID(L47,SEARCH("(",L47)+1,SEARCH(")",L47)-SEARCH("(",L47)-1)&amp;"-"&amp;H47&amp;"-"&amp;TEXT(A47,"000")&amp;IF(ISBLANK(N47),"","-"&amp;SUBSTITUTE(N47," ","")))</f>
        <v/>
      </c>
      <c r="D47" s="9" t="n"/>
      <c r="E47" s="9" t="n"/>
      <c r="F47" s="9" t="n"/>
      <c r="G47" s="9" t="n"/>
      <c r="H47" s="13">
        <f>IF(ISBLANK(F47),"",IF(G47&lt;&gt;"",UPPER(TRIM(G47)),IF(ISNUMBER(SEARCH(" ",TRIM(F47))),UPPER(LEFT(TRIM(RIGHT(SUBSTITUTE(TRIM(F47)," ",REPT(" ",100)),100)),Settings!$B$9)),UPPER(LEFT(TRIM(F47),Settings!$B$9)))))</f>
        <v/>
      </c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15">
        <f>IF(ISBLANK(D47),"",IF(COUNTIFS(Circulation!$B$2:$B$500,A47,Circulation!$H$2:$H$500,"Active")&gt;0,"On Loan","Available"))</f>
        <v/>
      </c>
      <c r="AA47" s="9" t="n"/>
      <c r="AB47" s="9" t="n"/>
      <c r="AC47" s="9" t="n"/>
      <c r="AD47" s="9" t="n"/>
      <c r="AE47" s="9" t="n"/>
      <c r="AF47" s="9" t="n"/>
      <c r="AG47" s="9" t="n"/>
    </row>
    <row r="48">
      <c r="A48" s="13">
        <f>IF(ISBLANK(D48),"",ROW()-1)</f>
        <v/>
      </c>
      <c r="B48" s="14" t="n"/>
      <c r="C48" s="13">
        <f>IF(ISBLANK(D48),"",MID(K48,SEARCH("(",K48)+1,SEARCH(")",K48)-SEARCH("(",K48)-1)&amp;"-"&amp;MID(L48,SEARCH("(",L48)+1,SEARCH(")",L48)-SEARCH("(",L48)-1)&amp;"-"&amp;H48&amp;"-"&amp;TEXT(A48,"000")&amp;IF(ISBLANK(N48),"","-"&amp;SUBSTITUTE(N48," ","")))</f>
        <v/>
      </c>
      <c r="D48" s="9" t="n"/>
      <c r="E48" s="9" t="n"/>
      <c r="F48" s="9" t="n"/>
      <c r="G48" s="9" t="n"/>
      <c r="H48" s="13">
        <f>IF(ISBLANK(F48),"",IF(G48&lt;&gt;"",UPPER(TRIM(G48)),IF(ISNUMBER(SEARCH(" ",TRIM(F48))),UPPER(LEFT(TRIM(RIGHT(SUBSTITUTE(TRIM(F48)," ",REPT(" ",100)),100)),Settings!$B$9)),UPPER(LEFT(TRIM(F48),Settings!$B$9)))))</f>
        <v/>
      </c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15">
        <f>IF(ISBLANK(D48),"",IF(COUNTIFS(Circulation!$B$2:$B$500,A48,Circulation!$H$2:$H$500,"Active")&gt;0,"On Loan","Available"))</f>
        <v/>
      </c>
      <c r="AA48" s="9" t="n"/>
      <c r="AB48" s="9" t="n"/>
      <c r="AC48" s="9" t="n"/>
      <c r="AD48" s="9" t="n"/>
      <c r="AE48" s="9" t="n"/>
      <c r="AF48" s="9" t="n"/>
      <c r="AG48" s="9" t="n"/>
    </row>
    <row r="49">
      <c r="A49" s="13">
        <f>IF(ISBLANK(D49),"",ROW()-1)</f>
        <v/>
      </c>
      <c r="B49" s="14" t="n"/>
      <c r="C49" s="13">
        <f>IF(ISBLANK(D49),"",MID(K49,SEARCH("(",K49)+1,SEARCH(")",K49)-SEARCH("(",K49)-1)&amp;"-"&amp;MID(L49,SEARCH("(",L49)+1,SEARCH(")",L49)-SEARCH("(",L49)-1)&amp;"-"&amp;H49&amp;"-"&amp;TEXT(A49,"000")&amp;IF(ISBLANK(N49),"","-"&amp;SUBSTITUTE(N49," ","")))</f>
        <v/>
      </c>
      <c r="D49" s="9" t="n"/>
      <c r="E49" s="9" t="n"/>
      <c r="F49" s="9" t="n"/>
      <c r="G49" s="9" t="n"/>
      <c r="H49" s="13">
        <f>IF(ISBLANK(F49),"",IF(G49&lt;&gt;"",UPPER(TRIM(G49)),IF(ISNUMBER(SEARCH(" ",TRIM(F49))),UPPER(LEFT(TRIM(RIGHT(SUBSTITUTE(TRIM(F49)," ",REPT(" ",100)),100)),Settings!$B$9)),UPPER(LEFT(TRIM(F49),Settings!$B$9)))))</f>
        <v/>
      </c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15">
        <f>IF(ISBLANK(D49),"",IF(COUNTIFS(Circulation!$B$2:$B$500,A49,Circulation!$H$2:$H$500,"Active")&gt;0,"On Loan","Available"))</f>
        <v/>
      </c>
      <c r="AA49" s="9" t="n"/>
      <c r="AB49" s="9" t="n"/>
      <c r="AC49" s="9" t="n"/>
      <c r="AD49" s="9" t="n"/>
      <c r="AE49" s="9" t="n"/>
      <c r="AF49" s="9" t="n"/>
      <c r="AG49" s="9" t="n"/>
    </row>
    <row r="50">
      <c r="A50" s="13">
        <f>IF(ISBLANK(D50),"",ROW()-1)</f>
        <v/>
      </c>
      <c r="B50" s="14" t="n"/>
      <c r="C50" s="13">
        <f>IF(ISBLANK(D50),"",MID(K50,SEARCH("(",K50)+1,SEARCH(")",K50)-SEARCH("(",K50)-1)&amp;"-"&amp;MID(L50,SEARCH("(",L50)+1,SEARCH(")",L50)-SEARCH("(",L50)-1)&amp;"-"&amp;H50&amp;"-"&amp;TEXT(A50,"000")&amp;IF(ISBLANK(N50),"","-"&amp;SUBSTITUTE(N50," ","")))</f>
        <v/>
      </c>
      <c r="D50" s="9" t="n"/>
      <c r="E50" s="9" t="n"/>
      <c r="F50" s="9" t="n"/>
      <c r="G50" s="9" t="n"/>
      <c r="H50" s="13">
        <f>IF(ISBLANK(F50),"",IF(G50&lt;&gt;"",UPPER(TRIM(G50)),IF(ISNUMBER(SEARCH(" ",TRIM(F50))),UPPER(LEFT(TRIM(RIGHT(SUBSTITUTE(TRIM(F50)," ",REPT(" ",100)),100)),Settings!$B$9)),UPPER(LEFT(TRIM(F50),Settings!$B$9)))))</f>
        <v/>
      </c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15">
        <f>IF(ISBLANK(D50),"",IF(COUNTIFS(Circulation!$B$2:$B$500,A50,Circulation!$H$2:$H$500,"Active")&gt;0,"On Loan","Available"))</f>
        <v/>
      </c>
      <c r="AA50" s="9" t="n"/>
      <c r="AB50" s="9" t="n"/>
      <c r="AC50" s="9" t="n"/>
      <c r="AD50" s="9" t="n"/>
      <c r="AE50" s="9" t="n"/>
      <c r="AF50" s="9" t="n"/>
      <c r="AG50" s="9" t="n"/>
    </row>
    <row r="51">
      <c r="A51" s="13">
        <f>IF(ISBLANK(D51),"",ROW()-1)</f>
        <v/>
      </c>
      <c r="B51" s="14" t="n"/>
      <c r="C51" s="13">
        <f>IF(ISBLANK(D51),"",MID(K51,SEARCH("(",K51)+1,SEARCH(")",K51)-SEARCH("(",K51)-1)&amp;"-"&amp;MID(L51,SEARCH("(",L51)+1,SEARCH(")",L51)-SEARCH("(",L51)-1)&amp;"-"&amp;H51&amp;"-"&amp;TEXT(A51,"000")&amp;IF(ISBLANK(N51),"","-"&amp;SUBSTITUTE(N51," ","")))</f>
        <v/>
      </c>
      <c r="D51" s="9" t="n"/>
      <c r="E51" s="9" t="n"/>
      <c r="F51" s="9" t="n"/>
      <c r="G51" s="9" t="n"/>
      <c r="H51" s="13">
        <f>IF(ISBLANK(F51),"",IF(G51&lt;&gt;"",UPPER(TRIM(G51)),IF(ISNUMBER(SEARCH(" ",TRIM(F51))),UPPER(LEFT(TRIM(RIGHT(SUBSTITUTE(TRIM(F51)," ",REPT(" ",100)),100)),Settings!$B$9)),UPPER(LEFT(TRIM(F51),Settings!$B$9)))))</f>
        <v/>
      </c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15">
        <f>IF(ISBLANK(D51),"",IF(COUNTIFS(Circulation!$B$2:$B$500,A51,Circulation!$H$2:$H$500,"Active")&gt;0,"On Loan","Available"))</f>
        <v/>
      </c>
      <c r="AA51" s="9" t="n"/>
      <c r="AB51" s="9" t="n"/>
      <c r="AC51" s="9" t="n"/>
      <c r="AD51" s="9" t="n"/>
      <c r="AE51" s="9" t="n"/>
      <c r="AF51" s="9" t="n"/>
      <c r="AG51" s="9" t="n"/>
    </row>
    <row r="52">
      <c r="A52" s="13">
        <f>IF(ISBLANK(D52),"",ROW()-1)</f>
        <v/>
      </c>
      <c r="B52" s="14" t="n"/>
      <c r="C52" s="13">
        <f>IF(ISBLANK(D52),"",MID(K52,SEARCH("(",K52)+1,SEARCH(")",K52)-SEARCH("(",K52)-1)&amp;"-"&amp;MID(L52,SEARCH("(",L52)+1,SEARCH(")",L52)-SEARCH("(",L52)-1)&amp;"-"&amp;H52&amp;"-"&amp;TEXT(A52,"000")&amp;IF(ISBLANK(N52),"","-"&amp;SUBSTITUTE(N52," ","")))</f>
        <v/>
      </c>
      <c r="D52" s="9" t="n"/>
      <c r="E52" s="9" t="n"/>
      <c r="F52" s="9" t="n"/>
      <c r="G52" s="9" t="n"/>
      <c r="H52" s="13">
        <f>IF(ISBLANK(F52),"",IF(G52&lt;&gt;"",UPPER(TRIM(G52)),IF(ISNUMBER(SEARCH(" ",TRIM(F52))),UPPER(LEFT(TRIM(RIGHT(SUBSTITUTE(TRIM(F52)," ",REPT(" ",100)),100)),Settings!$B$9)),UPPER(LEFT(TRIM(F52),Settings!$B$9)))))</f>
        <v/>
      </c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15">
        <f>IF(ISBLANK(D52),"",IF(COUNTIFS(Circulation!$B$2:$B$500,A52,Circulation!$H$2:$H$500,"Active")&gt;0,"On Loan","Available"))</f>
        <v/>
      </c>
      <c r="AA52" s="9" t="n"/>
      <c r="AB52" s="9" t="n"/>
      <c r="AC52" s="9" t="n"/>
      <c r="AD52" s="9" t="n"/>
      <c r="AE52" s="9" t="n"/>
      <c r="AF52" s="9" t="n"/>
      <c r="AG52" s="9" t="n"/>
    </row>
    <row r="53">
      <c r="A53" s="13">
        <f>IF(ISBLANK(D53),"",ROW()-1)</f>
        <v/>
      </c>
      <c r="B53" s="14" t="n"/>
      <c r="C53" s="13">
        <f>IF(ISBLANK(D53),"",MID(K53,SEARCH("(",K53)+1,SEARCH(")",K53)-SEARCH("(",K53)-1)&amp;"-"&amp;MID(L53,SEARCH("(",L53)+1,SEARCH(")",L53)-SEARCH("(",L53)-1)&amp;"-"&amp;H53&amp;"-"&amp;TEXT(A53,"000")&amp;IF(ISBLANK(N53),"","-"&amp;SUBSTITUTE(N53," ","")))</f>
        <v/>
      </c>
      <c r="D53" s="9" t="n"/>
      <c r="E53" s="9" t="n"/>
      <c r="F53" s="9" t="n"/>
      <c r="G53" s="9" t="n"/>
      <c r="H53" s="13">
        <f>IF(ISBLANK(F53),"",IF(G53&lt;&gt;"",UPPER(TRIM(G53)),IF(ISNUMBER(SEARCH(" ",TRIM(F53))),UPPER(LEFT(TRIM(RIGHT(SUBSTITUTE(TRIM(F53)," ",REPT(" ",100)),100)),Settings!$B$9)),UPPER(LEFT(TRIM(F53),Settings!$B$9)))))</f>
        <v/>
      </c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15">
        <f>IF(ISBLANK(D53),"",IF(COUNTIFS(Circulation!$B$2:$B$500,A53,Circulation!$H$2:$H$500,"Active")&gt;0,"On Loan","Available"))</f>
        <v/>
      </c>
      <c r="AA53" s="9" t="n"/>
      <c r="AB53" s="9" t="n"/>
      <c r="AC53" s="9" t="n"/>
      <c r="AD53" s="9" t="n"/>
      <c r="AE53" s="9" t="n"/>
      <c r="AF53" s="9" t="n"/>
      <c r="AG53" s="9" t="n"/>
    </row>
    <row r="54">
      <c r="A54" s="13">
        <f>IF(ISBLANK(D54),"",ROW()-1)</f>
        <v/>
      </c>
      <c r="B54" s="14" t="n"/>
      <c r="C54" s="13">
        <f>IF(ISBLANK(D54),"",MID(K54,SEARCH("(",K54)+1,SEARCH(")",K54)-SEARCH("(",K54)-1)&amp;"-"&amp;MID(L54,SEARCH("(",L54)+1,SEARCH(")",L54)-SEARCH("(",L54)-1)&amp;"-"&amp;H54&amp;"-"&amp;TEXT(A54,"000")&amp;IF(ISBLANK(N54),"","-"&amp;SUBSTITUTE(N54," ","")))</f>
        <v/>
      </c>
      <c r="D54" s="9" t="n"/>
      <c r="E54" s="9" t="n"/>
      <c r="F54" s="9" t="n"/>
      <c r="G54" s="9" t="n"/>
      <c r="H54" s="13">
        <f>IF(ISBLANK(F54),"",IF(G54&lt;&gt;"",UPPER(TRIM(G54)),IF(ISNUMBER(SEARCH(" ",TRIM(F54))),UPPER(LEFT(TRIM(RIGHT(SUBSTITUTE(TRIM(F54)," ",REPT(" ",100)),100)),Settings!$B$9)),UPPER(LEFT(TRIM(F54),Settings!$B$9)))))</f>
        <v/>
      </c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15">
        <f>IF(ISBLANK(D54),"",IF(COUNTIFS(Circulation!$B$2:$B$500,A54,Circulation!$H$2:$H$500,"Active")&gt;0,"On Loan","Available"))</f>
        <v/>
      </c>
      <c r="AA54" s="9" t="n"/>
      <c r="AB54" s="9" t="n"/>
      <c r="AC54" s="9" t="n"/>
      <c r="AD54" s="9" t="n"/>
      <c r="AE54" s="9" t="n"/>
      <c r="AF54" s="9" t="n"/>
      <c r="AG54" s="9" t="n"/>
    </row>
    <row r="55">
      <c r="A55" s="13">
        <f>IF(ISBLANK(D55),"",ROW()-1)</f>
        <v/>
      </c>
      <c r="B55" s="14" t="n"/>
      <c r="C55" s="13">
        <f>IF(ISBLANK(D55),"",MID(K55,SEARCH("(",K55)+1,SEARCH(")",K55)-SEARCH("(",K55)-1)&amp;"-"&amp;MID(L55,SEARCH("(",L55)+1,SEARCH(")",L55)-SEARCH("(",L55)-1)&amp;"-"&amp;H55&amp;"-"&amp;TEXT(A55,"000")&amp;IF(ISBLANK(N55),"","-"&amp;SUBSTITUTE(N55," ","")))</f>
        <v/>
      </c>
      <c r="D55" s="9" t="n"/>
      <c r="E55" s="9" t="n"/>
      <c r="F55" s="9" t="n"/>
      <c r="G55" s="9" t="n"/>
      <c r="H55" s="13">
        <f>IF(ISBLANK(F55),"",IF(G55&lt;&gt;"",UPPER(TRIM(G55)),IF(ISNUMBER(SEARCH(" ",TRIM(F55))),UPPER(LEFT(TRIM(RIGHT(SUBSTITUTE(TRIM(F55)," ",REPT(" ",100)),100)),Settings!$B$9)),UPPER(LEFT(TRIM(F55),Settings!$B$9)))))</f>
        <v/>
      </c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15">
        <f>IF(ISBLANK(D55),"",IF(COUNTIFS(Circulation!$B$2:$B$500,A55,Circulation!$H$2:$H$500,"Active")&gt;0,"On Loan","Available"))</f>
        <v/>
      </c>
      <c r="AA55" s="9" t="n"/>
      <c r="AB55" s="9" t="n"/>
      <c r="AC55" s="9" t="n"/>
      <c r="AD55" s="9" t="n"/>
      <c r="AE55" s="9" t="n"/>
      <c r="AF55" s="9" t="n"/>
      <c r="AG55" s="9" t="n"/>
    </row>
    <row r="56">
      <c r="A56" s="13">
        <f>IF(ISBLANK(D56),"",ROW()-1)</f>
        <v/>
      </c>
      <c r="B56" s="14" t="n"/>
      <c r="C56" s="13">
        <f>IF(ISBLANK(D56),"",MID(K56,SEARCH("(",K56)+1,SEARCH(")",K56)-SEARCH("(",K56)-1)&amp;"-"&amp;MID(L56,SEARCH("(",L56)+1,SEARCH(")",L56)-SEARCH("(",L56)-1)&amp;"-"&amp;H56&amp;"-"&amp;TEXT(A56,"000")&amp;IF(ISBLANK(N56),"","-"&amp;SUBSTITUTE(N56," ","")))</f>
        <v/>
      </c>
      <c r="D56" s="9" t="n"/>
      <c r="E56" s="9" t="n"/>
      <c r="F56" s="9" t="n"/>
      <c r="G56" s="9" t="n"/>
      <c r="H56" s="13">
        <f>IF(ISBLANK(F56),"",IF(G56&lt;&gt;"",UPPER(TRIM(G56)),IF(ISNUMBER(SEARCH(" ",TRIM(F56))),UPPER(LEFT(TRIM(RIGHT(SUBSTITUTE(TRIM(F56)," ",REPT(" ",100)),100)),Settings!$B$9)),UPPER(LEFT(TRIM(F56),Settings!$B$9)))))</f>
        <v/>
      </c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15">
        <f>IF(ISBLANK(D56),"",IF(COUNTIFS(Circulation!$B$2:$B$500,A56,Circulation!$H$2:$H$500,"Active")&gt;0,"On Loan","Available"))</f>
        <v/>
      </c>
      <c r="AA56" s="9" t="n"/>
      <c r="AB56" s="9" t="n"/>
      <c r="AC56" s="9" t="n"/>
      <c r="AD56" s="9" t="n"/>
      <c r="AE56" s="9" t="n"/>
      <c r="AF56" s="9" t="n"/>
      <c r="AG56" s="9" t="n"/>
    </row>
    <row r="57">
      <c r="A57" s="13">
        <f>IF(ISBLANK(D57),"",ROW()-1)</f>
        <v/>
      </c>
      <c r="B57" s="14" t="n"/>
      <c r="C57" s="13">
        <f>IF(ISBLANK(D57),"",MID(K57,SEARCH("(",K57)+1,SEARCH(")",K57)-SEARCH("(",K57)-1)&amp;"-"&amp;MID(L57,SEARCH("(",L57)+1,SEARCH(")",L57)-SEARCH("(",L57)-1)&amp;"-"&amp;H57&amp;"-"&amp;TEXT(A57,"000")&amp;IF(ISBLANK(N57),"","-"&amp;SUBSTITUTE(N57," ","")))</f>
        <v/>
      </c>
      <c r="D57" s="9" t="n"/>
      <c r="E57" s="9" t="n"/>
      <c r="F57" s="9" t="n"/>
      <c r="G57" s="9" t="n"/>
      <c r="H57" s="13">
        <f>IF(ISBLANK(F57),"",IF(G57&lt;&gt;"",UPPER(TRIM(G57)),IF(ISNUMBER(SEARCH(" ",TRIM(F57))),UPPER(LEFT(TRIM(RIGHT(SUBSTITUTE(TRIM(F57)," ",REPT(" ",100)),100)),Settings!$B$9)),UPPER(LEFT(TRIM(F57),Settings!$B$9)))))</f>
        <v/>
      </c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15">
        <f>IF(ISBLANK(D57),"",IF(COUNTIFS(Circulation!$B$2:$B$500,A57,Circulation!$H$2:$H$500,"Active")&gt;0,"On Loan","Available"))</f>
        <v/>
      </c>
      <c r="AA57" s="9" t="n"/>
      <c r="AB57" s="9" t="n"/>
      <c r="AC57" s="9" t="n"/>
      <c r="AD57" s="9" t="n"/>
      <c r="AE57" s="9" t="n"/>
      <c r="AF57" s="9" t="n"/>
      <c r="AG57" s="9" t="n"/>
    </row>
    <row r="58">
      <c r="A58" s="13">
        <f>IF(ISBLANK(D58),"",ROW()-1)</f>
        <v/>
      </c>
      <c r="B58" s="14" t="n"/>
      <c r="C58" s="13">
        <f>IF(ISBLANK(D58),"",MID(K58,SEARCH("(",K58)+1,SEARCH(")",K58)-SEARCH("(",K58)-1)&amp;"-"&amp;MID(L58,SEARCH("(",L58)+1,SEARCH(")",L58)-SEARCH("(",L58)-1)&amp;"-"&amp;H58&amp;"-"&amp;TEXT(A58,"000")&amp;IF(ISBLANK(N58),"","-"&amp;SUBSTITUTE(N58," ","")))</f>
        <v/>
      </c>
      <c r="D58" s="9" t="n"/>
      <c r="E58" s="9" t="n"/>
      <c r="F58" s="9" t="n"/>
      <c r="G58" s="9" t="n"/>
      <c r="H58" s="13">
        <f>IF(ISBLANK(F58),"",IF(G58&lt;&gt;"",UPPER(TRIM(G58)),IF(ISNUMBER(SEARCH(" ",TRIM(F58))),UPPER(LEFT(TRIM(RIGHT(SUBSTITUTE(TRIM(F58)," ",REPT(" ",100)),100)),Settings!$B$9)),UPPER(LEFT(TRIM(F58),Settings!$B$9)))))</f>
        <v/>
      </c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15">
        <f>IF(ISBLANK(D58),"",IF(COUNTIFS(Circulation!$B$2:$B$500,A58,Circulation!$H$2:$H$500,"Active")&gt;0,"On Loan","Available"))</f>
        <v/>
      </c>
      <c r="AA58" s="9" t="n"/>
      <c r="AB58" s="9" t="n"/>
      <c r="AC58" s="9" t="n"/>
      <c r="AD58" s="9" t="n"/>
      <c r="AE58" s="9" t="n"/>
      <c r="AF58" s="9" t="n"/>
      <c r="AG58" s="9" t="n"/>
    </row>
    <row r="59">
      <c r="A59" s="13">
        <f>IF(ISBLANK(D59),"",ROW()-1)</f>
        <v/>
      </c>
      <c r="B59" s="14" t="n"/>
      <c r="C59" s="13">
        <f>IF(ISBLANK(D59),"",MID(K59,SEARCH("(",K59)+1,SEARCH(")",K59)-SEARCH("(",K59)-1)&amp;"-"&amp;MID(L59,SEARCH("(",L59)+1,SEARCH(")",L59)-SEARCH("(",L59)-1)&amp;"-"&amp;H59&amp;"-"&amp;TEXT(A59,"000")&amp;IF(ISBLANK(N59),"","-"&amp;SUBSTITUTE(N59," ","")))</f>
        <v/>
      </c>
      <c r="D59" s="9" t="n"/>
      <c r="E59" s="9" t="n"/>
      <c r="F59" s="9" t="n"/>
      <c r="G59" s="9" t="n"/>
      <c r="H59" s="13">
        <f>IF(ISBLANK(F59),"",IF(G59&lt;&gt;"",UPPER(TRIM(G59)),IF(ISNUMBER(SEARCH(" ",TRIM(F59))),UPPER(LEFT(TRIM(RIGHT(SUBSTITUTE(TRIM(F59)," ",REPT(" ",100)),100)),Settings!$B$9)),UPPER(LEFT(TRIM(F59),Settings!$B$9)))))</f>
        <v/>
      </c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15">
        <f>IF(ISBLANK(D59),"",IF(COUNTIFS(Circulation!$B$2:$B$500,A59,Circulation!$H$2:$H$500,"Active")&gt;0,"On Loan","Available"))</f>
        <v/>
      </c>
      <c r="AA59" s="9" t="n"/>
      <c r="AB59" s="9" t="n"/>
      <c r="AC59" s="9" t="n"/>
      <c r="AD59" s="9" t="n"/>
      <c r="AE59" s="9" t="n"/>
      <c r="AF59" s="9" t="n"/>
      <c r="AG59" s="9" t="n"/>
    </row>
    <row r="60">
      <c r="A60" s="13">
        <f>IF(ISBLANK(D60),"",ROW()-1)</f>
        <v/>
      </c>
      <c r="B60" s="14" t="n"/>
      <c r="C60" s="13">
        <f>IF(ISBLANK(D60),"",MID(K60,SEARCH("(",K60)+1,SEARCH(")",K60)-SEARCH("(",K60)-1)&amp;"-"&amp;MID(L60,SEARCH("(",L60)+1,SEARCH(")",L60)-SEARCH("(",L60)-1)&amp;"-"&amp;H60&amp;"-"&amp;TEXT(A60,"000")&amp;IF(ISBLANK(N60),"","-"&amp;SUBSTITUTE(N60," ","")))</f>
        <v/>
      </c>
      <c r="D60" s="9" t="n"/>
      <c r="E60" s="9" t="n"/>
      <c r="F60" s="9" t="n"/>
      <c r="G60" s="9" t="n"/>
      <c r="H60" s="13">
        <f>IF(ISBLANK(F60),"",IF(G60&lt;&gt;"",UPPER(TRIM(G60)),IF(ISNUMBER(SEARCH(" ",TRIM(F60))),UPPER(LEFT(TRIM(RIGHT(SUBSTITUTE(TRIM(F60)," ",REPT(" ",100)),100)),Settings!$B$9)),UPPER(LEFT(TRIM(F60),Settings!$B$9)))))</f>
        <v/>
      </c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15">
        <f>IF(ISBLANK(D60),"",IF(COUNTIFS(Circulation!$B$2:$B$500,A60,Circulation!$H$2:$H$500,"Active")&gt;0,"On Loan","Available"))</f>
        <v/>
      </c>
      <c r="AA60" s="9" t="n"/>
      <c r="AB60" s="9" t="n"/>
      <c r="AC60" s="9" t="n"/>
      <c r="AD60" s="9" t="n"/>
      <c r="AE60" s="9" t="n"/>
      <c r="AF60" s="9" t="n"/>
      <c r="AG60" s="9" t="n"/>
    </row>
    <row r="61">
      <c r="A61" s="13">
        <f>IF(ISBLANK(D61),"",ROW()-1)</f>
        <v/>
      </c>
      <c r="B61" s="14" t="n"/>
      <c r="C61" s="13">
        <f>IF(ISBLANK(D61),"",MID(K61,SEARCH("(",K61)+1,SEARCH(")",K61)-SEARCH("(",K61)-1)&amp;"-"&amp;MID(L61,SEARCH("(",L61)+1,SEARCH(")",L61)-SEARCH("(",L61)-1)&amp;"-"&amp;H61&amp;"-"&amp;TEXT(A61,"000")&amp;IF(ISBLANK(N61),"","-"&amp;SUBSTITUTE(N61," ","")))</f>
        <v/>
      </c>
      <c r="D61" s="9" t="n"/>
      <c r="E61" s="9" t="n"/>
      <c r="F61" s="9" t="n"/>
      <c r="G61" s="9" t="n"/>
      <c r="H61" s="13">
        <f>IF(ISBLANK(F61),"",IF(G61&lt;&gt;"",UPPER(TRIM(G61)),IF(ISNUMBER(SEARCH(" ",TRIM(F61))),UPPER(LEFT(TRIM(RIGHT(SUBSTITUTE(TRIM(F61)," ",REPT(" ",100)),100)),Settings!$B$9)),UPPER(LEFT(TRIM(F61),Settings!$B$9)))))</f>
        <v/>
      </c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15">
        <f>IF(ISBLANK(D61),"",IF(COUNTIFS(Circulation!$B$2:$B$500,A61,Circulation!$H$2:$H$500,"Active")&gt;0,"On Loan","Available"))</f>
        <v/>
      </c>
      <c r="AA61" s="9" t="n"/>
      <c r="AB61" s="9" t="n"/>
      <c r="AC61" s="9" t="n"/>
      <c r="AD61" s="9" t="n"/>
      <c r="AE61" s="9" t="n"/>
      <c r="AF61" s="9" t="n"/>
      <c r="AG61" s="9" t="n"/>
    </row>
    <row r="62">
      <c r="A62" s="13">
        <f>IF(ISBLANK(D62),"",ROW()-1)</f>
        <v/>
      </c>
      <c r="B62" s="14" t="n"/>
      <c r="C62" s="13">
        <f>IF(ISBLANK(D62),"",MID(K62,SEARCH("(",K62)+1,SEARCH(")",K62)-SEARCH("(",K62)-1)&amp;"-"&amp;MID(L62,SEARCH("(",L62)+1,SEARCH(")",L62)-SEARCH("(",L62)-1)&amp;"-"&amp;H62&amp;"-"&amp;TEXT(A62,"000")&amp;IF(ISBLANK(N62),"","-"&amp;SUBSTITUTE(N62," ","")))</f>
        <v/>
      </c>
      <c r="D62" s="9" t="n"/>
      <c r="E62" s="9" t="n"/>
      <c r="F62" s="9" t="n"/>
      <c r="G62" s="9" t="n"/>
      <c r="H62" s="13">
        <f>IF(ISBLANK(F62),"",IF(G62&lt;&gt;"",UPPER(TRIM(G62)),IF(ISNUMBER(SEARCH(" ",TRIM(F62))),UPPER(LEFT(TRIM(RIGHT(SUBSTITUTE(TRIM(F62)," ",REPT(" ",100)),100)),Settings!$B$9)),UPPER(LEFT(TRIM(F62),Settings!$B$9)))))</f>
        <v/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15">
        <f>IF(ISBLANK(D62),"",IF(COUNTIFS(Circulation!$B$2:$B$500,A62,Circulation!$H$2:$H$500,"Active")&gt;0,"On Loan","Available"))</f>
        <v/>
      </c>
      <c r="AA62" s="9" t="n"/>
      <c r="AB62" s="9" t="n"/>
      <c r="AC62" s="9" t="n"/>
      <c r="AD62" s="9" t="n"/>
      <c r="AE62" s="9" t="n"/>
      <c r="AF62" s="9" t="n"/>
      <c r="AG62" s="9" t="n"/>
    </row>
    <row r="63">
      <c r="A63" s="13">
        <f>IF(ISBLANK(D63),"",ROW()-1)</f>
        <v/>
      </c>
      <c r="B63" s="14" t="n"/>
      <c r="C63" s="13">
        <f>IF(ISBLANK(D63),"",MID(K63,SEARCH("(",K63)+1,SEARCH(")",K63)-SEARCH("(",K63)-1)&amp;"-"&amp;MID(L63,SEARCH("(",L63)+1,SEARCH(")",L63)-SEARCH("(",L63)-1)&amp;"-"&amp;H63&amp;"-"&amp;TEXT(A63,"000")&amp;IF(ISBLANK(N63),"","-"&amp;SUBSTITUTE(N63," ","")))</f>
        <v/>
      </c>
      <c r="D63" s="9" t="n"/>
      <c r="E63" s="9" t="n"/>
      <c r="F63" s="9" t="n"/>
      <c r="G63" s="9" t="n"/>
      <c r="H63" s="13">
        <f>IF(ISBLANK(F63),"",IF(G63&lt;&gt;"",UPPER(TRIM(G63)),IF(ISNUMBER(SEARCH(" ",TRIM(F63))),UPPER(LEFT(TRIM(RIGHT(SUBSTITUTE(TRIM(F63)," ",REPT(" ",100)),100)),Settings!$B$9)),UPPER(LEFT(TRIM(F63),Settings!$B$9)))))</f>
        <v/>
      </c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15">
        <f>IF(ISBLANK(D63),"",IF(COUNTIFS(Circulation!$B$2:$B$500,A63,Circulation!$H$2:$H$500,"Active")&gt;0,"On Loan","Available"))</f>
        <v/>
      </c>
      <c r="AA63" s="9" t="n"/>
      <c r="AB63" s="9" t="n"/>
      <c r="AC63" s="9" t="n"/>
      <c r="AD63" s="9" t="n"/>
      <c r="AE63" s="9" t="n"/>
      <c r="AF63" s="9" t="n"/>
      <c r="AG63" s="9" t="n"/>
    </row>
    <row r="64">
      <c r="A64" s="13">
        <f>IF(ISBLANK(D64),"",ROW()-1)</f>
        <v/>
      </c>
      <c r="B64" s="14" t="n"/>
      <c r="C64" s="13">
        <f>IF(ISBLANK(D64),"",MID(K64,SEARCH("(",K64)+1,SEARCH(")",K64)-SEARCH("(",K64)-1)&amp;"-"&amp;MID(L64,SEARCH("(",L64)+1,SEARCH(")",L64)-SEARCH("(",L64)-1)&amp;"-"&amp;H64&amp;"-"&amp;TEXT(A64,"000")&amp;IF(ISBLANK(N64),"","-"&amp;SUBSTITUTE(N64," ","")))</f>
        <v/>
      </c>
      <c r="D64" s="9" t="n"/>
      <c r="E64" s="9" t="n"/>
      <c r="F64" s="9" t="n"/>
      <c r="G64" s="9" t="n"/>
      <c r="H64" s="13">
        <f>IF(ISBLANK(F64),"",IF(G64&lt;&gt;"",UPPER(TRIM(G64)),IF(ISNUMBER(SEARCH(" ",TRIM(F64))),UPPER(LEFT(TRIM(RIGHT(SUBSTITUTE(TRIM(F64)," ",REPT(" ",100)),100)),Settings!$B$9)),UPPER(LEFT(TRIM(F64),Settings!$B$9)))))</f>
        <v/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15">
        <f>IF(ISBLANK(D64),"",IF(COUNTIFS(Circulation!$B$2:$B$500,A64,Circulation!$H$2:$H$500,"Active")&gt;0,"On Loan","Available"))</f>
        <v/>
      </c>
      <c r="AA64" s="9" t="n"/>
      <c r="AB64" s="9" t="n"/>
      <c r="AC64" s="9" t="n"/>
      <c r="AD64" s="9" t="n"/>
      <c r="AE64" s="9" t="n"/>
      <c r="AF64" s="9" t="n"/>
      <c r="AG64" s="9" t="n"/>
    </row>
    <row r="65">
      <c r="A65" s="13">
        <f>IF(ISBLANK(D65),"",ROW()-1)</f>
        <v/>
      </c>
      <c r="B65" s="14" t="n"/>
      <c r="C65" s="13">
        <f>IF(ISBLANK(D65),"",MID(K65,SEARCH("(",K65)+1,SEARCH(")",K65)-SEARCH("(",K65)-1)&amp;"-"&amp;MID(L65,SEARCH("(",L65)+1,SEARCH(")",L65)-SEARCH("(",L65)-1)&amp;"-"&amp;H65&amp;"-"&amp;TEXT(A65,"000")&amp;IF(ISBLANK(N65),"","-"&amp;SUBSTITUTE(N65," ","")))</f>
        <v/>
      </c>
      <c r="D65" s="9" t="n"/>
      <c r="E65" s="9" t="n"/>
      <c r="F65" s="9" t="n"/>
      <c r="G65" s="9" t="n"/>
      <c r="H65" s="13">
        <f>IF(ISBLANK(F65),"",IF(G65&lt;&gt;"",UPPER(TRIM(G65)),IF(ISNUMBER(SEARCH(" ",TRIM(F65))),UPPER(LEFT(TRIM(RIGHT(SUBSTITUTE(TRIM(F65)," ",REPT(" ",100)),100)),Settings!$B$9)),UPPER(LEFT(TRIM(F65),Settings!$B$9)))))</f>
        <v/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15">
        <f>IF(ISBLANK(D65),"",IF(COUNTIFS(Circulation!$B$2:$B$500,A65,Circulation!$H$2:$H$500,"Active")&gt;0,"On Loan","Available"))</f>
        <v/>
      </c>
      <c r="AA65" s="9" t="n"/>
      <c r="AB65" s="9" t="n"/>
      <c r="AC65" s="9" t="n"/>
      <c r="AD65" s="9" t="n"/>
      <c r="AE65" s="9" t="n"/>
      <c r="AF65" s="9" t="n"/>
      <c r="AG65" s="9" t="n"/>
    </row>
    <row r="66">
      <c r="A66" s="13">
        <f>IF(ISBLANK(D66),"",ROW()-1)</f>
        <v/>
      </c>
      <c r="B66" s="14" t="n"/>
      <c r="C66" s="13">
        <f>IF(ISBLANK(D66),"",MID(K66,SEARCH("(",K66)+1,SEARCH(")",K66)-SEARCH("(",K66)-1)&amp;"-"&amp;MID(L66,SEARCH("(",L66)+1,SEARCH(")",L66)-SEARCH("(",L66)-1)&amp;"-"&amp;H66&amp;"-"&amp;TEXT(A66,"000")&amp;IF(ISBLANK(N66),"","-"&amp;SUBSTITUTE(N66," ","")))</f>
        <v/>
      </c>
      <c r="D66" s="9" t="n"/>
      <c r="E66" s="9" t="n"/>
      <c r="F66" s="9" t="n"/>
      <c r="G66" s="9" t="n"/>
      <c r="H66" s="13">
        <f>IF(ISBLANK(F66),"",IF(G66&lt;&gt;"",UPPER(TRIM(G66)),IF(ISNUMBER(SEARCH(" ",TRIM(F66))),UPPER(LEFT(TRIM(RIGHT(SUBSTITUTE(TRIM(F66)," ",REPT(" ",100)),100)),Settings!$B$9)),UPPER(LEFT(TRIM(F66),Settings!$B$9)))))</f>
        <v/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15">
        <f>IF(ISBLANK(D66),"",IF(COUNTIFS(Circulation!$B$2:$B$500,A66,Circulation!$H$2:$H$500,"Active")&gt;0,"On Loan","Available"))</f>
        <v/>
      </c>
      <c r="AA66" s="9" t="n"/>
      <c r="AB66" s="9" t="n"/>
      <c r="AC66" s="9" t="n"/>
      <c r="AD66" s="9" t="n"/>
      <c r="AE66" s="9" t="n"/>
      <c r="AF66" s="9" t="n"/>
      <c r="AG66" s="9" t="n"/>
    </row>
    <row r="67">
      <c r="A67" s="13">
        <f>IF(ISBLANK(D67),"",ROW()-1)</f>
        <v/>
      </c>
      <c r="B67" s="14" t="n"/>
      <c r="C67" s="13">
        <f>IF(ISBLANK(D67),"",MID(K67,SEARCH("(",K67)+1,SEARCH(")",K67)-SEARCH("(",K67)-1)&amp;"-"&amp;MID(L67,SEARCH("(",L67)+1,SEARCH(")",L67)-SEARCH("(",L67)-1)&amp;"-"&amp;H67&amp;"-"&amp;TEXT(A67,"000")&amp;IF(ISBLANK(N67),"","-"&amp;SUBSTITUTE(N67," ","")))</f>
        <v/>
      </c>
      <c r="D67" s="9" t="n"/>
      <c r="E67" s="9" t="n"/>
      <c r="F67" s="9" t="n"/>
      <c r="G67" s="9" t="n"/>
      <c r="H67" s="13">
        <f>IF(ISBLANK(F67),"",IF(G67&lt;&gt;"",UPPER(TRIM(G67)),IF(ISNUMBER(SEARCH(" ",TRIM(F67))),UPPER(LEFT(TRIM(RIGHT(SUBSTITUTE(TRIM(F67)," ",REPT(" ",100)),100)),Settings!$B$9)),UPPER(LEFT(TRIM(F67),Settings!$B$9)))))</f>
        <v/>
      </c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15">
        <f>IF(ISBLANK(D67),"",IF(COUNTIFS(Circulation!$B$2:$B$500,A67,Circulation!$H$2:$H$500,"Active")&gt;0,"On Loan","Available"))</f>
        <v/>
      </c>
      <c r="AA67" s="9" t="n"/>
      <c r="AB67" s="9" t="n"/>
      <c r="AC67" s="9" t="n"/>
      <c r="AD67" s="9" t="n"/>
      <c r="AE67" s="9" t="n"/>
      <c r="AF67" s="9" t="n"/>
      <c r="AG67" s="9" t="n"/>
    </row>
    <row r="68">
      <c r="A68" s="13">
        <f>IF(ISBLANK(D68),"",ROW()-1)</f>
        <v/>
      </c>
      <c r="B68" s="14" t="n"/>
      <c r="C68" s="13">
        <f>IF(ISBLANK(D68),"",MID(K68,SEARCH("(",K68)+1,SEARCH(")",K68)-SEARCH("(",K68)-1)&amp;"-"&amp;MID(L68,SEARCH("(",L68)+1,SEARCH(")",L68)-SEARCH("(",L68)-1)&amp;"-"&amp;H68&amp;"-"&amp;TEXT(A68,"000")&amp;IF(ISBLANK(N68),"","-"&amp;SUBSTITUTE(N68," ","")))</f>
        <v/>
      </c>
      <c r="D68" s="9" t="n"/>
      <c r="E68" s="9" t="n"/>
      <c r="F68" s="9" t="n"/>
      <c r="G68" s="9" t="n"/>
      <c r="H68" s="13">
        <f>IF(ISBLANK(F68),"",IF(G68&lt;&gt;"",UPPER(TRIM(G68)),IF(ISNUMBER(SEARCH(" ",TRIM(F68))),UPPER(LEFT(TRIM(RIGHT(SUBSTITUTE(TRIM(F68)," ",REPT(" ",100)),100)),Settings!$B$9)),UPPER(LEFT(TRIM(F68),Settings!$B$9)))))</f>
        <v/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15">
        <f>IF(ISBLANK(D68),"",IF(COUNTIFS(Circulation!$B$2:$B$500,A68,Circulation!$H$2:$H$500,"Active")&gt;0,"On Loan","Available"))</f>
        <v/>
      </c>
      <c r="AA68" s="9" t="n"/>
      <c r="AB68" s="9" t="n"/>
      <c r="AC68" s="9" t="n"/>
      <c r="AD68" s="9" t="n"/>
      <c r="AE68" s="9" t="n"/>
      <c r="AF68" s="9" t="n"/>
      <c r="AG68" s="9" t="n"/>
    </row>
    <row r="69">
      <c r="A69" s="13">
        <f>IF(ISBLANK(D69),"",ROW()-1)</f>
        <v/>
      </c>
      <c r="B69" s="14" t="n"/>
      <c r="C69" s="13">
        <f>IF(ISBLANK(D69),"",MID(K69,SEARCH("(",K69)+1,SEARCH(")",K69)-SEARCH("(",K69)-1)&amp;"-"&amp;MID(L69,SEARCH("(",L69)+1,SEARCH(")",L69)-SEARCH("(",L69)-1)&amp;"-"&amp;H69&amp;"-"&amp;TEXT(A69,"000")&amp;IF(ISBLANK(N69),"","-"&amp;SUBSTITUTE(N69," ","")))</f>
        <v/>
      </c>
      <c r="D69" s="9" t="n"/>
      <c r="E69" s="9" t="n"/>
      <c r="F69" s="9" t="n"/>
      <c r="G69" s="9" t="n"/>
      <c r="H69" s="13">
        <f>IF(ISBLANK(F69),"",IF(G69&lt;&gt;"",UPPER(TRIM(G69)),IF(ISNUMBER(SEARCH(" ",TRIM(F69))),UPPER(LEFT(TRIM(RIGHT(SUBSTITUTE(TRIM(F69)," ",REPT(" ",100)),100)),Settings!$B$9)),UPPER(LEFT(TRIM(F69),Settings!$B$9)))))</f>
        <v/>
      </c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15">
        <f>IF(ISBLANK(D69),"",IF(COUNTIFS(Circulation!$B$2:$B$500,A69,Circulation!$H$2:$H$500,"Active")&gt;0,"On Loan","Available"))</f>
        <v/>
      </c>
      <c r="AA69" s="9" t="n"/>
      <c r="AB69" s="9" t="n"/>
      <c r="AC69" s="9" t="n"/>
      <c r="AD69" s="9" t="n"/>
      <c r="AE69" s="9" t="n"/>
      <c r="AF69" s="9" t="n"/>
      <c r="AG69" s="9" t="n"/>
    </row>
    <row r="70">
      <c r="A70" s="13">
        <f>IF(ISBLANK(D70),"",ROW()-1)</f>
        <v/>
      </c>
      <c r="B70" s="14" t="n"/>
      <c r="C70" s="13">
        <f>IF(ISBLANK(D70),"",MID(K70,SEARCH("(",K70)+1,SEARCH(")",K70)-SEARCH("(",K70)-1)&amp;"-"&amp;MID(L70,SEARCH("(",L70)+1,SEARCH(")",L70)-SEARCH("(",L70)-1)&amp;"-"&amp;H70&amp;"-"&amp;TEXT(A70,"000")&amp;IF(ISBLANK(N70),"","-"&amp;SUBSTITUTE(N70," ","")))</f>
        <v/>
      </c>
      <c r="D70" s="9" t="n"/>
      <c r="E70" s="9" t="n"/>
      <c r="F70" s="9" t="n"/>
      <c r="G70" s="9" t="n"/>
      <c r="H70" s="13">
        <f>IF(ISBLANK(F70),"",IF(G70&lt;&gt;"",UPPER(TRIM(G70)),IF(ISNUMBER(SEARCH(" ",TRIM(F70))),UPPER(LEFT(TRIM(RIGHT(SUBSTITUTE(TRIM(F70)," ",REPT(" ",100)),100)),Settings!$B$9)),UPPER(LEFT(TRIM(F70),Settings!$B$9)))))</f>
        <v/>
      </c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15">
        <f>IF(ISBLANK(D70),"",IF(COUNTIFS(Circulation!$B$2:$B$500,A70,Circulation!$H$2:$H$500,"Active")&gt;0,"On Loan","Available"))</f>
        <v/>
      </c>
      <c r="AA70" s="9" t="n"/>
      <c r="AB70" s="9" t="n"/>
      <c r="AC70" s="9" t="n"/>
      <c r="AD70" s="9" t="n"/>
      <c r="AE70" s="9" t="n"/>
      <c r="AF70" s="9" t="n"/>
      <c r="AG70" s="9" t="n"/>
    </row>
    <row r="71">
      <c r="A71" s="13">
        <f>IF(ISBLANK(D71),"",ROW()-1)</f>
        <v/>
      </c>
      <c r="B71" s="14" t="n"/>
      <c r="C71" s="13">
        <f>IF(ISBLANK(D71),"",MID(K71,SEARCH("(",K71)+1,SEARCH(")",K71)-SEARCH("(",K71)-1)&amp;"-"&amp;MID(L71,SEARCH("(",L71)+1,SEARCH(")",L71)-SEARCH("(",L71)-1)&amp;"-"&amp;H71&amp;"-"&amp;TEXT(A71,"000")&amp;IF(ISBLANK(N71),"","-"&amp;SUBSTITUTE(N71," ","")))</f>
        <v/>
      </c>
      <c r="D71" s="9" t="n"/>
      <c r="E71" s="9" t="n"/>
      <c r="F71" s="9" t="n"/>
      <c r="G71" s="9" t="n"/>
      <c r="H71" s="13">
        <f>IF(ISBLANK(F71),"",IF(G71&lt;&gt;"",UPPER(TRIM(G71)),IF(ISNUMBER(SEARCH(" ",TRIM(F71))),UPPER(LEFT(TRIM(RIGHT(SUBSTITUTE(TRIM(F71)," ",REPT(" ",100)),100)),Settings!$B$9)),UPPER(LEFT(TRIM(F71),Settings!$B$9)))))</f>
        <v/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15">
        <f>IF(ISBLANK(D71),"",IF(COUNTIFS(Circulation!$B$2:$B$500,A71,Circulation!$H$2:$H$500,"Active")&gt;0,"On Loan","Available"))</f>
        <v/>
      </c>
      <c r="AA71" s="9" t="n"/>
      <c r="AB71" s="9" t="n"/>
      <c r="AC71" s="9" t="n"/>
      <c r="AD71" s="9" t="n"/>
      <c r="AE71" s="9" t="n"/>
      <c r="AF71" s="9" t="n"/>
      <c r="AG71" s="9" t="n"/>
    </row>
    <row r="72">
      <c r="A72" s="13">
        <f>IF(ISBLANK(D72),"",ROW()-1)</f>
        <v/>
      </c>
      <c r="B72" s="14" t="n"/>
      <c r="C72" s="13">
        <f>IF(ISBLANK(D72),"",MID(K72,SEARCH("(",K72)+1,SEARCH(")",K72)-SEARCH("(",K72)-1)&amp;"-"&amp;MID(L72,SEARCH("(",L72)+1,SEARCH(")",L72)-SEARCH("(",L72)-1)&amp;"-"&amp;H72&amp;"-"&amp;TEXT(A72,"000")&amp;IF(ISBLANK(N72),"","-"&amp;SUBSTITUTE(N72," ","")))</f>
        <v/>
      </c>
      <c r="D72" s="9" t="n"/>
      <c r="E72" s="9" t="n"/>
      <c r="F72" s="9" t="n"/>
      <c r="G72" s="9" t="n"/>
      <c r="H72" s="13">
        <f>IF(ISBLANK(F72),"",IF(G72&lt;&gt;"",UPPER(TRIM(G72)),IF(ISNUMBER(SEARCH(" ",TRIM(F72))),UPPER(LEFT(TRIM(RIGHT(SUBSTITUTE(TRIM(F72)," ",REPT(" ",100)),100)),Settings!$B$9)),UPPER(LEFT(TRIM(F72),Settings!$B$9)))))</f>
        <v/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15">
        <f>IF(ISBLANK(D72),"",IF(COUNTIFS(Circulation!$B$2:$B$500,A72,Circulation!$H$2:$H$500,"Active")&gt;0,"On Loan","Available"))</f>
        <v/>
      </c>
      <c r="AA72" s="9" t="n"/>
      <c r="AB72" s="9" t="n"/>
      <c r="AC72" s="9" t="n"/>
      <c r="AD72" s="9" t="n"/>
      <c r="AE72" s="9" t="n"/>
      <c r="AF72" s="9" t="n"/>
      <c r="AG72" s="9" t="n"/>
    </row>
    <row r="73">
      <c r="A73" s="13">
        <f>IF(ISBLANK(D73),"",ROW()-1)</f>
        <v/>
      </c>
      <c r="B73" s="14" t="n"/>
      <c r="C73" s="13">
        <f>IF(ISBLANK(D73),"",MID(K73,SEARCH("(",K73)+1,SEARCH(")",K73)-SEARCH("(",K73)-1)&amp;"-"&amp;MID(L73,SEARCH("(",L73)+1,SEARCH(")",L73)-SEARCH("(",L73)-1)&amp;"-"&amp;H73&amp;"-"&amp;TEXT(A73,"000")&amp;IF(ISBLANK(N73),"","-"&amp;SUBSTITUTE(N73," ","")))</f>
        <v/>
      </c>
      <c r="D73" s="9" t="n"/>
      <c r="E73" s="9" t="n"/>
      <c r="F73" s="9" t="n"/>
      <c r="G73" s="9" t="n"/>
      <c r="H73" s="13">
        <f>IF(ISBLANK(F73),"",IF(G73&lt;&gt;"",UPPER(TRIM(G73)),IF(ISNUMBER(SEARCH(" ",TRIM(F73))),UPPER(LEFT(TRIM(RIGHT(SUBSTITUTE(TRIM(F73)," ",REPT(" ",100)),100)),Settings!$B$9)),UPPER(LEFT(TRIM(F73),Settings!$B$9)))))</f>
        <v/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15">
        <f>IF(ISBLANK(D73),"",IF(COUNTIFS(Circulation!$B$2:$B$500,A73,Circulation!$H$2:$H$500,"Active")&gt;0,"On Loan","Available"))</f>
        <v/>
      </c>
      <c r="AA73" s="9" t="n"/>
      <c r="AB73" s="9" t="n"/>
      <c r="AC73" s="9" t="n"/>
      <c r="AD73" s="9" t="n"/>
      <c r="AE73" s="9" t="n"/>
      <c r="AF73" s="9" t="n"/>
      <c r="AG73" s="9" t="n"/>
    </row>
    <row r="74">
      <c r="A74" s="13">
        <f>IF(ISBLANK(D74),"",ROW()-1)</f>
        <v/>
      </c>
      <c r="B74" s="14" t="n"/>
      <c r="C74" s="13">
        <f>IF(ISBLANK(D74),"",MID(K74,SEARCH("(",K74)+1,SEARCH(")",K74)-SEARCH("(",K74)-1)&amp;"-"&amp;MID(L74,SEARCH("(",L74)+1,SEARCH(")",L74)-SEARCH("(",L74)-1)&amp;"-"&amp;H74&amp;"-"&amp;TEXT(A74,"000")&amp;IF(ISBLANK(N74),"","-"&amp;SUBSTITUTE(N74," ","")))</f>
        <v/>
      </c>
      <c r="D74" s="9" t="n"/>
      <c r="E74" s="9" t="n"/>
      <c r="F74" s="9" t="n"/>
      <c r="G74" s="9" t="n"/>
      <c r="H74" s="13">
        <f>IF(ISBLANK(F74),"",IF(G74&lt;&gt;"",UPPER(TRIM(G74)),IF(ISNUMBER(SEARCH(" ",TRIM(F74))),UPPER(LEFT(TRIM(RIGHT(SUBSTITUTE(TRIM(F74)," ",REPT(" ",100)),100)),Settings!$B$9)),UPPER(LEFT(TRIM(F74),Settings!$B$9)))))</f>
        <v/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15">
        <f>IF(ISBLANK(D74),"",IF(COUNTIFS(Circulation!$B$2:$B$500,A74,Circulation!$H$2:$H$500,"Active")&gt;0,"On Loan","Available"))</f>
        <v/>
      </c>
      <c r="AA74" s="9" t="n"/>
      <c r="AB74" s="9" t="n"/>
      <c r="AC74" s="9" t="n"/>
      <c r="AD74" s="9" t="n"/>
      <c r="AE74" s="9" t="n"/>
      <c r="AF74" s="9" t="n"/>
      <c r="AG74" s="9" t="n"/>
    </row>
    <row r="75">
      <c r="A75" s="13">
        <f>IF(ISBLANK(D75),"",ROW()-1)</f>
        <v/>
      </c>
      <c r="B75" s="14" t="n"/>
      <c r="C75" s="13">
        <f>IF(ISBLANK(D75),"",MID(K75,SEARCH("(",K75)+1,SEARCH(")",K75)-SEARCH("(",K75)-1)&amp;"-"&amp;MID(L75,SEARCH("(",L75)+1,SEARCH(")",L75)-SEARCH("(",L75)-1)&amp;"-"&amp;H75&amp;"-"&amp;TEXT(A75,"000")&amp;IF(ISBLANK(N75),"","-"&amp;SUBSTITUTE(N75," ","")))</f>
        <v/>
      </c>
      <c r="D75" s="9" t="n"/>
      <c r="E75" s="9" t="n"/>
      <c r="F75" s="9" t="n"/>
      <c r="G75" s="9" t="n"/>
      <c r="H75" s="13">
        <f>IF(ISBLANK(F75),"",IF(G75&lt;&gt;"",UPPER(TRIM(G75)),IF(ISNUMBER(SEARCH(" ",TRIM(F75))),UPPER(LEFT(TRIM(RIGHT(SUBSTITUTE(TRIM(F75)," ",REPT(" ",100)),100)),Settings!$B$9)),UPPER(LEFT(TRIM(F75),Settings!$B$9)))))</f>
        <v/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15">
        <f>IF(ISBLANK(D75),"",IF(COUNTIFS(Circulation!$B$2:$B$500,A75,Circulation!$H$2:$H$500,"Active")&gt;0,"On Loan","Available"))</f>
        <v/>
      </c>
      <c r="AA75" s="9" t="n"/>
      <c r="AB75" s="9" t="n"/>
      <c r="AC75" s="9" t="n"/>
      <c r="AD75" s="9" t="n"/>
      <c r="AE75" s="9" t="n"/>
      <c r="AF75" s="9" t="n"/>
      <c r="AG75" s="9" t="n"/>
    </row>
    <row r="76">
      <c r="A76" s="13">
        <f>IF(ISBLANK(D76),"",ROW()-1)</f>
        <v/>
      </c>
      <c r="B76" s="14" t="n"/>
      <c r="C76" s="13">
        <f>IF(ISBLANK(D76),"",MID(K76,SEARCH("(",K76)+1,SEARCH(")",K76)-SEARCH("(",K76)-1)&amp;"-"&amp;MID(L76,SEARCH("(",L76)+1,SEARCH(")",L76)-SEARCH("(",L76)-1)&amp;"-"&amp;H76&amp;"-"&amp;TEXT(A76,"000")&amp;IF(ISBLANK(N76),"","-"&amp;SUBSTITUTE(N76," ","")))</f>
        <v/>
      </c>
      <c r="D76" s="9" t="n"/>
      <c r="E76" s="9" t="n"/>
      <c r="F76" s="9" t="n"/>
      <c r="G76" s="9" t="n"/>
      <c r="H76" s="13">
        <f>IF(ISBLANK(F76),"",IF(G76&lt;&gt;"",UPPER(TRIM(G76)),IF(ISNUMBER(SEARCH(" ",TRIM(F76))),UPPER(LEFT(TRIM(RIGHT(SUBSTITUTE(TRIM(F76)," ",REPT(" ",100)),100)),Settings!$B$9)),UPPER(LEFT(TRIM(F76),Settings!$B$9)))))</f>
        <v/>
      </c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15">
        <f>IF(ISBLANK(D76),"",IF(COUNTIFS(Circulation!$B$2:$B$500,A76,Circulation!$H$2:$H$500,"Active")&gt;0,"On Loan","Available"))</f>
        <v/>
      </c>
      <c r="AA76" s="9" t="n"/>
      <c r="AB76" s="9" t="n"/>
      <c r="AC76" s="9" t="n"/>
      <c r="AD76" s="9" t="n"/>
      <c r="AE76" s="9" t="n"/>
      <c r="AF76" s="9" t="n"/>
      <c r="AG76" s="9" t="n"/>
    </row>
    <row r="77">
      <c r="A77" s="13">
        <f>IF(ISBLANK(D77),"",ROW()-1)</f>
        <v/>
      </c>
      <c r="B77" s="14" t="n"/>
      <c r="C77" s="13">
        <f>IF(ISBLANK(D77),"",MID(K77,SEARCH("(",K77)+1,SEARCH(")",K77)-SEARCH("(",K77)-1)&amp;"-"&amp;MID(L77,SEARCH("(",L77)+1,SEARCH(")",L77)-SEARCH("(",L77)-1)&amp;"-"&amp;H77&amp;"-"&amp;TEXT(A77,"000")&amp;IF(ISBLANK(N77),"","-"&amp;SUBSTITUTE(N77," ","")))</f>
        <v/>
      </c>
      <c r="D77" s="9" t="n"/>
      <c r="E77" s="9" t="n"/>
      <c r="F77" s="9" t="n"/>
      <c r="G77" s="9" t="n"/>
      <c r="H77" s="13">
        <f>IF(ISBLANK(F77),"",IF(G77&lt;&gt;"",UPPER(TRIM(G77)),IF(ISNUMBER(SEARCH(" ",TRIM(F77))),UPPER(LEFT(TRIM(RIGHT(SUBSTITUTE(TRIM(F77)," ",REPT(" ",100)),100)),Settings!$B$9)),UPPER(LEFT(TRIM(F77),Settings!$B$9)))))</f>
        <v/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15">
        <f>IF(ISBLANK(D77),"",IF(COUNTIFS(Circulation!$B$2:$B$500,A77,Circulation!$H$2:$H$500,"Active")&gt;0,"On Loan","Available"))</f>
        <v/>
      </c>
      <c r="AA77" s="9" t="n"/>
      <c r="AB77" s="9" t="n"/>
      <c r="AC77" s="9" t="n"/>
      <c r="AD77" s="9" t="n"/>
      <c r="AE77" s="9" t="n"/>
      <c r="AF77" s="9" t="n"/>
      <c r="AG77" s="9" t="n"/>
    </row>
    <row r="78">
      <c r="A78" s="13">
        <f>IF(ISBLANK(D78),"",ROW()-1)</f>
        <v/>
      </c>
      <c r="B78" s="14" t="n"/>
      <c r="C78" s="13">
        <f>IF(ISBLANK(D78),"",MID(K78,SEARCH("(",K78)+1,SEARCH(")",K78)-SEARCH("(",K78)-1)&amp;"-"&amp;MID(L78,SEARCH("(",L78)+1,SEARCH(")",L78)-SEARCH("(",L78)-1)&amp;"-"&amp;H78&amp;"-"&amp;TEXT(A78,"000")&amp;IF(ISBLANK(N78),"","-"&amp;SUBSTITUTE(N78," ","")))</f>
        <v/>
      </c>
      <c r="D78" s="9" t="n"/>
      <c r="E78" s="9" t="n"/>
      <c r="F78" s="9" t="n"/>
      <c r="G78" s="9" t="n"/>
      <c r="H78" s="13">
        <f>IF(ISBLANK(F78),"",IF(G78&lt;&gt;"",UPPER(TRIM(G78)),IF(ISNUMBER(SEARCH(" ",TRIM(F78))),UPPER(LEFT(TRIM(RIGHT(SUBSTITUTE(TRIM(F78)," ",REPT(" ",100)),100)),Settings!$B$9)),UPPER(LEFT(TRIM(F78),Settings!$B$9)))))</f>
        <v/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15">
        <f>IF(ISBLANK(D78),"",IF(COUNTIFS(Circulation!$B$2:$B$500,A78,Circulation!$H$2:$H$500,"Active")&gt;0,"On Loan","Available"))</f>
        <v/>
      </c>
      <c r="AA78" s="9" t="n"/>
      <c r="AB78" s="9" t="n"/>
      <c r="AC78" s="9" t="n"/>
      <c r="AD78" s="9" t="n"/>
      <c r="AE78" s="9" t="n"/>
      <c r="AF78" s="9" t="n"/>
      <c r="AG78" s="9" t="n"/>
    </row>
    <row r="79">
      <c r="A79" s="13">
        <f>IF(ISBLANK(D79),"",ROW()-1)</f>
        <v/>
      </c>
      <c r="B79" s="14" t="n"/>
      <c r="C79" s="13">
        <f>IF(ISBLANK(D79),"",MID(K79,SEARCH("(",K79)+1,SEARCH(")",K79)-SEARCH("(",K79)-1)&amp;"-"&amp;MID(L79,SEARCH("(",L79)+1,SEARCH(")",L79)-SEARCH("(",L79)-1)&amp;"-"&amp;H79&amp;"-"&amp;TEXT(A79,"000")&amp;IF(ISBLANK(N79),"","-"&amp;SUBSTITUTE(N79," ","")))</f>
        <v/>
      </c>
      <c r="D79" s="9" t="n"/>
      <c r="E79" s="9" t="n"/>
      <c r="F79" s="9" t="n"/>
      <c r="G79" s="9" t="n"/>
      <c r="H79" s="13">
        <f>IF(ISBLANK(F79),"",IF(G79&lt;&gt;"",UPPER(TRIM(G79)),IF(ISNUMBER(SEARCH(" ",TRIM(F79))),UPPER(LEFT(TRIM(RIGHT(SUBSTITUTE(TRIM(F79)," ",REPT(" ",100)),100)),Settings!$B$9)),UPPER(LEFT(TRIM(F79),Settings!$B$9)))))</f>
        <v/>
      </c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15">
        <f>IF(ISBLANK(D79),"",IF(COUNTIFS(Circulation!$B$2:$B$500,A79,Circulation!$H$2:$H$500,"Active")&gt;0,"On Loan","Available"))</f>
        <v/>
      </c>
      <c r="AA79" s="9" t="n"/>
      <c r="AB79" s="9" t="n"/>
      <c r="AC79" s="9" t="n"/>
      <c r="AD79" s="9" t="n"/>
      <c r="AE79" s="9" t="n"/>
      <c r="AF79" s="9" t="n"/>
      <c r="AG79" s="9" t="n"/>
    </row>
    <row r="80">
      <c r="A80" s="13">
        <f>IF(ISBLANK(D80),"",ROW()-1)</f>
        <v/>
      </c>
      <c r="B80" s="14" t="n"/>
      <c r="C80" s="13">
        <f>IF(ISBLANK(D80),"",MID(K80,SEARCH("(",K80)+1,SEARCH(")",K80)-SEARCH("(",K80)-1)&amp;"-"&amp;MID(L80,SEARCH("(",L80)+1,SEARCH(")",L80)-SEARCH("(",L80)-1)&amp;"-"&amp;H80&amp;"-"&amp;TEXT(A80,"000")&amp;IF(ISBLANK(N80),"","-"&amp;SUBSTITUTE(N80," ","")))</f>
        <v/>
      </c>
      <c r="D80" s="9" t="n"/>
      <c r="E80" s="9" t="n"/>
      <c r="F80" s="9" t="n"/>
      <c r="G80" s="9" t="n"/>
      <c r="H80" s="13">
        <f>IF(ISBLANK(F80),"",IF(G80&lt;&gt;"",UPPER(TRIM(G80)),IF(ISNUMBER(SEARCH(" ",TRIM(F80))),UPPER(LEFT(TRIM(RIGHT(SUBSTITUTE(TRIM(F80)," ",REPT(" ",100)),100)),Settings!$B$9)),UPPER(LEFT(TRIM(F80),Settings!$B$9)))))</f>
        <v/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15">
        <f>IF(ISBLANK(D80),"",IF(COUNTIFS(Circulation!$B$2:$B$500,A80,Circulation!$H$2:$H$500,"Active")&gt;0,"On Loan","Available"))</f>
        <v/>
      </c>
      <c r="AA80" s="9" t="n"/>
      <c r="AB80" s="9" t="n"/>
      <c r="AC80" s="9" t="n"/>
      <c r="AD80" s="9" t="n"/>
      <c r="AE80" s="9" t="n"/>
      <c r="AF80" s="9" t="n"/>
      <c r="AG80" s="9" t="n"/>
    </row>
    <row r="81">
      <c r="A81" s="13">
        <f>IF(ISBLANK(D81),"",ROW()-1)</f>
        <v/>
      </c>
      <c r="B81" s="14" t="n"/>
      <c r="C81" s="13">
        <f>IF(ISBLANK(D81),"",MID(K81,SEARCH("(",K81)+1,SEARCH(")",K81)-SEARCH("(",K81)-1)&amp;"-"&amp;MID(L81,SEARCH("(",L81)+1,SEARCH(")",L81)-SEARCH("(",L81)-1)&amp;"-"&amp;H81&amp;"-"&amp;TEXT(A81,"000")&amp;IF(ISBLANK(N81),"","-"&amp;SUBSTITUTE(N81," ","")))</f>
        <v/>
      </c>
      <c r="D81" s="9" t="n"/>
      <c r="E81" s="9" t="n"/>
      <c r="F81" s="9" t="n"/>
      <c r="G81" s="9" t="n"/>
      <c r="H81" s="13">
        <f>IF(ISBLANK(F81),"",IF(G81&lt;&gt;"",UPPER(TRIM(G81)),IF(ISNUMBER(SEARCH(" ",TRIM(F81))),UPPER(LEFT(TRIM(RIGHT(SUBSTITUTE(TRIM(F81)," ",REPT(" ",100)),100)),Settings!$B$9)),UPPER(LEFT(TRIM(F81),Settings!$B$9)))))</f>
        <v/>
      </c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15">
        <f>IF(ISBLANK(D81),"",IF(COUNTIFS(Circulation!$B$2:$B$500,A81,Circulation!$H$2:$H$500,"Active")&gt;0,"On Loan","Available"))</f>
        <v/>
      </c>
      <c r="AA81" s="9" t="n"/>
      <c r="AB81" s="9" t="n"/>
      <c r="AC81" s="9" t="n"/>
      <c r="AD81" s="9" t="n"/>
      <c r="AE81" s="9" t="n"/>
      <c r="AF81" s="9" t="n"/>
      <c r="AG81" s="9" t="n"/>
    </row>
    <row r="82">
      <c r="A82" s="13">
        <f>IF(ISBLANK(D82),"",ROW()-1)</f>
        <v/>
      </c>
      <c r="B82" s="14" t="n"/>
      <c r="C82" s="13">
        <f>IF(ISBLANK(D82),"",MID(K82,SEARCH("(",K82)+1,SEARCH(")",K82)-SEARCH("(",K82)-1)&amp;"-"&amp;MID(L82,SEARCH("(",L82)+1,SEARCH(")",L82)-SEARCH("(",L82)-1)&amp;"-"&amp;H82&amp;"-"&amp;TEXT(A82,"000")&amp;IF(ISBLANK(N82),"","-"&amp;SUBSTITUTE(N82," ","")))</f>
        <v/>
      </c>
      <c r="D82" s="9" t="n"/>
      <c r="E82" s="9" t="n"/>
      <c r="F82" s="9" t="n"/>
      <c r="G82" s="9" t="n"/>
      <c r="H82" s="13">
        <f>IF(ISBLANK(F82),"",IF(G82&lt;&gt;"",UPPER(TRIM(G82)),IF(ISNUMBER(SEARCH(" ",TRIM(F82))),UPPER(LEFT(TRIM(RIGHT(SUBSTITUTE(TRIM(F82)," ",REPT(" ",100)),100)),Settings!$B$9)),UPPER(LEFT(TRIM(F82),Settings!$B$9)))))</f>
        <v/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15">
        <f>IF(ISBLANK(D82),"",IF(COUNTIFS(Circulation!$B$2:$B$500,A82,Circulation!$H$2:$H$500,"Active")&gt;0,"On Loan","Available"))</f>
        <v/>
      </c>
      <c r="AA82" s="9" t="n"/>
      <c r="AB82" s="9" t="n"/>
      <c r="AC82" s="9" t="n"/>
      <c r="AD82" s="9" t="n"/>
      <c r="AE82" s="9" t="n"/>
      <c r="AF82" s="9" t="n"/>
      <c r="AG82" s="9" t="n"/>
    </row>
    <row r="83">
      <c r="A83" s="13">
        <f>IF(ISBLANK(D83),"",ROW()-1)</f>
        <v/>
      </c>
      <c r="B83" s="14" t="n"/>
      <c r="C83" s="13">
        <f>IF(ISBLANK(D83),"",MID(K83,SEARCH("(",K83)+1,SEARCH(")",K83)-SEARCH("(",K83)-1)&amp;"-"&amp;MID(L83,SEARCH("(",L83)+1,SEARCH(")",L83)-SEARCH("(",L83)-1)&amp;"-"&amp;H83&amp;"-"&amp;TEXT(A83,"000")&amp;IF(ISBLANK(N83),"","-"&amp;SUBSTITUTE(N83," ","")))</f>
        <v/>
      </c>
      <c r="D83" s="9" t="n"/>
      <c r="E83" s="9" t="n"/>
      <c r="F83" s="9" t="n"/>
      <c r="G83" s="9" t="n"/>
      <c r="H83" s="13">
        <f>IF(ISBLANK(F83),"",IF(G83&lt;&gt;"",UPPER(TRIM(G83)),IF(ISNUMBER(SEARCH(" ",TRIM(F83))),UPPER(LEFT(TRIM(RIGHT(SUBSTITUTE(TRIM(F83)," ",REPT(" ",100)),100)),Settings!$B$9)),UPPER(LEFT(TRIM(F83),Settings!$B$9)))))</f>
        <v/>
      </c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15">
        <f>IF(ISBLANK(D83),"",IF(COUNTIFS(Circulation!$B$2:$B$500,A83,Circulation!$H$2:$H$500,"Active")&gt;0,"On Loan","Available"))</f>
        <v/>
      </c>
      <c r="AA83" s="9" t="n"/>
      <c r="AB83" s="9" t="n"/>
      <c r="AC83" s="9" t="n"/>
      <c r="AD83" s="9" t="n"/>
      <c r="AE83" s="9" t="n"/>
      <c r="AF83" s="9" t="n"/>
      <c r="AG83" s="9" t="n"/>
    </row>
    <row r="84">
      <c r="A84" s="13">
        <f>IF(ISBLANK(D84),"",ROW()-1)</f>
        <v/>
      </c>
      <c r="B84" s="14" t="n"/>
      <c r="C84" s="13">
        <f>IF(ISBLANK(D84),"",MID(K84,SEARCH("(",K84)+1,SEARCH(")",K84)-SEARCH("(",K84)-1)&amp;"-"&amp;MID(L84,SEARCH("(",L84)+1,SEARCH(")",L84)-SEARCH("(",L84)-1)&amp;"-"&amp;H84&amp;"-"&amp;TEXT(A84,"000")&amp;IF(ISBLANK(N84),"","-"&amp;SUBSTITUTE(N84," ","")))</f>
        <v/>
      </c>
      <c r="D84" s="9" t="n"/>
      <c r="E84" s="9" t="n"/>
      <c r="F84" s="9" t="n"/>
      <c r="G84" s="9" t="n"/>
      <c r="H84" s="13">
        <f>IF(ISBLANK(F84),"",IF(G84&lt;&gt;"",UPPER(TRIM(G84)),IF(ISNUMBER(SEARCH(" ",TRIM(F84))),UPPER(LEFT(TRIM(RIGHT(SUBSTITUTE(TRIM(F84)," ",REPT(" ",100)),100)),Settings!$B$9)),UPPER(LEFT(TRIM(F84),Settings!$B$9)))))</f>
        <v/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15">
        <f>IF(ISBLANK(D84),"",IF(COUNTIFS(Circulation!$B$2:$B$500,A84,Circulation!$H$2:$H$500,"Active")&gt;0,"On Loan","Available"))</f>
        <v/>
      </c>
      <c r="AA84" s="9" t="n"/>
      <c r="AB84" s="9" t="n"/>
      <c r="AC84" s="9" t="n"/>
      <c r="AD84" s="9" t="n"/>
      <c r="AE84" s="9" t="n"/>
      <c r="AF84" s="9" t="n"/>
      <c r="AG84" s="9" t="n"/>
    </row>
    <row r="85">
      <c r="A85" s="13">
        <f>IF(ISBLANK(D85),"",ROW()-1)</f>
        <v/>
      </c>
      <c r="B85" s="14" t="n"/>
      <c r="C85" s="13">
        <f>IF(ISBLANK(D85),"",MID(K85,SEARCH("(",K85)+1,SEARCH(")",K85)-SEARCH("(",K85)-1)&amp;"-"&amp;MID(L85,SEARCH("(",L85)+1,SEARCH(")",L85)-SEARCH("(",L85)-1)&amp;"-"&amp;H85&amp;"-"&amp;TEXT(A85,"000")&amp;IF(ISBLANK(N85),"","-"&amp;SUBSTITUTE(N85," ","")))</f>
        <v/>
      </c>
      <c r="D85" s="9" t="n"/>
      <c r="E85" s="9" t="n"/>
      <c r="F85" s="9" t="n"/>
      <c r="G85" s="9" t="n"/>
      <c r="H85" s="13">
        <f>IF(ISBLANK(F85),"",IF(G85&lt;&gt;"",UPPER(TRIM(G85)),IF(ISNUMBER(SEARCH(" ",TRIM(F85))),UPPER(LEFT(TRIM(RIGHT(SUBSTITUTE(TRIM(F85)," ",REPT(" ",100)),100)),Settings!$B$9)),UPPER(LEFT(TRIM(F85),Settings!$B$9)))))</f>
        <v/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15">
        <f>IF(ISBLANK(D85),"",IF(COUNTIFS(Circulation!$B$2:$B$500,A85,Circulation!$H$2:$H$500,"Active")&gt;0,"On Loan","Available"))</f>
        <v/>
      </c>
      <c r="AA85" s="9" t="n"/>
      <c r="AB85" s="9" t="n"/>
      <c r="AC85" s="9" t="n"/>
      <c r="AD85" s="9" t="n"/>
      <c r="AE85" s="9" t="n"/>
      <c r="AF85" s="9" t="n"/>
      <c r="AG85" s="9" t="n"/>
    </row>
    <row r="86">
      <c r="A86" s="13">
        <f>IF(ISBLANK(D86),"",ROW()-1)</f>
        <v/>
      </c>
      <c r="B86" s="14" t="n"/>
      <c r="C86" s="13">
        <f>IF(ISBLANK(D86),"",MID(K86,SEARCH("(",K86)+1,SEARCH(")",K86)-SEARCH("(",K86)-1)&amp;"-"&amp;MID(L86,SEARCH("(",L86)+1,SEARCH(")",L86)-SEARCH("(",L86)-1)&amp;"-"&amp;H86&amp;"-"&amp;TEXT(A86,"000")&amp;IF(ISBLANK(N86),"","-"&amp;SUBSTITUTE(N86," ","")))</f>
        <v/>
      </c>
      <c r="D86" s="9" t="n"/>
      <c r="E86" s="9" t="n"/>
      <c r="F86" s="9" t="n"/>
      <c r="G86" s="9" t="n"/>
      <c r="H86" s="13">
        <f>IF(ISBLANK(F86),"",IF(G86&lt;&gt;"",UPPER(TRIM(G86)),IF(ISNUMBER(SEARCH(" ",TRIM(F86))),UPPER(LEFT(TRIM(RIGHT(SUBSTITUTE(TRIM(F86)," ",REPT(" ",100)),100)),Settings!$B$9)),UPPER(LEFT(TRIM(F86),Settings!$B$9)))))</f>
        <v/>
      </c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15">
        <f>IF(ISBLANK(D86),"",IF(COUNTIFS(Circulation!$B$2:$B$500,A86,Circulation!$H$2:$H$500,"Active")&gt;0,"On Loan","Available"))</f>
        <v/>
      </c>
      <c r="AA86" s="9" t="n"/>
      <c r="AB86" s="9" t="n"/>
      <c r="AC86" s="9" t="n"/>
      <c r="AD86" s="9" t="n"/>
      <c r="AE86" s="9" t="n"/>
      <c r="AF86" s="9" t="n"/>
      <c r="AG86" s="9" t="n"/>
    </row>
    <row r="87">
      <c r="A87" s="13">
        <f>IF(ISBLANK(D87),"",ROW()-1)</f>
        <v/>
      </c>
      <c r="B87" s="14" t="n"/>
      <c r="C87" s="13">
        <f>IF(ISBLANK(D87),"",MID(K87,SEARCH("(",K87)+1,SEARCH(")",K87)-SEARCH("(",K87)-1)&amp;"-"&amp;MID(L87,SEARCH("(",L87)+1,SEARCH(")",L87)-SEARCH("(",L87)-1)&amp;"-"&amp;H87&amp;"-"&amp;TEXT(A87,"000")&amp;IF(ISBLANK(N87),"","-"&amp;SUBSTITUTE(N87," ","")))</f>
        <v/>
      </c>
      <c r="D87" s="9" t="n"/>
      <c r="E87" s="9" t="n"/>
      <c r="F87" s="9" t="n"/>
      <c r="G87" s="9" t="n"/>
      <c r="H87" s="13">
        <f>IF(ISBLANK(F87),"",IF(G87&lt;&gt;"",UPPER(TRIM(G87)),IF(ISNUMBER(SEARCH(" ",TRIM(F87))),UPPER(LEFT(TRIM(RIGHT(SUBSTITUTE(TRIM(F87)," ",REPT(" ",100)),100)),Settings!$B$9)),UPPER(LEFT(TRIM(F87),Settings!$B$9)))))</f>
        <v/>
      </c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15">
        <f>IF(ISBLANK(D87),"",IF(COUNTIFS(Circulation!$B$2:$B$500,A87,Circulation!$H$2:$H$500,"Active")&gt;0,"On Loan","Available"))</f>
        <v/>
      </c>
      <c r="AA87" s="9" t="n"/>
      <c r="AB87" s="9" t="n"/>
      <c r="AC87" s="9" t="n"/>
      <c r="AD87" s="9" t="n"/>
      <c r="AE87" s="9" t="n"/>
      <c r="AF87" s="9" t="n"/>
      <c r="AG87" s="9" t="n"/>
    </row>
    <row r="88">
      <c r="A88" s="13">
        <f>IF(ISBLANK(D88),"",ROW()-1)</f>
        <v/>
      </c>
      <c r="B88" s="14" t="n"/>
      <c r="C88" s="13">
        <f>IF(ISBLANK(D88),"",MID(K88,SEARCH("(",K88)+1,SEARCH(")",K88)-SEARCH("(",K88)-1)&amp;"-"&amp;MID(L88,SEARCH("(",L88)+1,SEARCH(")",L88)-SEARCH("(",L88)-1)&amp;"-"&amp;H88&amp;"-"&amp;TEXT(A88,"000")&amp;IF(ISBLANK(N88),"","-"&amp;SUBSTITUTE(N88," ","")))</f>
        <v/>
      </c>
      <c r="D88" s="9" t="n"/>
      <c r="E88" s="9" t="n"/>
      <c r="F88" s="9" t="n"/>
      <c r="G88" s="9" t="n"/>
      <c r="H88" s="13">
        <f>IF(ISBLANK(F88),"",IF(G88&lt;&gt;"",UPPER(TRIM(G88)),IF(ISNUMBER(SEARCH(" ",TRIM(F88))),UPPER(LEFT(TRIM(RIGHT(SUBSTITUTE(TRIM(F88)," ",REPT(" ",100)),100)),Settings!$B$9)),UPPER(LEFT(TRIM(F88),Settings!$B$9)))))</f>
        <v/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15">
        <f>IF(ISBLANK(D88),"",IF(COUNTIFS(Circulation!$B$2:$B$500,A88,Circulation!$H$2:$H$500,"Active")&gt;0,"On Loan","Available"))</f>
        <v/>
      </c>
      <c r="AA88" s="9" t="n"/>
      <c r="AB88" s="9" t="n"/>
      <c r="AC88" s="9" t="n"/>
      <c r="AD88" s="9" t="n"/>
      <c r="AE88" s="9" t="n"/>
      <c r="AF88" s="9" t="n"/>
      <c r="AG88" s="9" t="n"/>
    </row>
    <row r="89">
      <c r="A89" s="13">
        <f>IF(ISBLANK(D89),"",ROW()-1)</f>
        <v/>
      </c>
      <c r="B89" s="14" t="n"/>
      <c r="C89" s="13">
        <f>IF(ISBLANK(D89),"",MID(K89,SEARCH("(",K89)+1,SEARCH(")",K89)-SEARCH("(",K89)-1)&amp;"-"&amp;MID(L89,SEARCH("(",L89)+1,SEARCH(")",L89)-SEARCH("(",L89)-1)&amp;"-"&amp;H89&amp;"-"&amp;TEXT(A89,"000")&amp;IF(ISBLANK(N89),"","-"&amp;SUBSTITUTE(N89," ","")))</f>
        <v/>
      </c>
      <c r="D89" s="9" t="n"/>
      <c r="E89" s="9" t="n"/>
      <c r="F89" s="9" t="n"/>
      <c r="G89" s="9" t="n"/>
      <c r="H89" s="13">
        <f>IF(ISBLANK(F89),"",IF(G89&lt;&gt;"",UPPER(TRIM(G89)),IF(ISNUMBER(SEARCH(" ",TRIM(F89))),UPPER(LEFT(TRIM(RIGHT(SUBSTITUTE(TRIM(F89)," ",REPT(" ",100)),100)),Settings!$B$9)),UPPER(LEFT(TRIM(F89),Settings!$B$9)))))</f>
        <v/>
      </c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15">
        <f>IF(ISBLANK(D89),"",IF(COUNTIFS(Circulation!$B$2:$B$500,A89,Circulation!$H$2:$H$500,"Active")&gt;0,"On Loan","Available"))</f>
        <v/>
      </c>
      <c r="AA89" s="9" t="n"/>
      <c r="AB89" s="9" t="n"/>
      <c r="AC89" s="9" t="n"/>
      <c r="AD89" s="9" t="n"/>
      <c r="AE89" s="9" t="n"/>
      <c r="AF89" s="9" t="n"/>
      <c r="AG89" s="9" t="n"/>
    </row>
    <row r="90">
      <c r="A90" s="13">
        <f>IF(ISBLANK(D90),"",ROW()-1)</f>
        <v/>
      </c>
      <c r="B90" s="14" t="n"/>
      <c r="C90" s="13">
        <f>IF(ISBLANK(D90),"",MID(K90,SEARCH("(",K90)+1,SEARCH(")",K90)-SEARCH("(",K90)-1)&amp;"-"&amp;MID(L90,SEARCH("(",L90)+1,SEARCH(")",L90)-SEARCH("(",L90)-1)&amp;"-"&amp;H90&amp;"-"&amp;TEXT(A90,"000")&amp;IF(ISBLANK(N90),"","-"&amp;SUBSTITUTE(N90," ","")))</f>
        <v/>
      </c>
      <c r="D90" s="9" t="n"/>
      <c r="E90" s="9" t="n"/>
      <c r="F90" s="9" t="n"/>
      <c r="G90" s="9" t="n"/>
      <c r="H90" s="13">
        <f>IF(ISBLANK(F90),"",IF(G90&lt;&gt;"",UPPER(TRIM(G90)),IF(ISNUMBER(SEARCH(" ",TRIM(F90))),UPPER(LEFT(TRIM(RIGHT(SUBSTITUTE(TRIM(F90)," ",REPT(" ",100)),100)),Settings!$B$9)),UPPER(LEFT(TRIM(F90),Settings!$B$9)))))</f>
        <v/>
      </c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15">
        <f>IF(ISBLANK(D90),"",IF(COUNTIFS(Circulation!$B$2:$B$500,A90,Circulation!$H$2:$H$500,"Active")&gt;0,"On Loan","Available"))</f>
        <v/>
      </c>
      <c r="AA90" s="9" t="n"/>
      <c r="AB90" s="9" t="n"/>
      <c r="AC90" s="9" t="n"/>
      <c r="AD90" s="9" t="n"/>
      <c r="AE90" s="9" t="n"/>
      <c r="AF90" s="9" t="n"/>
      <c r="AG90" s="9" t="n"/>
    </row>
    <row r="91">
      <c r="A91" s="13">
        <f>IF(ISBLANK(D91),"",ROW()-1)</f>
        <v/>
      </c>
      <c r="B91" s="14" t="n"/>
      <c r="C91" s="13">
        <f>IF(ISBLANK(D91),"",MID(K91,SEARCH("(",K91)+1,SEARCH(")",K91)-SEARCH("(",K91)-1)&amp;"-"&amp;MID(L91,SEARCH("(",L91)+1,SEARCH(")",L91)-SEARCH("(",L91)-1)&amp;"-"&amp;H91&amp;"-"&amp;TEXT(A91,"000")&amp;IF(ISBLANK(N91),"","-"&amp;SUBSTITUTE(N91," ","")))</f>
        <v/>
      </c>
      <c r="D91" s="9" t="n"/>
      <c r="E91" s="9" t="n"/>
      <c r="F91" s="9" t="n"/>
      <c r="G91" s="9" t="n"/>
      <c r="H91" s="13">
        <f>IF(ISBLANK(F91),"",IF(G91&lt;&gt;"",UPPER(TRIM(G91)),IF(ISNUMBER(SEARCH(" ",TRIM(F91))),UPPER(LEFT(TRIM(RIGHT(SUBSTITUTE(TRIM(F91)," ",REPT(" ",100)),100)),Settings!$B$9)),UPPER(LEFT(TRIM(F91),Settings!$B$9)))))</f>
        <v/>
      </c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15">
        <f>IF(ISBLANK(D91),"",IF(COUNTIFS(Circulation!$B$2:$B$500,A91,Circulation!$H$2:$H$500,"Active")&gt;0,"On Loan","Available"))</f>
        <v/>
      </c>
      <c r="AA91" s="9" t="n"/>
      <c r="AB91" s="9" t="n"/>
      <c r="AC91" s="9" t="n"/>
      <c r="AD91" s="9" t="n"/>
      <c r="AE91" s="9" t="n"/>
      <c r="AF91" s="9" t="n"/>
      <c r="AG91" s="9" t="n"/>
    </row>
    <row r="92">
      <c r="A92" s="13">
        <f>IF(ISBLANK(D92),"",ROW()-1)</f>
        <v/>
      </c>
      <c r="B92" s="14" t="n"/>
      <c r="C92" s="13">
        <f>IF(ISBLANK(D92),"",MID(K92,SEARCH("(",K92)+1,SEARCH(")",K92)-SEARCH("(",K92)-1)&amp;"-"&amp;MID(L92,SEARCH("(",L92)+1,SEARCH(")",L92)-SEARCH("(",L92)-1)&amp;"-"&amp;H92&amp;"-"&amp;TEXT(A92,"000")&amp;IF(ISBLANK(N92),"","-"&amp;SUBSTITUTE(N92," ","")))</f>
        <v/>
      </c>
      <c r="D92" s="9" t="n"/>
      <c r="E92" s="9" t="n"/>
      <c r="F92" s="9" t="n"/>
      <c r="G92" s="9" t="n"/>
      <c r="H92" s="13">
        <f>IF(ISBLANK(F92),"",IF(G92&lt;&gt;"",UPPER(TRIM(G92)),IF(ISNUMBER(SEARCH(" ",TRIM(F92))),UPPER(LEFT(TRIM(RIGHT(SUBSTITUTE(TRIM(F92)," ",REPT(" ",100)),100)),Settings!$B$9)),UPPER(LEFT(TRIM(F92),Settings!$B$9)))))</f>
        <v/>
      </c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15">
        <f>IF(ISBLANK(D92),"",IF(COUNTIFS(Circulation!$B$2:$B$500,A92,Circulation!$H$2:$H$500,"Active")&gt;0,"On Loan","Available"))</f>
        <v/>
      </c>
      <c r="AA92" s="9" t="n"/>
      <c r="AB92" s="9" t="n"/>
      <c r="AC92" s="9" t="n"/>
      <c r="AD92" s="9" t="n"/>
      <c r="AE92" s="9" t="n"/>
      <c r="AF92" s="9" t="n"/>
      <c r="AG92" s="9" t="n"/>
    </row>
    <row r="93">
      <c r="A93" s="13">
        <f>IF(ISBLANK(D93),"",ROW()-1)</f>
        <v/>
      </c>
      <c r="B93" s="14" t="n"/>
      <c r="C93" s="13">
        <f>IF(ISBLANK(D93),"",MID(K93,SEARCH("(",K93)+1,SEARCH(")",K93)-SEARCH("(",K93)-1)&amp;"-"&amp;MID(L93,SEARCH("(",L93)+1,SEARCH(")",L93)-SEARCH("(",L93)-1)&amp;"-"&amp;H93&amp;"-"&amp;TEXT(A93,"000")&amp;IF(ISBLANK(N93),"","-"&amp;SUBSTITUTE(N93," ","")))</f>
        <v/>
      </c>
      <c r="D93" s="9" t="n"/>
      <c r="E93" s="9" t="n"/>
      <c r="F93" s="9" t="n"/>
      <c r="G93" s="9" t="n"/>
      <c r="H93" s="13">
        <f>IF(ISBLANK(F93),"",IF(G93&lt;&gt;"",UPPER(TRIM(G93)),IF(ISNUMBER(SEARCH(" ",TRIM(F93))),UPPER(LEFT(TRIM(RIGHT(SUBSTITUTE(TRIM(F93)," ",REPT(" ",100)),100)),Settings!$B$9)),UPPER(LEFT(TRIM(F93),Settings!$B$9)))))</f>
        <v/>
      </c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15">
        <f>IF(ISBLANK(D93),"",IF(COUNTIFS(Circulation!$B$2:$B$500,A93,Circulation!$H$2:$H$500,"Active")&gt;0,"On Loan","Available"))</f>
        <v/>
      </c>
      <c r="AA93" s="9" t="n"/>
      <c r="AB93" s="9" t="n"/>
      <c r="AC93" s="9" t="n"/>
      <c r="AD93" s="9" t="n"/>
      <c r="AE93" s="9" t="n"/>
      <c r="AF93" s="9" t="n"/>
      <c r="AG93" s="9" t="n"/>
    </row>
    <row r="94">
      <c r="A94" s="13">
        <f>IF(ISBLANK(D94),"",ROW()-1)</f>
        <v/>
      </c>
      <c r="B94" s="14" t="n"/>
      <c r="C94" s="13">
        <f>IF(ISBLANK(D94),"",MID(K94,SEARCH("(",K94)+1,SEARCH(")",K94)-SEARCH("(",K94)-1)&amp;"-"&amp;MID(L94,SEARCH("(",L94)+1,SEARCH(")",L94)-SEARCH("(",L94)-1)&amp;"-"&amp;H94&amp;"-"&amp;TEXT(A94,"000")&amp;IF(ISBLANK(N94),"","-"&amp;SUBSTITUTE(N94," ","")))</f>
        <v/>
      </c>
      <c r="D94" s="9" t="n"/>
      <c r="E94" s="9" t="n"/>
      <c r="F94" s="9" t="n"/>
      <c r="G94" s="9" t="n"/>
      <c r="H94" s="13">
        <f>IF(ISBLANK(F94),"",IF(G94&lt;&gt;"",UPPER(TRIM(G94)),IF(ISNUMBER(SEARCH(" ",TRIM(F94))),UPPER(LEFT(TRIM(RIGHT(SUBSTITUTE(TRIM(F94)," ",REPT(" ",100)),100)),Settings!$B$9)),UPPER(LEFT(TRIM(F94),Settings!$B$9)))))</f>
        <v/>
      </c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15">
        <f>IF(ISBLANK(D94),"",IF(COUNTIFS(Circulation!$B$2:$B$500,A94,Circulation!$H$2:$H$500,"Active")&gt;0,"On Loan","Available"))</f>
        <v/>
      </c>
      <c r="AA94" s="9" t="n"/>
      <c r="AB94" s="9" t="n"/>
      <c r="AC94" s="9" t="n"/>
      <c r="AD94" s="9" t="n"/>
      <c r="AE94" s="9" t="n"/>
      <c r="AF94" s="9" t="n"/>
      <c r="AG94" s="9" t="n"/>
    </row>
    <row r="95">
      <c r="A95" s="13">
        <f>IF(ISBLANK(D95),"",ROW()-1)</f>
        <v/>
      </c>
      <c r="B95" s="14" t="n"/>
      <c r="C95" s="13">
        <f>IF(ISBLANK(D95),"",MID(K95,SEARCH("(",K95)+1,SEARCH(")",K95)-SEARCH("(",K95)-1)&amp;"-"&amp;MID(L95,SEARCH("(",L95)+1,SEARCH(")",L95)-SEARCH("(",L95)-1)&amp;"-"&amp;H95&amp;"-"&amp;TEXT(A95,"000")&amp;IF(ISBLANK(N95),"","-"&amp;SUBSTITUTE(N95," ","")))</f>
        <v/>
      </c>
      <c r="D95" s="9" t="n"/>
      <c r="E95" s="9" t="n"/>
      <c r="F95" s="9" t="n"/>
      <c r="G95" s="9" t="n"/>
      <c r="H95" s="13">
        <f>IF(ISBLANK(F95),"",IF(G95&lt;&gt;"",UPPER(TRIM(G95)),IF(ISNUMBER(SEARCH(" ",TRIM(F95))),UPPER(LEFT(TRIM(RIGHT(SUBSTITUTE(TRIM(F95)," ",REPT(" ",100)),100)),Settings!$B$9)),UPPER(LEFT(TRIM(F95),Settings!$B$9)))))</f>
        <v/>
      </c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15">
        <f>IF(ISBLANK(D95),"",IF(COUNTIFS(Circulation!$B$2:$B$500,A95,Circulation!$H$2:$H$500,"Active")&gt;0,"On Loan","Available"))</f>
        <v/>
      </c>
      <c r="AA95" s="9" t="n"/>
      <c r="AB95" s="9" t="n"/>
      <c r="AC95" s="9" t="n"/>
      <c r="AD95" s="9" t="n"/>
      <c r="AE95" s="9" t="n"/>
      <c r="AF95" s="9" t="n"/>
      <c r="AG95" s="9" t="n"/>
    </row>
    <row r="96">
      <c r="A96" s="13">
        <f>IF(ISBLANK(D96),"",ROW()-1)</f>
        <v/>
      </c>
      <c r="B96" s="14" t="n"/>
      <c r="C96" s="13">
        <f>IF(ISBLANK(D96),"",MID(K96,SEARCH("(",K96)+1,SEARCH(")",K96)-SEARCH("(",K96)-1)&amp;"-"&amp;MID(L96,SEARCH("(",L96)+1,SEARCH(")",L96)-SEARCH("(",L96)-1)&amp;"-"&amp;H96&amp;"-"&amp;TEXT(A96,"000")&amp;IF(ISBLANK(N96),"","-"&amp;SUBSTITUTE(N96," ","")))</f>
        <v/>
      </c>
      <c r="D96" s="9" t="n"/>
      <c r="E96" s="9" t="n"/>
      <c r="F96" s="9" t="n"/>
      <c r="G96" s="9" t="n"/>
      <c r="H96" s="13">
        <f>IF(ISBLANK(F96),"",IF(G96&lt;&gt;"",UPPER(TRIM(G96)),IF(ISNUMBER(SEARCH(" ",TRIM(F96))),UPPER(LEFT(TRIM(RIGHT(SUBSTITUTE(TRIM(F96)," ",REPT(" ",100)),100)),Settings!$B$9)),UPPER(LEFT(TRIM(F96),Settings!$B$9)))))</f>
        <v/>
      </c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15">
        <f>IF(ISBLANK(D96),"",IF(COUNTIFS(Circulation!$B$2:$B$500,A96,Circulation!$H$2:$H$500,"Active")&gt;0,"On Loan","Available"))</f>
        <v/>
      </c>
      <c r="AA96" s="9" t="n"/>
      <c r="AB96" s="9" t="n"/>
      <c r="AC96" s="9" t="n"/>
      <c r="AD96" s="9" t="n"/>
      <c r="AE96" s="9" t="n"/>
      <c r="AF96" s="9" t="n"/>
      <c r="AG96" s="9" t="n"/>
    </row>
    <row r="97">
      <c r="A97" s="13">
        <f>IF(ISBLANK(D97),"",ROW()-1)</f>
        <v/>
      </c>
      <c r="B97" s="14" t="n"/>
      <c r="C97" s="13">
        <f>IF(ISBLANK(D97),"",MID(K97,SEARCH("(",K97)+1,SEARCH(")",K97)-SEARCH("(",K97)-1)&amp;"-"&amp;MID(L97,SEARCH("(",L97)+1,SEARCH(")",L97)-SEARCH("(",L97)-1)&amp;"-"&amp;H97&amp;"-"&amp;TEXT(A97,"000")&amp;IF(ISBLANK(N97),"","-"&amp;SUBSTITUTE(N97," ","")))</f>
        <v/>
      </c>
      <c r="D97" s="9" t="n"/>
      <c r="E97" s="9" t="n"/>
      <c r="F97" s="9" t="n"/>
      <c r="G97" s="9" t="n"/>
      <c r="H97" s="13">
        <f>IF(ISBLANK(F97),"",IF(G97&lt;&gt;"",UPPER(TRIM(G97)),IF(ISNUMBER(SEARCH(" ",TRIM(F97))),UPPER(LEFT(TRIM(RIGHT(SUBSTITUTE(TRIM(F97)," ",REPT(" ",100)),100)),Settings!$B$9)),UPPER(LEFT(TRIM(F97),Settings!$B$9)))))</f>
        <v/>
      </c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15">
        <f>IF(ISBLANK(D97),"",IF(COUNTIFS(Circulation!$B$2:$B$500,A97,Circulation!$H$2:$H$500,"Active")&gt;0,"On Loan","Available"))</f>
        <v/>
      </c>
      <c r="AA97" s="9" t="n"/>
      <c r="AB97" s="9" t="n"/>
      <c r="AC97" s="9" t="n"/>
      <c r="AD97" s="9" t="n"/>
      <c r="AE97" s="9" t="n"/>
      <c r="AF97" s="9" t="n"/>
      <c r="AG97" s="9" t="n"/>
    </row>
    <row r="98">
      <c r="A98" s="13">
        <f>IF(ISBLANK(D98),"",ROW()-1)</f>
        <v/>
      </c>
      <c r="B98" s="14" t="n"/>
      <c r="C98" s="13">
        <f>IF(ISBLANK(D98),"",MID(K98,SEARCH("(",K98)+1,SEARCH(")",K98)-SEARCH("(",K98)-1)&amp;"-"&amp;MID(L98,SEARCH("(",L98)+1,SEARCH(")",L98)-SEARCH("(",L98)-1)&amp;"-"&amp;H98&amp;"-"&amp;TEXT(A98,"000")&amp;IF(ISBLANK(N98),"","-"&amp;SUBSTITUTE(N98," ","")))</f>
        <v/>
      </c>
      <c r="D98" s="9" t="n"/>
      <c r="E98" s="9" t="n"/>
      <c r="F98" s="9" t="n"/>
      <c r="G98" s="9" t="n"/>
      <c r="H98" s="13">
        <f>IF(ISBLANK(F98),"",IF(G98&lt;&gt;"",UPPER(TRIM(G98)),IF(ISNUMBER(SEARCH(" ",TRIM(F98))),UPPER(LEFT(TRIM(RIGHT(SUBSTITUTE(TRIM(F98)," ",REPT(" ",100)),100)),Settings!$B$9)),UPPER(LEFT(TRIM(F98),Settings!$B$9)))))</f>
        <v/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15">
        <f>IF(ISBLANK(D98),"",IF(COUNTIFS(Circulation!$B$2:$B$500,A98,Circulation!$H$2:$H$500,"Active")&gt;0,"On Loan","Available"))</f>
        <v/>
      </c>
      <c r="AA98" s="9" t="n"/>
      <c r="AB98" s="9" t="n"/>
      <c r="AC98" s="9" t="n"/>
      <c r="AD98" s="9" t="n"/>
      <c r="AE98" s="9" t="n"/>
      <c r="AF98" s="9" t="n"/>
      <c r="AG98" s="9" t="n"/>
    </row>
    <row r="99">
      <c r="A99" s="13">
        <f>IF(ISBLANK(D99),"",ROW()-1)</f>
        <v/>
      </c>
      <c r="B99" s="14" t="n"/>
      <c r="C99" s="13">
        <f>IF(ISBLANK(D99),"",MID(K99,SEARCH("(",K99)+1,SEARCH(")",K99)-SEARCH("(",K99)-1)&amp;"-"&amp;MID(L99,SEARCH("(",L99)+1,SEARCH(")",L99)-SEARCH("(",L99)-1)&amp;"-"&amp;H99&amp;"-"&amp;TEXT(A99,"000")&amp;IF(ISBLANK(N99),"","-"&amp;SUBSTITUTE(N99," ","")))</f>
        <v/>
      </c>
      <c r="D99" s="9" t="n"/>
      <c r="E99" s="9" t="n"/>
      <c r="F99" s="9" t="n"/>
      <c r="G99" s="9" t="n"/>
      <c r="H99" s="13">
        <f>IF(ISBLANK(F99),"",IF(G99&lt;&gt;"",UPPER(TRIM(G99)),IF(ISNUMBER(SEARCH(" ",TRIM(F99))),UPPER(LEFT(TRIM(RIGHT(SUBSTITUTE(TRIM(F99)," ",REPT(" ",100)),100)),Settings!$B$9)),UPPER(LEFT(TRIM(F99),Settings!$B$9)))))</f>
        <v/>
      </c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15">
        <f>IF(ISBLANK(D99),"",IF(COUNTIFS(Circulation!$B$2:$B$500,A99,Circulation!$H$2:$H$500,"Active")&gt;0,"On Loan","Available"))</f>
        <v/>
      </c>
      <c r="AA99" s="9" t="n"/>
      <c r="AB99" s="9" t="n"/>
      <c r="AC99" s="9" t="n"/>
      <c r="AD99" s="9" t="n"/>
      <c r="AE99" s="9" t="n"/>
      <c r="AF99" s="9" t="n"/>
      <c r="AG99" s="9" t="n"/>
    </row>
    <row r="100">
      <c r="A100" s="13">
        <f>IF(ISBLANK(D100),"",ROW()-1)</f>
        <v/>
      </c>
      <c r="B100" s="14" t="n"/>
      <c r="C100" s="13">
        <f>IF(ISBLANK(D100),"",MID(K100,SEARCH("(",K100)+1,SEARCH(")",K100)-SEARCH("(",K100)-1)&amp;"-"&amp;MID(L100,SEARCH("(",L100)+1,SEARCH(")",L100)-SEARCH("(",L100)-1)&amp;"-"&amp;H100&amp;"-"&amp;TEXT(A100,"000")&amp;IF(ISBLANK(N100),"","-"&amp;SUBSTITUTE(N100," ","")))</f>
        <v/>
      </c>
      <c r="D100" s="9" t="n"/>
      <c r="E100" s="9" t="n"/>
      <c r="F100" s="9" t="n"/>
      <c r="G100" s="9" t="n"/>
      <c r="H100" s="13">
        <f>IF(ISBLANK(F100),"",IF(G100&lt;&gt;"",UPPER(TRIM(G100)),IF(ISNUMBER(SEARCH(" ",TRIM(F100))),UPPER(LEFT(TRIM(RIGHT(SUBSTITUTE(TRIM(F100)," ",REPT(" ",100)),100)),Settings!$B$9)),UPPER(LEFT(TRIM(F100),Settings!$B$9)))))</f>
        <v/>
      </c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15">
        <f>IF(ISBLANK(D100),"",IF(COUNTIFS(Circulation!$B$2:$B$500,A100,Circulation!$H$2:$H$500,"Active")&gt;0,"On Loan","Available"))</f>
        <v/>
      </c>
      <c r="AA100" s="9" t="n"/>
      <c r="AB100" s="9" t="n"/>
      <c r="AC100" s="9" t="n"/>
      <c r="AD100" s="9" t="n"/>
      <c r="AE100" s="9" t="n"/>
      <c r="AF100" s="9" t="n"/>
      <c r="AG100" s="9" t="n"/>
    </row>
    <row r="101">
      <c r="A101" s="13">
        <f>IF(ISBLANK(D101),"",ROW()-1)</f>
        <v/>
      </c>
      <c r="B101" s="14" t="n"/>
      <c r="C101" s="13">
        <f>IF(ISBLANK(D101),"",MID(K101,SEARCH("(",K101)+1,SEARCH(")",K101)-SEARCH("(",K101)-1)&amp;"-"&amp;MID(L101,SEARCH("(",L101)+1,SEARCH(")",L101)-SEARCH("(",L101)-1)&amp;"-"&amp;H101&amp;"-"&amp;TEXT(A101,"000")&amp;IF(ISBLANK(N101),"","-"&amp;SUBSTITUTE(N101," ","")))</f>
        <v/>
      </c>
      <c r="D101" s="9" t="n"/>
      <c r="E101" s="9" t="n"/>
      <c r="F101" s="9" t="n"/>
      <c r="G101" s="9" t="n"/>
      <c r="H101" s="13">
        <f>IF(ISBLANK(F101),"",IF(G101&lt;&gt;"",UPPER(TRIM(G101)),IF(ISNUMBER(SEARCH(" ",TRIM(F101))),UPPER(LEFT(TRIM(RIGHT(SUBSTITUTE(TRIM(F101)," ",REPT(" ",100)),100)),Settings!$B$9)),UPPER(LEFT(TRIM(F101),Settings!$B$9)))))</f>
        <v/>
      </c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15">
        <f>IF(ISBLANK(D101),"",IF(COUNTIFS(Circulation!$B$2:$B$500,A101,Circulation!$H$2:$H$500,"Active")&gt;0,"On Loan","Available"))</f>
        <v/>
      </c>
      <c r="AA101" s="9" t="n"/>
      <c r="AB101" s="9" t="n"/>
      <c r="AC101" s="9" t="n"/>
      <c r="AD101" s="9" t="n"/>
      <c r="AE101" s="9" t="n"/>
      <c r="AF101" s="9" t="n"/>
      <c r="AG101" s="9" t="n"/>
    </row>
    <row r="102">
      <c r="A102" s="13">
        <f>IF(ISBLANK(D102),"",ROW()-1)</f>
        <v/>
      </c>
      <c r="B102" s="14" t="n"/>
      <c r="C102" s="13">
        <f>IF(ISBLANK(D102),"",MID(K102,SEARCH("(",K102)+1,SEARCH(")",K102)-SEARCH("(",K102)-1)&amp;"-"&amp;MID(L102,SEARCH("(",L102)+1,SEARCH(")",L102)-SEARCH("(",L102)-1)&amp;"-"&amp;H102&amp;"-"&amp;TEXT(A102,"000")&amp;IF(ISBLANK(N102),"","-"&amp;SUBSTITUTE(N102," ","")))</f>
        <v/>
      </c>
      <c r="D102" s="9" t="n"/>
      <c r="E102" s="9" t="n"/>
      <c r="F102" s="9" t="n"/>
      <c r="G102" s="9" t="n"/>
      <c r="H102" s="13">
        <f>IF(ISBLANK(F102),"",IF(G102&lt;&gt;"",UPPER(TRIM(G102)),IF(ISNUMBER(SEARCH(" ",TRIM(F102))),UPPER(LEFT(TRIM(RIGHT(SUBSTITUTE(TRIM(F102)," ",REPT(" ",100)),100)),Settings!$B$9)),UPPER(LEFT(TRIM(F102),Settings!$B$9)))))</f>
        <v/>
      </c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15">
        <f>IF(ISBLANK(D102),"",IF(COUNTIFS(Circulation!$B$2:$B$500,A102,Circulation!$H$2:$H$500,"Active")&gt;0,"On Loan","Available"))</f>
        <v/>
      </c>
      <c r="AA102" s="9" t="n"/>
      <c r="AB102" s="9" t="n"/>
      <c r="AC102" s="9" t="n"/>
      <c r="AD102" s="9" t="n"/>
      <c r="AE102" s="9" t="n"/>
      <c r="AF102" s="9" t="n"/>
      <c r="AG102" s="9" t="n"/>
    </row>
    <row r="103">
      <c r="A103" s="13">
        <f>IF(ISBLANK(D103),"",ROW()-1)</f>
        <v/>
      </c>
      <c r="B103" s="14" t="n"/>
      <c r="C103" s="13">
        <f>IF(ISBLANK(D103),"",MID(K103,SEARCH("(",K103)+1,SEARCH(")",K103)-SEARCH("(",K103)-1)&amp;"-"&amp;MID(L103,SEARCH("(",L103)+1,SEARCH(")",L103)-SEARCH("(",L103)-1)&amp;"-"&amp;H103&amp;"-"&amp;TEXT(A103,"000")&amp;IF(ISBLANK(N103),"","-"&amp;SUBSTITUTE(N103," ","")))</f>
        <v/>
      </c>
      <c r="D103" s="9" t="n"/>
      <c r="E103" s="9" t="n"/>
      <c r="F103" s="9" t="n"/>
      <c r="G103" s="9" t="n"/>
      <c r="H103" s="13">
        <f>IF(ISBLANK(F103),"",IF(G103&lt;&gt;"",UPPER(TRIM(G103)),IF(ISNUMBER(SEARCH(" ",TRIM(F103))),UPPER(LEFT(TRIM(RIGHT(SUBSTITUTE(TRIM(F103)," ",REPT(" ",100)),100)),Settings!$B$9)),UPPER(LEFT(TRIM(F103),Settings!$B$9)))))</f>
        <v/>
      </c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15">
        <f>IF(ISBLANK(D103),"",IF(COUNTIFS(Circulation!$B$2:$B$500,A103,Circulation!$H$2:$H$500,"Active")&gt;0,"On Loan","Available"))</f>
        <v/>
      </c>
      <c r="AA103" s="9" t="n"/>
      <c r="AB103" s="9" t="n"/>
      <c r="AC103" s="9" t="n"/>
      <c r="AD103" s="9" t="n"/>
      <c r="AE103" s="9" t="n"/>
      <c r="AF103" s="9" t="n"/>
      <c r="AG103" s="9" t="n"/>
    </row>
    <row r="104">
      <c r="A104" s="13">
        <f>IF(ISBLANK(D104),"",ROW()-1)</f>
        <v/>
      </c>
      <c r="B104" s="14" t="n"/>
      <c r="C104" s="13">
        <f>IF(ISBLANK(D104),"",MID(K104,SEARCH("(",K104)+1,SEARCH(")",K104)-SEARCH("(",K104)-1)&amp;"-"&amp;MID(L104,SEARCH("(",L104)+1,SEARCH(")",L104)-SEARCH("(",L104)-1)&amp;"-"&amp;H104&amp;"-"&amp;TEXT(A104,"000")&amp;IF(ISBLANK(N104),"","-"&amp;SUBSTITUTE(N104," ","")))</f>
        <v/>
      </c>
      <c r="D104" s="9" t="n"/>
      <c r="E104" s="9" t="n"/>
      <c r="F104" s="9" t="n"/>
      <c r="G104" s="9" t="n"/>
      <c r="H104" s="13">
        <f>IF(ISBLANK(F104),"",IF(G104&lt;&gt;"",UPPER(TRIM(G104)),IF(ISNUMBER(SEARCH(" ",TRIM(F104))),UPPER(LEFT(TRIM(RIGHT(SUBSTITUTE(TRIM(F104)," ",REPT(" ",100)),100)),Settings!$B$9)),UPPER(LEFT(TRIM(F104),Settings!$B$9)))))</f>
        <v/>
      </c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15">
        <f>IF(ISBLANK(D104),"",IF(COUNTIFS(Circulation!$B$2:$B$500,A104,Circulation!$H$2:$H$500,"Active")&gt;0,"On Loan","Available"))</f>
        <v/>
      </c>
      <c r="AA104" s="9" t="n"/>
      <c r="AB104" s="9" t="n"/>
      <c r="AC104" s="9" t="n"/>
      <c r="AD104" s="9" t="n"/>
      <c r="AE104" s="9" t="n"/>
      <c r="AF104" s="9" t="n"/>
      <c r="AG104" s="9" t="n"/>
    </row>
    <row r="105">
      <c r="A105" s="13">
        <f>IF(ISBLANK(D105),"",ROW()-1)</f>
        <v/>
      </c>
      <c r="B105" s="14" t="n"/>
      <c r="C105" s="13">
        <f>IF(ISBLANK(D105),"",MID(K105,SEARCH("(",K105)+1,SEARCH(")",K105)-SEARCH("(",K105)-1)&amp;"-"&amp;MID(L105,SEARCH("(",L105)+1,SEARCH(")",L105)-SEARCH("(",L105)-1)&amp;"-"&amp;H105&amp;"-"&amp;TEXT(A105,"000")&amp;IF(ISBLANK(N105),"","-"&amp;SUBSTITUTE(N105," ","")))</f>
        <v/>
      </c>
      <c r="D105" s="9" t="n"/>
      <c r="E105" s="9" t="n"/>
      <c r="F105" s="9" t="n"/>
      <c r="G105" s="9" t="n"/>
      <c r="H105" s="13">
        <f>IF(ISBLANK(F105),"",IF(G105&lt;&gt;"",UPPER(TRIM(G105)),IF(ISNUMBER(SEARCH(" ",TRIM(F105))),UPPER(LEFT(TRIM(RIGHT(SUBSTITUTE(TRIM(F105)," ",REPT(" ",100)),100)),Settings!$B$9)),UPPER(LEFT(TRIM(F105),Settings!$B$9)))))</f>
        <v/>
      </c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15">
        <f>IF(ISBLANK(D105),"",IF(COUNTIFS(Circulation!$B$2:$B$500,A105,Circulation!$H$2:$H$500,"Active")&gt;0,"On Loan","Available"))</f>
        <v/>
      </c>
      <c r="AA105" s="9" t="n"/>
      <c r="AB105" s="9" t="n"/>
      <c r="AC105" s="9" t="n"/>
      <c r="AD105" s="9" t="n"/>
      <c r="AE105" s="9" t="n"/>
      <c r="AF105" s="9" t="n"/>
      <c r="AG105" s="9" t="n"/>
    </row>
    <row r="106">
      <c r="A106" s="13">
        <f>IF(ISBLANK(D106),"",ROW()-1)</f>
        <v/>
      </c>
      <c r="B106" s="14" t="n"/>
      <c r="C106" s="13">
        <f>IF(ISBLANK(D106),"",MID(K106,SEARCH("(",K106)+1,SEARCH(")",K106)-SEARCH("(",K106)-1)&amp;"-"&amp;MID(L106,SEARCH("(",L106)+1,SEARCH(")",L106)-SEARCH("(",L106)-1)&amp;"-"&amp;H106&amp;"-"&amp;TEXT(A106,"000")&amp;IF(ISBLANK(N106),"","-"&amp;SUBSTITUTE(N106," ","")))</f>
        <v/>
      </c>
      <c r="D106" s="9" t="n"/>
      <c r="E106" s="9" t="n"/>
      <c r="F106" s="9" t="n"/>
      <c r="G106" s="9" t="n"/>
      <c r="H106" s="13">
        <f>IF(ISBLANK(F106),"",IF(G106&lt;&gt;"",UPPER(TRIM(G106)),IF(ISNUMBER(SEARCH(" ",TRIM(F106))),UPPER(LEFT(TRIM(RIGHT(SUBSTITUTE(TRIM(F106)," ",REPT(" ",100)),100)),Settings!$B$9)),UPPER(LEFT(TRIM(F106),Settings!$B$9)))))</f>
        <v/>
      </c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15">
        <f>IF(ISBLANK(D106),"",IF(COUNTIFS(Circulation!$B$2:$B$500,A106,Circulation!$H$2:$H$500,"Active")&gt;0,"On Loan","Available"))</f>
        <v/>
      </c>
      <c r="AA106" s="9" t="n"/>
      <c r="AB106" s="9" t="n"/>
      <c r="AC106" s="9" t="n"/>
      <c r="AD106" s="9" t="n"/>
      <c r="AE106" s="9" t="n"/>
      <c r="AF106" s="9" t="n"/>
      <c r="AG106" s="9" t="n"/>
    </row>
    <row r="107">
      <c r="A107" s="13">
        <f>IF(ISBLANK(D107),"",ROW()-1)</f>
        <v/>
      </c>
      <c r="B107" s="14" t="n"/>
      <c r="C107" s="13">
        <f>IF(ISBLANK(D107),"",MID(K107,SEARCH("(",K107)+1,SEARCH(")",K107)-SEARCH("(",K107)-1)&amp;"-"&amp;MID(L107,SEARCH("(",L107)+1,SEARCH(")",L107)-SEARCH("(",L107)-1)&amp;"-"&amp;H107&amp;"-"&amp;TEXT(A107,"000")&amp;IF(ISBLANK(N107),"","-"&amp;SUBSTITUTE(N107," ","")))</f>
        <v/>
      </c>
      <c r="D107" s="9" t="n"/>
      <c r="E107" s="9" t="n"/>
      <c r="F107" s="9" t="n"/>
      <c r="G107" s="9" t="n"/>
      <c r="H107" s="13">
        <f>IF(ISBLANK(F107),"",IF(G107&lt;&gt;"",UPPER(TRIM(G107)),IF(ISNUMBER(SEARCH(" ",TRIM(F107))),UPPER(LEFT(TRIM(RIGHT(SUBSTITUTE(TRIM(F107)," ",REPT(" ",100)),100)),Settings!$B$9)),UPPER(LEFT(TRIM(F107),Settings!$B$9)))))</f>
        <v/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15">
        <f>IF(ISBLANK(D107),"",IF(COUNTIFS(Circulation!$B$2:$B$500,A107,Circulation!$H$2:$H$500,"Active")&gt;0,"On Loan","Available"))</f>
        <v/>
      </c>
      <c r="AA107" s="9" t="n"/>
      <c r="AB107" s="9" t="n"/>
      <c r="AC107" s="9" t="n"/>
      <c r="AD107" s="9" t="n"/>
      <c r="AE107" s="9" t="n"/>
      <c r="AF107" s="9" t="n"/>
      <c r="AG107" s="9" t="n"/>
    </row>
    <row r="108">
      <c r="A108" s="13">
        <f>IF(ISBLANK(D108),"",ROW()-1)</f>
        <v/>
      </c>
      <c r="B108" s="14" t="n"/>
      <c r="C108" s="13">
        <f>IF(ISBLANK(D108),"",MID(K108,SEARCH("(",K108)+1,SEARCH(")",K108)-SEARCH("(",K108)-1)&amp;"-"&amp;MID(L108,SEARCH("(",L108)+1,SEARCH(")",L108)-SEARCH("(",L108)-1)&amp;"-"&amp;H108&amp;"-"&amp;TEXT(A108,"000")&amp;IF(ISBLANK(N108),"","-"&amp;SUBSTITUTE(N108," ","")))</f>
        <v/>
      </c>
      <c r="D108" s="9" t="n"/>
      <c r="E108" s="9" t="n"/>
      <c r="F108" s="9" t="n"/>
      <c r="G108" s="9" t="n"/>
      <c r="H108" s="13">
        <f>IF(ISBLANK(F108),"",IF(G108&lt;&gt;"",UPPER(TRIM(G108)),IF(ISNUMBER(SEARCH(" ",TRIM(F108))),UPPER(LEFT(TRIM(RIGHT(SUBSTITUTE(TRIM(F108)," ",REPT(" ",100)),100)),Settings!$B$9)),UPPER(LEFT(TRIM(F108),Settings!$B$9)))))</f>
        <v/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15">
        <f>IF(ISBLANK(D108),"",IF(COUNTIFS(Circulation!$B$2:$B$500,A108,Circulation!$H$2:$H$500,"Active")&gt;0,"On Loan","Available"))</f>
        <v/>
      </c>
      <c r="AA108" s="9" t="n"/>
      <c r="AB108" s="9" t="n"/>
      <c r="AC108" s="9" t="n"/>
      <c r="AD108" s="9" t="n"/>
      <c r="AE108" s="9" t="n"/>
      <c r="AF108" s="9" t="n"/>
      <c r="AG108" s="9" t="n"/>
    </row>
    <row r="109">
      <c r="A109" s="13">
        <f>IF(ISBLANK(D109),"",ROW()-1)</f>
        <v/>
      </c>
      <c r="B109" s="14" t="n"/>
      <c r="C109" s="13">
        <f>IF(ISBLANK(D109),"",MID(K109,SEARCH("(",K109)+1,SEARCH(")",K109)-SEARCH("(",K109)-1)&amp;"-"&amp;MID(L109,SEARCH("(",L109)+1,SEARCH(")",L109)-SEARCH("(",L109)-1)&amp;"-"&amp;H109&amp;"-"&amp;TEXT(A109,"000")&amp;IF(ISBLANK(N109),"","-"&amp;SUBSTITUTE(N109," ","")))</f>
        <v/>
      </c>
      <c r="D109" s="9" t="n"/>
      <c r="E109" s="9" t="n"/>
      <c r="F109" s="9" t="n"/>
      <c r="G109" s="9" t="n"/>
      <c r="H109" s="13">
        <f>IF(ISBLANK(F109),"",IF(G109&lt;&gt;"",UPPER(TRIM(G109)),IF(ISNUMBER(SEARCH(" ",TRIM(F109))),UPPER(LEFT(TRIM(RIGHT(SUBSTITUTE(TRIM(F109)," ",REPT(" ",100)),100)),Settings!$B$9)),UPPER(LEFT(TRIM(F109),Settings!$B$9)))))</f>
        <v/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15">
        <f>IF(ISBLANK(D109),"",IF(COUNTIFS(Circulation!$B$2:$B$500,A109,Circulation!$H$2:$H$500,"Active")&gt;0,"On Loan","Available"))</f>
        <v/>
      </c>
      <c r="AA109" s="9" t="n"/>
      <c r="AB109" s="9" t="n"/>
      <c r="AC109" s="9" t="n"/>
      <c r="AD109" s="9" t="n"/>
      <c r="AE109" s="9" t="n"/>
      <c r="AF109" s="9" t="n"/>
      <c r="AG109" s="9" t="n"/>
    </row>
    <row r="110">
      <c r="A110" s="13">
        <f>IF(ISBLANK(D110),"",ROW()-1)</f>
        <v/>
      </c>
      <c r="B110" s="14" t="n"/>
      <c r="C110" s="13">
        <f>IF(ISBLANK(D110),"",MID(K110,SEARCH("(",K110)+1,SEARCH(")",K110)-SEARCH("(",K110)-1)&amp;"-"&amp;MID(L110,SEARCH("(",L110)+1,SEARCH(")",L110)-SEARCH("(",L110)-1)&amp;"-"&amp;H110&amp;"-"&amp;TEXT(A110,"000")&amp;IF(ISBLANK(N110),"","-"&amp;SUBSTITUTE(N110," ","")))</f>
        <v/>
      </c>
      <c r="D110" s="9" t="n"/>
      <c r="E110" s="9" t="n"/>
      <c r="F110" s="9" t="n"/>
      <c r="G110" s="9" t="n"/>
      <c r="H110" s="13">
        <f>IF(ISBLANK(F110),"",IF(G110&lt;&gt;"",UPPER(TRIM(G110)),IF(ISNUMBER(SEARCH(" ",TRIM(F110))),UPPER(LEFT(TRIM(RIGHT(SUBSTITUTE(TRIM(F110)," ",REPT(" ",100)),100)),Settings!$B$9)),UPPER(LEFT(TRIM(F110),Settings!$B$9)))))</f>
        <v/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15">
        <f>IF(ISBLANK(D110),"",IF(COUNTIFS(Circulation!$B$2:$B$500,A110,Circulation!$H$2:$H$500,"Active")&gt;0,"On Loan","Available"))</f>
        <v/>
      </c>
      <c r="AA110" s="9" t="n"/>
      <c r="AB110" s="9" t="n"/>
      <c r="AC110" s="9" t="n"/>
      <c r="AD110" s="9" t="n"/>
      <c r="AE110" s="9" t="n"/>
      <c r="AF110" s="9" t="n"/>
      <c r="AG110" s="9" t="n"/>
    </row>
    <row r="111">
      <c r="A111" s="13">
        <f>IF(ISBLANK(D111),"",ROW()-1)</f>
        <v/>
      </c>
      <c r="B111" s="14" t="n"/>
      <c r="C111" s="13">
        <f>IF(ISBLANK(D111),"",MID(K111,SEARCH("(",K111)+1,SEARCH(")",K111)-SEARCH("(",K111)-1)&amp;"-"&amp;MID(L111,SEARCH("(",L111)+1,SEARCH(")",L111)-SEARCH("(",L111)-1)&amp;"-"&amp;H111&amp;"-"&amp;TEXT(A111,"000")&amp;IF(ISBLANK(N111),"","-"&amp;SUBSTITUTE(N111," ","")))</f>
        <v/>
      </c>
      <c r="D111" s="9" t="n"/>
      <c r="E111" s="9" t="n"/>
      <c r="F111" s="9" t="n"/>
      <c r="G111" s="9" t="n"/>
      <c r="H111" s="13">
        <f>IF(ISBLANK(F111),"",IF(G111&lt;&gt;"",UPPER(TRIM(G111)),IF(ISNUMBER(SEARCH(" ",TRIM(F111))),UPPER(LEFT(TRIM(RIGHT(SUBSTITUTE(TRIM(F111)," ",REPT(" ",100)),100)),Settings!$B$9)),UPPER(LEFT(TRIM(F111),Settings!$B$9)))))</f>
        <v/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15">
        <f>IF(ISBLANK(D111),"",IF(COUNTIFS(Circulation!$B$2:$B$500,A111,Circulation!$H$2:$H$500,"Active")&gt;0,"On Loan","Available"))</f>
        <v/>
      </c>
      <c r="AA111" s="9" t="n"/>
      <c r="AB111" s="9" t="n"/>
      <c r="AC111" s="9" t="n"/>
      <c r="AD111" s="9" t="n"/>
      <c r="AE111" s="9" t="n"/>
      <c r="AF111" s="9" t="n"/>
      <c r="AG111" s="9" t="n"/>
    </row>
    <row r="112">
      <c r="A112" s="13">
        <f>IF(ISBLANK(D112),"",ROW()-1)</f>
        <v/>
      </c>
      <c r="B112" s="14" t="n"/>
      <c r="C112" s="13">
        <f>IF(ISBLANK(D112),"",MID(K112,SEARCH("(",K112)+1,SEARCH(")",K112)-SEARCH("(",K112)-1)&amp;"-"&amp;MID(L112,SEARCH("(",L112)+1,SEARCH(")",L112)-SEARCH("(",L112)-1)&amp;"-"&amp;H112&amp;"-"&amp;TEXT(A112,"000")&amp;IF(ISBLANK(N112),"","-"&amp;SUBSTITUTE(N112," ","")))</f>
        <v/>
      </c>
      <c r="D112" s="9" t="n"/>
      <c r="E112" s="9" t="n"/>
      <c r="F112" s="9" t="n"/>
      <c r="G112" s="9" t="n"/>
      <c r="H112" s="13">
        <f>IF(ISBLANK(F112),"",IF(G112&lt;&gt;"",UPPER(TRIM(G112)),IF(ISNUMBER(SEARCH(" ",TRIM(F112))),UPPER(LEFT(TRIM(RIGHT(SUBSTITUTE(TRIM(F112)," ",REPT(" ",100)),100)),Settings!$B$9)),UPPER(LEFT(TRIM(F112),Settings!$B$9)))))</f>
        <v/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15">
        <f>IF(ISBLANK(D112),"",IF(COUNTIFS(Circulation!$B$2:$B$500,A112,Circulation!$H$2:$H$500,"Active")&gt;0,"On Loan","Available"))</f>
        <v/>
      </c>
      <c r="AA112" s="9" t="n"/>
      <c r="AB112" s="9" t="n"/>
      <c r="AC112" s="9" t="n"/>
      <c r="AD112" s="9" t="n"/>
      <c r="AE112" s="9" t="n"/>
      <c r="AF112" s="9" t="n"/>
      <c r="AG112" s="9" t="n"/>
    </row>
    <row r="113">
      <c r="A113" s="13">
        <f>IF(ISBLANK(D113),"",ROW()-1)</f>
        <v/>
      </c>
      <c r="B113" s="14" t="n"/>
      <c r="C113" s="13">
        <f>IF(ISBLANK(D113),"",MID(K113,SEARCH("(",K113)+1,SEARCH(")",K113)-SEARCH("(",K113)-1)&amp;"-"&amp;MID(L113,SEARCH("(",L113)+1,SEARCH(")",L113)-SEARCH("(",L113)-1)&amp;"-"&amp;H113&amp;"-"&amp;TEXT(A113,"000")&amp;IF(ISBLANK(N113),"","-"&amp;SUBSTITUTE(N113," ","")))</f>
        <v/>
      </c>
      <c r="D113" s="9" t="n"/>
      <c r="E113" s="9" t="n"/>
      <c r="F113" s="9" t="n"/>
      <c r="G113" s="9" t="n"/>
      <c r="H113" s="13">
        <f>IF(ISBLANK(F113),"",IF(G113&lt;&gt;"",UPPER(TRIM(G113)),IF(ISNUMBER(SEARCH(" ",TRIM(F113))),UPPER(LEFT(TRIM(RIGHT(SUBSTITUTE(TRIM(F113)," ",REPT(" ",100)),100)),Settings!$B$9)),UPPER(LEFT(TRIM(F113),Settings!$B$9)))))</f>
        <v/>
      </c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15">
        <f>IF(ISBLANK(D113),"",IF(COUNTIFS(Circulation!$B$2:$B$500,A113,Circulation!$H$2:$H$500,"Active")&gt;0,"On Loan","Available"))</f>
        <v/>
      </c>
      <c r="AA113" s="9" t="n"/>
      <c r="AB113" s="9" t="n"/>
      <c r="AC113" s="9" t="n"/>
      <c r="AD113" s="9" t="n"/>
      <c r="AE113" s="9" t="n"/>
      <c r="AF113" s="9" t="n"/>
      <c r="AG113" s="9" t="n"/>
    </row>
    <row r="114">
      <c r="A114" s="13">
        <f>IF(ISBLANK(D114),"",ROW()-1)</f>
        <v/>
      </c>
      <c r="B114" s="14" t="n"/>
      <c r="C114" s="13">
        <f>IF(ISBLANK(D114),"",MID(K114,SEARCH("(",K114)+1,SEARCH(")",K114)-SEARCH("(",K114)-1)&amp;"-"&amp;MID(L114,SEARCH("(",L114)+1,SEARCH(")",L114)-SEARCH("(",L114)-1)&amp;"-"&amp;H114&amp;"-"&amp;TEXT(A114,"000")&amp;IF(ISBLANK(N114),"","-"&amp;SUBSTITUTE(N114," ","")))</f>
        <v/>
      </c>
      <c r="D114" s="9" t="n"/>
      <c r="E114" s="9" t="n"/>
      <c r="F114" s="9" t="n"/>
      <c r="G114" s="9" t="n"/>
      <c r="H114" s="13">
        <f>IF(ISBLANK(F114),"",IF(G114&lt;&gt;"",UPPER(TRIM(G114)),IF(ISNUMBER(SEARCH(" ",TRIM(F114))),UPPER(LEFT(TRIM(RIGHT(SUBSTITUTE(TRIM(F114)," ",REPT(" ",100)),100)),Settings!$B$9)),UPPER(LEFT(TRIM(F114),Settings!$B$9)))))</f>
        <v/>
      </c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15">
        <f>IF(ISBLANK(D114),"",IF(COUNTIFS(Circulation!$B$2:$B$500,A114,Circulation!$H$2:$H$500,"Active")&gt;0,"On Loan","Available"))</f>
        <v/>
      </c>
      <c r="AA114" s="9" t="n"/>
      <c r="AB114" s="9" t="n"/>
      <c r="AC114" s="9" t="n"/>
      <c r="AD114" s="9" t="n"/>
      <c r="AE114" s="9" t="n"/>
      <c r="AF114" s="9" t="n"/>
      <c r="AG114" s="9" t="n"/>
    </row>
    <row r="115">
      <c r="A115" s="13">
        <f>IF(ISBLANK(D115),"",ROW()-1)</f>
        <v/>
      </c>
      <c r="B115" s="14" t="n"/>
      <c r="C115" s="13">
        <f>IF(ISBLANK(D115),"",MID(K115,SEARCH("(",K115)+1,SEARCH(")",K115)-SEARCH("(",K115)-1)&amp;"-"&amp;MID(L115,SEARCH("(",L115)+1,SEARCH(")",L115)-SEARCH("(",L115)-1)&amp;"-"&amp;H115&amp;"-"&amp;TEXT(A115,"000")&amp;IF(ISBLANK(N115),"","-"&amp;SUBSTITUTE(N115," ","")))</f>
        <v/>
      </c>
      <c r="D115" s="9" t="n"/>
      <c r="E115" s="9" t="n"/>
      <c r="F115" s="9" t="n"/>
      <c r="G115" s="9" t="n"/>
      <c r="H115" s="13">
        <f>IF(ISBLANK(F115),"",IF(G115&lt;&gt;"",UPPER(TRIM(G115)),IF(ISNUMBER(SEARCH(" ",TRIM(F115))),UPPER(LEFT(TRIM(RIGHT(SUBSTITUTE(TRIM(F115)," ",REPT(" ",100)),100)),Settings!$B$9)),UPPER(LEFT(TRIM(F115),Settings!$B$9)))))</f>
        <v/>
      </c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15">
        <f>IF(ISBLANK(D115),"",IF(COUNTIFS(Circulation!$B$2:$B$500,A115,Circulation!$H$2:$H$500,"Active")&gt;0,"On Loan","Available"))</f>
        <v/>
      </c>
      <c r="AA115" s="9" t="n"/>
      <c r="AB115" s="9" t="n"/>
      <c r="AC115" s="9" t="n"/>
      <c r="AD115" s="9" t="n"/>
      <c r="AE115" s="9" t="n"/>
      <c r="AF115" s="9" t="n"/>
      <c r="AG115" s="9" t="n"/>
    </row>
    <row r="116">
      <c r="A116" s="13">
        <f>IF(ISBLANK(D116),"",ROW()-1)</f>
        <v/>
      </c>
      <c r="B116" s="14" t="n"/>
      <c r="C116" s="13">
        <f>IF(ISBLANK(D116),"",MID(K116,SEARCH("(",K116)+1,SEARCH(")",K116)-SEARCH("(",K116)-1)&amp;"-"&amp;MID(L116,SEARCH("(",L116)+1,SEARCH(")",L116)-SEARCH("(",L116)-1)&amp;"-"&amp;H116&amp;"-"&amp;TEXT(A116,"000")&amp;IF(ISBLANK(N116),"","-"&amp;SUBSTITUTE(N116," ","")))</f>
        <v/>
      </c>
      <c r="D116" s="9" t="n"/>
      <c r="E116" s="9" t="n"/>
      <c r="F116" s="9" t="n"/>
      <c r="G116" s="9" t="n"/>
      <c r="H116" s="13">
        <f>IF(ISBLANK(F116),"",IF(G116&lt;&gt;"",UPPER(TRIM(G116)),IF(ISNUMBER(SEARCH(" ",TRIM(F116))),UPPER(LEFT(TRIM(RIGHT(SUBSTITUTE(TRIM(F116)," ",REPT(" ",100)),100)),Settings!$B$9)),UPPER(LEFT(TRIM(F116),Settings!$B$9)))))</f>
        <v/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15">
        <f>IF(ISBLANK(D116),"",IF(COUNTIFS(Circulation!$B$2:$B$500,A116,Circulation!$H$2:$H$500,"Active")&gt;0,"On Loan","Available"))</f>
        <v/>
      </c>
      <c r="AA116" s="9" t="n"/>
      <c r="AB116" s="9" t="n"/>
      <c r="AC116" s="9" t="n"/>
      <c r="AD116" s="9" t="n"/>
      <c r="AE116" s="9" t="n"/>
      <c r="AF116" s="9" t="n"/>
      <c r="AG116" s="9" t="n"/>
    </row>
    <row r="117">
      <c r="A117" s="13">
        <f>IF(ISBLANK(D117),"",ROW()-1)</f>
        <v/>
      </c>
      <c r="B117" s="14" t="n"/>
      <c r="C117" s="13">
        <f>IF(ISBLANK(D117),"",MID(K117,SEARCH("(",K117)+1,SEARCH(")",K117)-SEARCH("(",K117)-1)&amp;"-"&amp;MID(L117,SEARCH("(",L117)+1,SEARCH(")",L117)-SEARCH("(",L117)-1)&amp;"-"&amp;H117&amp;"-"&amp;TEXT(A117,"000")&amp;IF(ISBLANK(N117),"","-"&amp;SUBSTITUTE(N117," ","")))</f>
        <v/>
      </c>
      <c r="D117" s="9" t="n"/>
      <c r="E117" s="9" t="n"/>
      <c r="F117" s="9" t="n"/>
      <c r="G117" s="9" t="n"/>
      <c r="H117" s="13">
        <f>IF(ISBLANK(F117),"",IF(G117&lt;&gt;"",UPPER(TRIM(G117)),IF(ISNUMBER(SEARCH(" ",TRIM(F117))),UPPER(LEFT(TRIM(RIGHT(SUBSTITUTE(TRIM(F117)," ",REPT(" ",100)),100)),Settings!$B$9)),UPPER(LEFT(TRIM(F117),Settings!$B$9)))))</f>
        <v/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15">
        <f>IF(ISBLANK(D117),"",IF(COUNTIFS(Circulation!$B$2:$B$500,A117,Circulation!$H$2:$H$500,"Active")&gt;0,"On Loan","Available"))</f>
        <v/>
      </c>
      <c r="AA117" s="9" t="n"/>
      <c r="AB117" s="9" t="n"/>
      <c r="AC117" s="9" t="n"/>
      <c r="AD117" s="9" t="n"/>
      <c r="AE117" s="9" t="n"/>
      <c r="AF117" s="9" t="n"/>
      <c r="AG117" s="9" t="n"/>
    </row>
    <row r="118">
      <c r="A118" s="13">
        <f>IF(ISBLANK(D118),"",ROW()-1)</f>
        <v/>
      </c>
      <c r="B118" s="14" t="n"/>
      <c r="C118" s="13">
        <f>IF(ISBLANK(D118),"",MID(K118,SEARCH("(",K118)+1,SEARCH(")",K118)-SEARCH("(",K118)-1)&amp;"-"&amp;MID(L118,SEARCH("(",L118)+1,SEARCH(")",L118)-SEARCH("(",L118)-1)&amp;"-"&amp;H118&amp;"-"&amp;TEXT(A118,"000")&amp;IF(ISBLANK(N118),"","-"&amp;SUBSTITUTE(N118," ","")))</f>
        <v/>
      </c>
      <c r="D118" s="9" t="n"/>
      <c r="E118" s="9" t="n"/>
      <c r="F118" s="9" t="n"/>
      <c r="G118" s="9" t="n"/>
      <c r="H118" s="13">
        <f>IF(ISBLANK(F118),"",IF(G118&lt;&gt;"",UPPER(TRIM(G118)),IF(ISNUMBER(SEARCH(" ",TRIM(F118))),UPPER(LEFT(TRIM(RIGHT(SUBSTITUTE(TRIM(F118)," ",REPT(" ",100)),100)),Settings!$B$9)),UPPER(LEFT(TRIM(F118),Settings!$B$9)))))</f>
        <v/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15">
        <f>IF(ISBLANK(D118),"",IF(COUNTIFS(Circulation!$B$2:$B$500,A118,Circulation!$H$2:$H$500,"Active")&gt;0,"On Loan","Available"))</f>
        <v/>
      </c>
      <c r="AA118" s="9" t="n"/>
      <c r="AB118" s="9" t="n"/>
      <c r="AC118" s="9" t="n"/>
      <c r="AD118" s="9" t="n"/>
      <c r="AE118" s="9" t="n"/>
      <c r="AF118" s="9" t="n"/>
      <c r="AG118" s="9" t="n"/>
    </row>
    <row r="119">
      <c r="A119" s="13">
        <f>IF(ISBLANK(D119),"",ROW()-1)</f>
        <v/>
      </c>
      <c r="B119" s="14" t="n"/>
      <c r="C119" s="13">
        <f>IF(ISBLANK(D119),"",MID(K119,SEARCH("(",K119)+1,SEARCH(")",K119)-SEARCH("(",K119)-1)&amp;"-"&amp;MID(L119,SEARCH("(",L119)+1,SEARCH(")",L119)-SEARCH("(",L119)-1)&amp;"-"&amp;H119&amp;"-"&amp;TEXT(A119,"000")&amp;IF(ISBLANK(N119),"","-"&amp;SUBSTITUTE(N119," ","")))</f>
        <v/>
      </c>
      <c r="D119" s="9" t="n"/>
      <c r="E119" s="9" t="n"/>
      <c r="F119" s="9" t="n"/>
      <c r="G119" s="9" t="n"/>
      <c r="H119" s="13">
        <f>IF(ISBLANK(F119),"",IF(G119&lt;&gt;"",UPPER(TRIM(G119)),IF(ISNUMBER(SEARCH(" ",TRIM(F119))),UPPER(LEFT(TRIM(RIGHT(SUBSTITUTE(TRIM(F119)," ",REPT(" ",100)),100)),Settings!$B$9)),UPPER(LEFT(TRIM(F119),Settings!$B$9)))))</f>
        <v/>
      </c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15">
        <f>IF(ISBLANK(D119),"",IF(COUNTIFS(Circulation!$B$2:$B$500,A119,Circulation!$H$2:$H$500,"Active")&gt;0,"On Loan","Available"))</f>
        <v/>
      </c>
      <c r="AA119" s="9" t="n"/>
      <c r="AB119" s="9" t="n"/>
      <c r="AC119" s="9" t="n"/>
      <c r="AD119" s="9" t="n"/>
      <c r="AE119" s="9" t="n"/>
      <c r="AF119" s="9" t="n"/>
      <c r="AG119" s="9" t="n"/>
    </row>
    <row r="120">
      <c r="A120" s="13">
        <f>IF(ISBLANK(D120),"",ROW()-1)</f>
        <v/>
      </c>
      <c r="B120" s="14" t="n"/>
      <c r="C120" s="13">
        <f>IF(ISBLANK(D120),"",MID(K120,SEARCH("(",K120)+1,SEARCH(")",K120)-SEARCH("(",K120)-1)&amp;"-"&amp;MID(L120,SEARCH("(",L120)+1,SEARCH(")",L120)-SEARCH("(",L120)-1)&amp;"-"&amp;H120&amp;"-"&amp;TEXT(A120,"000")&amp;IF(ISBLANK(N120),"","-"&amp;SUBSTITUTE(N120," ","")))</f>
        <v/>
      </c>
      <c r="D120" s="9" t="n"/>
      <c r="E120" s="9" t="n"/>
      <c r="F120" s="9" t="n"/>
      <c r="G120" s="9" t="n"/>
      <c r="H120" s="13">
        <f>IF(ISBLANK(F120),"",IF(G120&lt;&gt;"",UPPER(TRIM(G120)),IF(ISNUMBER(SEARCH(" ",TRIM(F120))),UPPER(LEFT(TRIM(RIGHT(SUBSTITUTE(TRIM(F120)," ",REPT(" ",100)),100)),Settings!$B$9)),UPPER(LEFT(TRIM(F120),Settings!$B$9)))))</f>
        <v/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15">
        <f>IF(ISBLANK(D120),"",IF(COUNTIFS(Circulation!$B$2:$B$500,A120,Circulation!$H$2:$H$500,"Active")&gt;0,"On Loan","Available"))</f>
        <v/>
      </c>
      <c r="AA120" s="9" t="n"/>
      <c r="AB120" s="9" t="n"/>
      <c r="AC120" s="9" t="n"/>
      <c r="AD120" s="9" t="n"/>
      <c r="AE120" s="9" t="n"/>
      <c r="AF120" s="9" t="n"/>
      <c r="AG120" s="9" t="n"/>
    </row>
    <row r="121">
      <c r="A121" s="13">
        <f>IF(ISBLANK(D121),"",ROW()-1)</f>
        <v/>
      </c>
      <c r="B121" s="14" t="n"/>
      <c r="C121" s="13">
        <f>IF(ISBLANK(D121),"",MID(K121,SEARCH("(",K121)+1,SEARCH(")",K121)-SEARCH("(",K121)-1)&amp;"-"&amp;MID(L121,SEARCH("(",L121)+1,SEARCH(")",L121)-SEARCH("(",L121)-1)&amp;"-"&amp;H121&amp;"-"&amp;TEXT(A121,"000")&amp;IF(ISBLANK(N121),"","-"&amp;SUBSTITUTE(N121," ","")))</f>
        <v/>
      </c>
      <c r="D121" s="9" t="n"/>
      <c r="E121" s="9" t="n"/>
      <c r="F121" s="9" t="n"/>
      <c r="G121" s="9" t="n"/>
      <c r="H121" s="13">
        <f>IF(ISBLANK(F121),"",IF(G121&lt;&gt;"",UPPER(TRIM(G121)),IF(ISNUMBER(SEARCH(" ",TRIM(F121))),UPPER(LEFT(TRIM(RIGHT(SUBSTITUTE(TRIM(F121)," ",REPT(" ",100)),100)),Settings!$B$9)),UPPER(LEFT(TRIM(F121),Settings!$B$9)))))</f>
        <v/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15">
        <f>IF(ISBLANK(D121),"",IF(COUNTIFS(Circulation!$B$2:$B$500,A121,Circulation!$H$2:$H$500,"Active")&gt;0,"On Loan","Available"))</f>
        <v/>
      </c>
      <c r="AA121" s="9" t="n"/>
      <c r="AB121" s="9" t="n"/>
      <c r="AC121" s="9" t="n"/>
      <c r="AD121" s="9" t="n"/>
      <c r="AE121" s="9" t="n"/>
      <c r="AF121" s="9" t="n"/>
      <c r="AG121" s="9" t="n"/>
    </row>
    <row r="122">
      <c r="A122" s="13">
        <f>IF(ISBLANK(D122),"",ROW()-1)</f>
        <v/>
      </c>
      <c r="B122" s="14" t="n"/>
      <c r="C122" s="13">
        <f>IF(ISBLANK(D122),"",MID(K122,SEARCH("(",K122)+1,SEARCH(")",K122)-SEARCH("(",K122)-1)&amp;"-"&amp;MID(L122,SEARCH("(",L122)+1,SEARCH(")",L122)-SEARCH("(",L122)-1)&amp;"-"&amp;H122&amp;"-"&amp;TEXT(A122,"000")&amp;IF(ISBLANK(N122),"","-"&amp;SUBSTITUTE(N122," ","")))</f>
        <v/>
      </c>
      <c r="D122" s="9" t="n"/>
      <c r="E122" s="9" t="n"/>
      <c r="F122" s="9" t="n"/>
      <c r="G122" s="9" t="n"/>
      <c r="H122" s="13">
        <f>IF(ISBLANK(F122),"",IF(G122&lt;&gt;"",UPPER(TRIM(G122)),IF(ISNUMBER(SEARCH(" ",TRIM(F122))),UPPER(LEFT(TRIM(RIGHT(SUBSTITUTE(TRIM(F122)," ",REPT(" ",100)),100)),Settings!$B$9)),UPPER(LEFT(TRIM(F122),Settings!$B$9)))))</f>
        <v/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15">
        <f>IF(ISBLANK(D122),"",IF(COUNTIFS(Circulation!$B$2:$B$500,A122,Circulation!$H$2:$H$500,"Active")&gt;0,"On Loan","Available"))</f>
        <v/>
      </c>
      <c r="AA122" s="9" t="n"/>
      <c r="AB122" s="9" t="n"/>
      <c r="AC122" s="9" t="n"/>
      <c r="AD122" s="9" t="n"/>
      <c r="AE122" s="9" t="n"/>
      <c r="AF122" s="9" t="n"/>
      <c r="AG122" s="9" t="n"/>
    </row>
    <row r="123">
      <c r="A123" s="13">
        <f>IF(ISBLANK(D123),"",ROW()-1)</f>
        <v/>
      </c>
      <c r="B123" s="14" t="n"/>
      <c r="C123" s="13">
        <f>IF(ISBLANK(D123),"",MID(K123,SEARCH("(",K123)+1,SEARCH(")",K123)-SEARCH("(",K123)-1)&amp;"-"&amp;MID(L123,SEARCH("(",L123)+1,SEARCH(")",L123)-SEARCH("(",L123)-1)&amp;"-"&amp;H123&amp;"-"&amp;TEXT(A123,"000")&amp;IF(ISBLANK(N123),"","-"&amp;SUBSTITUTE(N123," ","")))</f>
        <v/>
      </c>
      <c r="D123" s="9" t="n"/>
      <c r="E123" s="9" t="n"/>
      <c r="F123" s="9" t="n"/>
      <c r="G123" s="9" t="n"/>
      <c r="H123" s="13">
        <f>IF(ISBLANK(F123),"",IF(G123&lt;&gt;"",UPPER(TRIM(G123)),IF(ISNUMBER(SEARCH(" ",TRIM(F123))),UPPER(LEFT(TRIM(RIGHT(SUBSTITUTE(TRIM(F123)," ",REPT(" ",100)),100)),Settings!$B$9)),UPPER(LEFT(TRIM(F123),Settings!$B$9)))))</f>
        <v/>
      </c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15">
        <f>IF(ISBLANK(D123),"",IF(COUNTIFS(Circulation!$B$2:$B$500,A123,Circulation!$H$2:$H$500,"Active")&gt;0,"On Loan","Available"))</f>
        <v/>
      </c>
      <c r="AA123" s="9" t="n"/>
      <c r="AB123" s="9" t="n"/>
      <c r="AC123" s="9" t="n"/>
      <c r="AD123" s="9" t="n"/>
      <c r="AE123" s="9" t="n"/>
      <c r="AF123" s="9" t="n"/>
      <c r="AG123" s="9" t="n"/>
    </row>
    <row r="124">
      <c r="A124" s="13">
        <f>IF(ISBLANK(D124),"",ROW()-1)</f>
        <v/>
      </c>
      <c r="B124" s="14" t="n"/>
      <c r="C124" s="13">
        <f>IF(ISBLANK(D124),"",MID(K124,SEARCH("(",K124)+1,SEARCH(")",K124)-SEARCH("(",K124)-1)&amp;"-"&amp;MID(L124,SEARCH("(",L124)+1,SEARCH(")",L124)-SEARCH("(",L124)-1)&amp;"-"&amp;H124&amp;"-"&amp;TEXT(A124,"000")&amp;IF(ISBLANK(N124),"","-"&amp;SUBSTITUTE(N124," ","")))</f>
        <v/>
      </c>
      <c r="D124" s="9" t="n"/>
      <c r="E124" s="9" t="n"/>
      <c r="F124" s="9" t="n"/>
      <c r="G124" s="9" t="n"/>
      <c r="H124" s="13">
        <f>IF(ISBLANK(F124),"",IF(G124&lt;&gt;"",UPPER(TRIM(G124)),IF(ISNUMBER(SEARCH(" ",TRIM(F124))),UPPER(LEFT(TRIM(RIGHT(SUBSTITUTE(TRIM(F124)," ",REPT(" ",100)),100)),Settings!$B$9)),UPPER(LEFT(TRIM(F124),Settings!$B$9)))))</f>
        <v/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15">
        <f>IF(ISBLANK(D124),"",IF(COUNTIFS(Circulation!$B$2:$B$500,A124,Circulation!$H$2:$H$500,"Active")&gt;0,"On Loan","Available"))</f>
        <v/>
      </c>
      <c r="AA124" s="9" t="n"/>
      <c r="AB124" s="9" t="n"/>
      <c r="AC124" s="9" t="n"/>
      <c r="AD124" s="9" t="n"/>
      <c r="AE124" s="9" t="n"/>
      <c r="AF124" s="9" t="n"/>
      <c r="AG124" s="9" t="n"/>
    </row>
    <row r="125">
      <c r="A125" s="13">
        <f>IF(ISBLANK(D125),"",ROW()-1)</f>
        <v/>
      </c>
      <c r="B125" s="14" t="n"/>
      <c r="C125" s="13">
        <f>IF(ISBLANK(D125),"",MID(K125,SEARCH("(",K125)+1,SEARCH(")",K125)-SEARCH("(",K125)-1)&amp;"-"&amp;MID(L125,SEARCH("(",L125)+1,SEARCH(")",L125)-SEARCH("(",L125)-1)&amp;"-"&amp;H125&amp;"-"&amp;TEXT(A125,"000")&amp;IF(ISBLANK(N125),"","-"&amp;SUBSTITUTE(N125," ","")))</f>
        <v/>
      </c>
      <c r="D125" s="9" t="n"/>
      <c r="E125" s="9" t="n"/>
      <c r="F125" s="9" t="n"/>
      <c r="G125" s="9" t="n"/>
      <c r="H125" s="13">
        <f>IF(ISBLANK(F125),"",IF(G125&lt;&gt;"",UPPER(TRIM(G125)),IF(ISNUMBER(SEARCH(" ",TRIM(F125))),UPPER(LEFT(TRIM(RIGHT(SUBSTITUTE(TRIM(F125)," ",REPT(" ",100)),100)),Settings!$B$9)),UPPER(LEFT(TRIM(F125),Settings!$B$9)))))</f>
        <v/>
      </c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15">
        <f>IF(ISBLANK(D125),"",IF(COUNTIFS(Circulation!$B$2:$B$500,A125,Circulation!$H$2:$H$500,"Active")&gt;0,"On Loan","Available"))</f>
        <v/>
      </c>
      <c r="AA125" s="9" t="n"/>
      <c r="AB125" s="9" t="n"/>
      <c r="AC125" s="9" t="n"/>
      <c r="AD125" s="9" t="n"/>
      <c r="AE125" s="9" t="n"/>
      <c r="AF125" s="9" t="n"/>
      <c r="AG125" s="9" t="n"/>
    </row>
    <row r="126">
      <c r="A126" s="13">
        <f>IF(ISBLANK(D126),"",ROW()-1)</f>
        <v/>
      </c>
      <c r="B126" s="14" t="n"/>
      <c r="C126" s="13">
        <f>IF(ISBLANK(D126),"",MID(K126,SEARCH("(",K126)+1,SEARCH(")",K126)-SEARCH("(",K126)-1)&amp;"-"&amp;MID(L126,SEARCH("(",L126)+1,SEARCH(")",L126)-SEARCH("(",L126)-1)&amp;"-"&amp;H126&amp;"-"&amp;TEXT(A126,"000")&amp;IF(ISBLANK(N126),"","-"&amp;SUBSTITUTE(N126," ","")))</f>
        <v/>
      </c>
      <c r="D126" s="9" t="n"/>
      <c r="E126" s="9" t="n"/>
      <c r="F126" s="9" t="n"/>
      <c r="G126" s="9" t="n"/>
      <c r="H126" s="13">
        <f>IF(ISBLANK(F126),"",IF(G126&lt;&gt;"",UPPER(TRIM(G126)),IF(ISNUMBER(SEARCH(" ",TRIM(F126))),UPPER(LEFT(TRIM(RIGHT(SUBSTITUTE(TRIM(F126)," ",REPT(" ",100)),100)),Settings!$B$9)),UPPER(LEFT(TRIM(F126),Settings!$B$9)))))</f>
        <v/>
      </c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15">
        <f>IF(ISBLANK(D126),"",IF(COUNTIFS(Circulation!$B$2:$B$500,A126,Circulation!$H$2:$H$500,"Active")&gt;0,"On Loan","Available"))</f>
        <v/>
      </c>
      <c r="AA126" s="9" t="n"/>
      <c r="AB126" s="9" t="n"/>
      <c r="AC126" s="9" t="n"/>
      <c r="AD126" s="9" t="n"/>
      <c r="AE126" s="9" t="n"/>
      <c r="AF126" s="9" t="n"/>
      <c r="AG126" s="9" t="n"/>
    </row>
    <row r="127">
      <c r="A127" s="13">
        <f>IF(ISBLANK(D127),"",ROW()-1)</f>
        <v/>
      </c>
      <c r="B127" s="14" t="n"/>
      <c r="C127" s="13">
        <f>IF(ISBLANK(D127),"",MID(K127,SEARCH("(",K127)+1,SEARCH(")",K127)-SEARCH("(",K127)-1)&amp;"-"&amp;MID(L127,SEARCH("(",L127)+1,SEARCH(")",L127)-SEARCH("(",L127)-1)&amp;"-"&amp;H127&amp;"-"&amp;TEXT(A127,"000")&amp;IF(ISBLANK(N127),"","-"&amp;SUBSTITUTE(N127," ","")))</f>
        <v/>
      </c>
      <c r="D127" s="9" t="n"/>
      <c r="E127" s="9" t="n"/>
      <c r="F127" s="9" t="n"/>
      <c r="G127" s="9" t="n"/>
      <c r="H127" s="13">
        <f>IF(ISBLANK(F127),"",IF(G127&lt;&gt;"",UPPER(TRIM(G127)),IF(ISNUMBER(SEARCH(" ",TRIM(F127))),UPPER(LEFT(TRIM(RIGHT(SUBSTITUTE(TRIM(F127)," ",REPT(" ",100)),100)),Settings!$B$9)),UPPER(LEFT(TRIM(F127),Settings!$B$9)))))</f>
        <v/>
      </c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15">
        <f>IF(ISBLANK(D127),"",IF(COUNTIFS(Circulation!$B$2:$B$500,A127,Circulation!$H$2:$H$500,"Active")&gt;0,"On Loan","Available"))</f>
        <v/>
      </c>
      <c r="AA127" s="9" t="n"/>
      <c r="AB127" s="9" t="n"/>
      <c r="AC127" s="9" t="n"/>
      <c r="AD127" s="9" t="n"/>
      <c r="AE127" s="9" t="n"/>
      <c r="AF127" s="9" t="n"/>
      <c r="AG127" s="9" t="n"/>
    </row>
    <row r="128">
      <c r="A128" s="13">
        <f>IF(ISBLANK(D128),"",ROW()-1)</f>
        <v/>
      </c>
      <c r="B128" s="14" t="n"/>
      <c r="C128" s="13">
        <f>IF(ISBLANK(D128),"",MID(K128,SEARCH("(",K128)+1,SEARCH(")",K128)-SEARCH("(",K128)-1)&amp;"-"&amp;MID(L128,SEARCH("(",L128)+1,SEARCH(")",L128)-SEARCH("(",L128)-1)&amp;"-"&amp;H128&amp;"-"&amp;TEXT(A128,"000")&amp;IF(ISBLANK(N128),"","-"&amp;SUBSTITUTE(N128," ","")))</f>
        <v/>
      </c>
      <c r="D128" s="9" t="n"/>
      <c r="E128" s="9" t="n"/>
      <c r="F128" s="9" t="n"/>
      <c r="G128" s="9" t="n"/>
      <c r="H128" s="13">
        <f>IF(ISBLANK(F128),"",IF(G128&lt;&gt;"",UPPER(TRIM(G128)),IF(ISNUMBER(SEARCH(" ",TRIM(F128))),UPPER(LEFT(TRIM(RIGHT(SUBSTITUTE(TRIM(F128)," ",REPT(" ",100)),100)),Settings!$B$9)),UPPER(LEFT(TRIM(F128),Settings!$B$9)))))</f>
        <v/>
      </c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15">
        <f>IF(ISBLANK(D128),"",IF(COUNTIFS(Circulation!$B$2:$B$500,A128,Circulation!$H$2:$H$500,"Active")&gt;0,"On Loan","Available"))</f>
        <v/>
      </c>
      <c r="AA128" s="9" t="n"/>
      <c r="AB128" s="9" t="n"/>
      <c r="AC128" s="9" t="n"/>
      <c r="AD128" s="9" t="n"/>
      <c r="AE128" s="9" t="n"/>
      <c r="AF128" s="9" t="n"/>
      <c r="AG128" s="9" t="n"/>
    </row>
    <row r="129">
      <c r="A129" s="13">
        <f>IF(ISBLANK(D129),"",ROW()-1)</f>
        <v/>
      </c>
      <c r="B129" s="14" t="n"/>
      <c r="C129" s="13">
        <f>IF(ISBLANK(D129),"",MID(K129,SEARCH("(",K129)+1,SEARCH(")",K129)-SEARCH("(",K129)-1)&amp;"-"&amp;MID(L129,SEARCH("(",L129)+1,SEARCH(")",L129)-SEARCH("(",L129)-1)&amp;"-"&amp;H129&amp;"-"&amp;TEXT(A129,"000")&amp;IF(ISBLANK(N129),"","-"&amp;SUBSTITUTE(N129," ","")))</f>
        <v/>
      </c>
      <c r="D129" s="9" t="n"/>
      <c r="E129" s="9" t="n"/>
      <c r="F129" s="9" t="n"/>
      <c r="G129" s="9" t="n"/>
      <c r="H129" s="13">
        <f>IF(ISBLANK(F129),"",IF(G129&lt;&gt;"",UPPER(TRIM(G129)),IF(ISNUMBER(SEARCH(" ",TRIM(F129))),UPPER(LEFT(TRIM(RIGHT(SUBSTITUTE(TRIM(F129)," ",REPT(" ",100)),100)),Settings!$B$9)),UPPER(LEFT(TRIM(F129),Settings!$B$9)))))</f>
        <v/>
      </c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15">
        <f>IF(ISBLANK(D129),"",IF(COUNTIFS(Circulation!$B$2:$B$500,A129,Circulation!$H$2:$H$500,"Active")&gt;0,"On Loan","Available"))</f>
        <v/>
      </c>
      <c r="AA129" s="9" t="n"/>
      <c r="AB129" s="9" t="n"/>
      <c r="AC129" s="9" t="n"/>
      <c r="AD129" s="9" t="n"/>
      <c r="AE129" s="9" t="n"/>
      <c r="AF129" s="9" t="n"/>
      <c r="AG129" s="9" t="n"/>
    </row>
    <row r="130">
      <c r="A130" s="13">
        <f>IF(ISBLANK(D130),"",ROW()-1)</f>
        <v/>
      </c>
      <c r="B130" s="14" t="n"/>
      <c r="C130" s="13">
        <f>IF(ISBLANK(D130),"",MID(K130,SEARCH("(",K130)+1,SEARCH(")",K130)-SEARCH("(",K130)-1)&amp;"-"&amp;MID(L130,SEARCH("(",L130)+1,SEARCH(")",L130)-SEARCH("(",L130)-1)&amp;"-"&amp;H130&amp;"-"&amp;TEXT(A130,"000")&amp;IF(ISBLANK(N130),"","-"&amp;SUBSTITUTE(N130," ","")))</f>
        <v/>
      </c>
      <c r="D130" s="9" t="n"/>
      <c r="E130" s="9" t="n"/>
      <c r="F130" s="9" t="n"/>
      <c r="G130" s="9" t="n"/>
      <c r="H130" s="13">
        <f>IF(ISBLANK(F130),"",IF(G130&lt;&gt;"",UPPER(TRIM(G130)),IF(ISNUMBER(SEARCH(" ",TRIM(F130))),UPPER(LEFT(TRIM(RIGHT(SUBSTITUTE(TRIM(F130)," ",REPT(" ",100)),100)),Settings!$B$9)),UPPER(LEFT(TRIM(F130),Settings!$B$9)))))</f>
        <v/>
      </c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15">
        <f>IF(ISBLANK(D130),"",IF(COUNTIFS(Circulation!$B$2:$B$500,A130,Circulation!$H$2:$H$500,"Active")&gt;0,"On Loan","Available"))</f>
        <v/>
      </c>
      <c r="AA130" s="9" t="n"/>
      <c r="AB130" s="9" t="n"/>
      <c r="AC130" s="9" t="n"/>
      <c r="AD130" s="9" t="n"/>
      <c r="AE130" s="9" t="n"/>
      <c r="AF130" s="9" t="n"/>
      <c r="AG130" s="9" t="n"/>
    </row>
    <row r="131">
      <c r="A131" s="13">
        <f>IF(ISBLANK(D131),"",ROW()-1)</f>
        <v/>
      </c>
      <c r="B131" s="14" t="n"/>
      <c r="C131" s="13">
        <f>IF(ISBLANK(D131),"",MID(K131,SEARCH("(",K131)+1,SEARCH(")",K131)-SEARCH("(",K131)-1)&amp;"-"&amp;MID(L131,SEARCH("(",L131)+1,SEARCH(")",L131)-SEARCH("(",L131)-1)&amp;"-"&amp;H131&amp;"-"&amp;TEXT(A131,"000")&amp;IF(ISBLANK(N131),"","-"&amp;SUBSTITUTE(N131," ","")))</f>
        <v/>
      </c>
      <c r="D131" s="9" t="n"/>
      <c r="E131" s="9" t="n"/>
      <c r="F131" s="9" t="n"/>
      <c r="G131" s="9" t="n"/>
      <c r="H131" s="13">
        <f>IF(ISBLANK(F131),"",IF(G131&lt;&gt;"",UPPER(TRIM(G131)),IF(ISNUMBER(SEARCH(" ",TRIM(F131))),UPPER(LEFT(TRIM(RIGHT(SUBSTITUTE(TRIM(F131)," ",REPT(" ",100)),100)),Settings!$B$9)),UPPER(LEFT(TRIM(F131),Settings!$B$9)))))</f>
        <v/>
      </c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15">
        <f>IF(ISBLANK(D131),"",IF(COUNTIFS(Circulation!$B$2:$B$500,A131,Circulation!$H$2:$H$500,"Active")&gt;0,"On Loan","Available"))</f>
        <v/>
      </c>
      <c r="AA131" s="9" t="n"/>
      <c r="AB131" s="9" t="n"/>
      <c r="AC131" s="9" t="n"/>
      <c r="AD131" s="9" t="n"/>
      <c r="AE131" s="9" t="n"/>
      <c r="AF131" s="9" t="n"/>
      <c r="AG131" s="9" t="n"/>
    </row>
    <row r="132">
      <c r="A132" s="13">
        <f>IF(ISBLANK(D132),"",ROW()-1)</f>
        <v/>
      </c>
      <c r="B132" s="14" t="n"/>
      <c r="C132" s="13">
        <f>IF(ISBLANK(D132),"",MID(K132,SEARCH("(",K132)+1,SEARCH(")",K132)-SEARCH("(",K132)-1)&amp;"-"&amp;MID(L132,SEARCH("(",L132)+1,SEARCH(")",L132)-SEARCH("(",L132)-1)&amp;"-"&amp;H132&amp;"-"&amp;TEXT(A132,"000")&amp;IF(ISBLANK(N132),"","-"&amp;SUBSTITUTE(N132," ","")))</f>
        <v/>
      </c>
      <c r="D132" s="9" t="n"/>
      <c r="E132" s="9" t="n"/>
      <c r="F132" s="9" t="n"/>
      <c r="G132" s="9" t="n"/>
      <c r="H132" s="13">
        <f>IF(ISBLANK(F132),"",IF(G132&lt;&gt;"",UPPER(TRIM(G132)),IF(ISNUMBER(SEARCH(" ",TRIM(F132))),UPPER(LEFT(TRIM(RIGHT(SUBSTITUTE(TRIM(F132)," ",REPT(" ",100)),100)),Settings!$B$9)),UPPER(LEFT(TRIM(F132),Settings!$B$9)))))</f>
        <v/>
      </c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15">
        <f>IF(ISBLANK(D132),"",IF(COUNTIFS(Circulation!$B$2:$B$500,A132,Circulation!$H$2:$H$500,"Active")&gt;0,"On Loan","Available"))</f>
        <v/>
      </c>
      <c r="AA132" s="9" t="n"/>
      <c r="AB132" s="9" t="n"/>
      <c r="AC132" s="9" t="n"/>
      <c r="AD132" s="9" t="n"/>
      <c r="AE132" s="9" t="n"/>
      <c r="AF132" s="9" t="n"/>
      <c r="AG132" s="9" t="n"/>
    </row>
    <row r="133">
      <c r="A133" s="13">
        <f>IF(ISBLANK(D133),"",ROW()-1)</f>
        <v/>
      </c>
      <c r="B133" s="14" t="n"/>
      <c r="C133" s="13">
        <f>IF(ISBLANK(D133),"",MID(K133,SEARCH("(",K133)+1,SEARCH(")",K133)-SEARCH("(",K133)-1)&amp;"-"&amp;MID(L133,SEARCH("(",L133)+1,SEARCH(")",L133)-SEARCH("(",L133)-1)&amp;"-"&amp;H133&amp;"-"&amp;TEXT(A133,"000")&amp;IF(ISBLANK(N133),"","-"&amp;SUBSTITUTE(N133," ","")))</f>
        <v/>
      </c>
      <c r="D133" s="9" t="n"/>
      <c r="E133" s="9" t="n"/>
      <c r="F133" s="9" t="n"/>
      <c r="G133" s="9" t="n"/>
      <c r="H133" s="13">
        <f>IF(ISBLANK(F133),"",IF(G133&lt;&gt;"",UPPER(TRIM(G133)),IF(ISNUMBER(SEARCH(" ",TRIM(F133))),UPPER(LEFT(TRIM(RIGHT(SUBSTITUTE(TRIM(F133)," ",REPT(" ",100)),100)),Settings!$B$9)),UPPER(LEFT(TRIM(F133),Settings!$B$9)))))</f>
        <v/>
      </c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15">
        <f>IF(ISBLANK(D133),"",IF(COUNTIFS(Circulation!$B$2:$B$500,A133,Circulation!$H$2:$H$500,"Active")&gt;0,"On Loan","Available"))</f>
        <v/>
      </c>
      <c r="AA133" s="9" t="n"/>
      <c r="AB133" s="9" t="n"/>
      <c r="AC133" s="9" t="n"/>
      <c r="AD133" s="9" t="n"/>
      <c r="AE133" s="9" t="n"/>
      <c r="AF133" s="9" t="n"/>
      <c r="AG133" s="9" t="n"/>
    </row>
    <row r="134">
      <c r="A134" s="13">
        <f>IF(ISBLANK(D134),"",ROW()-1)</f>
        <v/>
      </c>
      <c r="B134" s="14" t="n"/>
      <c r="C134" s="13">
        <f>IF(ISBLANK(D134),"",MID(K134,SEARCH("(",K134)+1,SEARCH(")",K134)-SEARCH("(",K134)-1)&amp;"-"&amp;MID(L134,SEARCH("(",L134)+1,SEARCH(")",L134)-SEARCH("(",L134)-1)&amp;"-"&amp;H134&amp;"-"&amp;TEXT(A134,"000")&amp;IF(ISBLANK(N134),"","-"&amp;SUBSTITUTE(N134," ","")))</f>
        <v/>
      </c>
      <c r="D134" s="9" t="n"/>
      <c r="E134" s="9" t="n"/>
      <c r="F134" s="9" t="n"/>
      <c r="G134" s="9" t="n"/>
      <c r="H134" s="13">
        <f>IF(ISBLANK(F134),"",IF(G134&lt;&gt;"",UPPER(TRIM(G134)),IF(ISNUMBER(SEARCH(" ",TRIM(F134))),UPPER(LEFT(TRIM(RIGHT(SUBSTITUTE(TRIM(F134)," ",REPT(" ",100)),100)),Settings!$B$9)),UPPER(LEFT(TRIM(F134),Settings!$B$9)))))</f>
        <v/>
      </c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15">
        <f>IF(ISBLANK(D134),"",IF(COUNTIFS(Circulation!$B$2:$B$500,A134,Circulation!$H$2:$H$500,"Active")&gt;0,"On Loan","Available"))</f>
        <v/>
      </c>
      <c r="AA134" s="9" t="n"/>
      <c r="AB134" s="9" t="n"/>
      <c r="AC134" s="9" t="n"/>
      <c r="AD134" s="9" t="n"/>
      <c r="AE134" s="9" t="n"/>
      <c r="AF134" s="9" t="n"/>
      <c r="AG134" s="9" t="n"/>
    </row>
    <row r="135">
      <c r="A135" s="13">
        <f>IF(ISBLANK(D135),"",ROW()-1)</f>
        <v/>
      </c>
      <c r="B135" s="14" t="n"/>
      <c r="C135" s="13">
        <f>IF(ISBLANK(D135),"",MID(K135,SEARCH("(",K135)+1,SEARCH(")",K135)-SEARCH("(",K135)-1)&amp;"-"&amp;MID(L135,SEARCH("(",L135)+1,SEARCH(")",L135)-SEARCH("(",L135)-1)&amp;"-"&amp;H135&amp;"-"&amp;TEXT(A135,"000")&amp;IF(ISBLANK(N135),"","-"&amp;SUBSTITUTE(N135," ","")))</f>
        <v/>
      </c>
      <c r="D135" s="9" t="n"/>
      <c r="E135" s="9" t="n"/>
      <c r="F135" s="9" t="n"/>
      <c r="G135" s="9" t="n"/>
      <c r="H135" s="13">
        <f>IF(ISBLANK(F135),"",IF(G135&lt;&gt;"",UPPER(TRIM(G135)),IF(ISNUMBER(SEARCH(" ",TRIM(F135))),UPPER(LEFT(TRIM(RIGHT(SUBSTITUTE(TRIM(F135)," ",REPT(" ",100)),100)),Settings!$B$9)),UPPER(LEFT(TRIM(F135),Settings!$B$9)))))</f>
        <v/>
      </c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15">
        <f>IF(ISBLANK(D135),"",IF(COUNTIFS(Circulation!$B$2:$B$500,A135,Circulation!$H$2:$H$500,"Active")&gt;0,"On Loan","Available"))</f>
        <v/>
      </c>
      <c r="AA135" s="9" t="n"/>
      <c r="AB135" s="9" t="n"/>
      <c r="AC135" s="9" t="n"/>
      <c r="AD135" s="9" t="n"/>
      <c r="AE135" s="9" t="n"/>
      <c r="AF135" s="9" t="n"/>
      <c r="AG135" s="9" t="n"/>
    </row>
    <row r="136">
      <c r="A136" s="13">
        <f>IF(ISBLANK(D136),"",ROW()-1)</f>
        <v/>
      </c>
      <c r="B136" s="14" t="n"/>
      <c r="C136" s="13">
        <f>IF(ISBLANK(D136),"",MID(K136,SEARCH("(",K136)+1,SEARCH(")",K136)-SEARCH("(",K136)-1)&amp;"-"&amp;MID(L136,SEARCH("(",L136)+1,SEARCH(")",L136)-SEARCH("(",L136)-1)&amp;"-"&amp;H136&amp;"-"&amp;TEXT(A136,"000")&amp;IF(ISBLANK(N136),"","-"&amp;SUBSTITUTE(N136," ","")))</f>
        <v/>
      </c>
      <c r="D136" s="9" t="n"/>
      <c r="E136" s="9" t="n"/>
      <c r="F136" s="9" t="n"/>
      <c r="G136" s="9" t="n"/>
      <c r="H136" s="13">
        <f>IF(ISBLANK(F136),"",IF(G136&lt;&gt;"",UPPER(TRIM(G136)),IF(ISNUMBER(SEARCH(" ",TRIM(F136))),UPPER(LEFT(TRIM(RIGHT(SUBSTITUTE(TRIM(F136)," ",REPT(" ",100)),100)),Settings!$B$9)),UPPER(LEFT(TRIM(F136),Settings!$B$9)))))</f>
        <v/>
      </c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15">
        <f>IF(ISBLANK(D136),"",IF(COUNTIFS(Circulation!$B$2:$B$500,A136,Circulation!$H$2:$H$500,"Active")&gt;0,"On Loan","Available"))</f>
        <v/>
      </c>
      <c r="AA136" s="9" t="n"/>
      <c r="AB136" s="9" t="n"/>
      <c r="AC136" s="9" t="n"/>
      <c r="AD136" s="9" t="n"/>
      <c r="AE136" s="9" t="n"/>
      <c r="AF136" s="9" t="n"/>
      <c r="AG136" s="9" t="n"/>
    </row>
    <row r="137">
      <c r="A137" s="13">
        <f>IF(ISBLANK(D137),"",ROW()-1)</f>
        <v/>
      </c>
      <c r="B137" s="14" t="n"/>
      <c r="C137" s="13">
        <f>IF(ISBLANK(D137),"",MID(K137,SEARCH("(",K137)+1,SEARCH(")",K137)-SEARCH("(",K137)-1)&amp;"-"&amp;MID(L137,SEARCH("(",L137)+1,SEARCH(")",L137)-SEARCH("(",L137)-1)&amp;"-"&amp;H137&amp;"-"&amp;TEXT(A137,"000")&amp;IF(ISBLANK(N137),"","-"&amp;SUBSTITUTE(N137," ","")))</f>
        <v/>
      </c>
      <c r="D137" s="9" t="n"/>
      <c r="E137" s="9" t="n"/>
      <c r="F137" s="9" t="n"/>
      <c r="G137" s="9" t="n"/>
      <c r="H137" s="13">
        <f>IF(ISBLANK(F137),"",IF(G137&lt;&gt;"",UPPER(TRIM(G137)),IF(ISNUMBER(SEARCH(" ",TRIM(F137))),UPPER(LEFT(TRIM(RIGHT(SUBSTITUTE(TRIM(F137)," ",REPT(" ",100)),100)),Settings!$B$9)),UPPER(LEFT(TRIM(F137),Settings!$B$9)))))</f>
        <v/>
      </c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15">
        <f>IF(ISBLANK(D137),"",IF(COUNTIFS(Circulation!$B$2:$B$500,A137,Circulation!$H$2:$H$500,"Active")&gt;0,"On Loan","Available"))</f>
        <v/>
      </c>
      <c r="AA137" s="9" t="n"/>
      <c r="AB137" s="9" t="n"/>
      <c r="AC137" s="9" t="n"/>
      <c r="AD137" s="9" t="n"/>
      <c r="AE137" s="9" t="n"/>
      <c r="AF137" s="9" t="n"/>
      <c r="AG137" s="9" t="n"/>
    </row>
    <row r="138">
      <c r="A138" s="13">
        <f>IF(ISBLANK(D138),"",ROW()-1)</f>
        <v/>
      </c>
      <c r="B138" s="14" t="n"/>
      <c r="C138" s="13">
        <f>IF(ISBLANK(D138),"",MID(K138,SEARCH("(",K138)+1,SEARCH(")",K138)-SEARCH("(",K138)-1)&amp;"-"&amp;MID(L138,SEARCH("(",L138)+1,SEARCH(")",L138)-SEARCH("(",L138)-1)&amp;"-"&amp;H138&amp;"-"&amp;TEXT(A138,"000")&amp;IF(ISBLANK(N138),"","-"&amp;SUBSTITUTE(N138," ","")))</f>
        <v/>
      </c>
      <c r="D138" s="9" t="n"/>
      <c r="E138" s="9" t="n"/>
      <c r="F138" s="9" t="n"/>
      <c r="G138" s="9" t="n"/>
      <c r="H138" s="13">
        <f>IF(ISBLANK(F138),"",IF(G138&lt;&gt;"",UPPER(TRIM(G138)),IF(ISNUMBER(SEARCH(" ",TRIM(F138))),UPPER(LEFT(TRIM(RIGHT(SUBSTITUTE(TRIM(F138)," ",REPT(" ",100)),100)),Settings!$B$9)),UPPER(LEFT(TRIM(F138),Settings!$B$9)))))</f>
        <v/>
      </c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15">
        <f>IF(ISBLANK(D138),"",IF(COUNTIFS(Circulation!$B$2:$B$500,A138,Circulation!$H$2:$H$500,"Active")&gt;0,"On Loan","Available"))</f>
        <v/>
      </c>
      <c r="AA138" s="9" t="n"/>
      <c r="AB138" s="9" t="n"/>
      <c r="AC138" s="9" t="n"/>
      <c r="AD138" s="9" t="n"/>
      <c r="AE138" s="9" t="n"/>
      <c r="AF138" s="9" t="n"/>
      <c r="AG138" s="9" t="n"/>
    </row>
    <row r="139">
      <c r="A139" s="13">
        <f>IF(ISBLANK(D139),"",ROW()-1)</f>
        <v/>
      </c>
      <c r="B139" s="14" t="n"/>
      <c r="C139" s="13">
        <f>IF(ISBLANK(D139),"",MID(K139,SEARCH("(",K139)+1,SEARCH(")",K139)-SEARCH("(",K139)-1)&amp;"-"&amp;MID(L139,SEARCH("(",L139)+1,SEARCH(")",L139)-SEARCH("(",L139)-1)&amp;"-"&amp;H139&amp;"-"&amp;TEXT(A139,"000")&amp;IF(ISBLANK(N139),"","-"&amp;SUBSTITUTE(N139," ","")))</f>
        <v/>
      </c>
      <c r="D139" s="9" t="n"/>
      <c r="E139" s="9" t="n"/>
      <c r="F139" s="9" t="n"/>
      <c r="G139" s="9" t="n"/>
      <c r="H139" s="13">
        <f>IF(ISBLANK(F139),"",IF(G139&lt;&gt;"",UPPER(TRIM(G139)),IF(ISNUMBER(SEARCH(" ",TRIM(F139))),UPPER(LEFT(TRIM(RIGHT(SUBSTITUTE(TRIM(F139)," ",REPT(" ",100)),100)),Settings!$B$9)),UPPER(LEFT(TRIM(F139),Settings!$B$9)))))</f>
        <v/>
      </c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15">
        <f>IF(ISBLANK(D139),"",IF(COUNTIFS(Circulation!$B$2:$B$500,A139,Circulation!$H$2:$H$500,"Active")&gt;0,"On Loan","Available"))</f>
        <v/>
      </c>
      <c r="AA139" s="9" t="n"/>
      <c r="AB139" s="9" t="n"/>
      <c r="AC139" s="9" t="n"/>
      <c r="AD139" s="9" t="n"/>
      <c r="AE139" s="9" t="n"/>
      <c r="AF139" s="9" t="n"/>
      <c r="AG139" s="9" t="n"/>
    </row>
    <row r="140">
      <c r="A140" s="13">
        <f>IF(ISBLANK(D140),"",ROW()-1)</f>
        <v/>
      </c>
      <c r="B140" s="14" t="n"/>
      <c r="C140" s="13">
        <f>IF(ISBLANK(D140),"",MID(K140,SEARCH("(",K140)+1,SEARCH(")",K140)-SEARCH("(",K140)-1)&amp;"-"&amp;MID(L140,SEARCH("(",L140)+1,SEARCH(")",L140)-SEARCH("(",L140)-1)&amp;"-"&amp;H140&amp;"-"&amp;TEXT(A140,"000")&amp;IF(ISBLANK(N140),"","-"&amp;SUBSTITUTE(N140," ","")))</f>
        <v/>
      </c>
      <c r="D140" s="9" t="n"/>
      <c r="E140" s="9" t="n"/>
      <c r="F140" s="9" t="n"/>
      <c r="G140" s="9" t="n"/>
      <c r="H140" s="13">
        <f>IF(ISBLANK(F140),"",IF(G140&lt;&gt;"",UPPER(TRIM(G140)),IF(ISNUMBER(SEARCH(" ",TRIM(F140))),UPPER(LEFT(TRIM(RIGHT(SUBSTITUTE(TRIM(F140)," ",REPT(" ",100)),100)),Settings!$B$9)),UPPER(LEFT(TRIM(F140),Settings!$B$9)))))</f>
        <v/>
      </c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15">
        <f>IF(ISBLANK(D140),"",IF(COUNTIFS(Circulation!$B$2:$B$500,A140,Circulation!$H$2:$H$500,"Active")&gt;0,"On Loan","Available"))</f>
        <v/>
      </c>
      <c r="AA140" s="9" t="n"/>
      <c r="AB140" s="9" t="n"/>
      <c r="AC140" s="9" t="n"/>
      <c r="AD140" s="9" t="n"/>
      <c r="AE140" s="9" t="n"/>
      <c r="AF140" s="9" t="n"/>
      <c r="AG140" s="9" t="n"/>
    </row>
    <row r="141">
      <c r="A141" s="13">
        <f>IF(ISBLANK(D141),"",ROW()-1)</f>
        <v/>
      </c>
      <c r="B141" s="14" t="n"/>
      <c r="C141" s="13">
        <f>IF(ISBLANK(D141),"",MID(K141,SEARCH("(",K141)+1,SEARCH(")",K141)-SEARCH("(",K141)-1)&amp;"-"&amp;MID(L141,SEARCH("(",L141)+1,SEARCH(")",L141)-SEARCH("(",L141)-1)&amp;"-"&amp;H141&amp;"-"&amp;TEXT(A141,"000")&amp;IF(ISBLANK(N141),"","-"&amp;SUBSTITUTE(N141," ","")))</f>
        <v/>
      </c>
      <c r="D141" s="9" t="n"/>
      <c r="E141" s="9" t="n"/>
      <c r="F141" s="9" t="n"/>
      <c r="G141" s="9" t="n"/>
      <c r="H141" s="13">
        <f>IF(ISBLANK(F141),"",IF(G141&lt;&gt;"",UPPER(TRIM(G141)),IF(ISNUMBER(SEARCH(" ",TRIM(F141))),UPPER(LEFT(TRIM(RIGHT(SUBSTITUTE(TRIM(F141)," ",REPT(" ",100)),100)),Settings!$B$9)),UPPER(LEFT(TRIM(F141),Settings!$B$9)))))</f>
        <v/>
      </c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15">
        <f>IF(ISBLANK(D141),"",IF(COUNTIFS(Circulation!$B$2:$B$500,A141,Circulation!$H$2:$H$500,"Active")&gt;0,"On Loan","Available"))</f>
        <v/>
      </c>
      <c r="AA141" s="9" t="n"/>
      <c r="AB141" s="9" t="n"/>
      <c r="AC141" s="9" t="n"/>
      <c r="AD141" s="9" t="n"/>
      <c r="AE141" s="9" t="n"/>
      <c r="AF141" s="9" t="n"/>
      <c r="AG141" s="9" t="n"/>
    </row>
    <row r="142">
      <c r="A142" s="13">
        <f>IF(ISBLANK(D142),"",ROW()-1)</f>
        <v/>
      </c>
      <c r="B142" s="14" t="n"/>
      <c r="C142" s="13">
        <f>IF(ISBLANK(D142),"",MID(K142,SEARCH("(",K142)+1,SEARCH(")",K142)-SEARCH("(",K142)-1)&amp;"-"&amp;MID(L142,SEARCH("(",L142)+1,SEARCH(")",L142)-SEARCH("(",L142)-1)&amp;"-"&amp;H142&amp;"-"&amp;TEXT(A142,"000")&amp;IF(ISBLANK(N142),"","-"&amp;SUBSTITUTE(N142," ","")))</f>
        <v/>
      </c>
      <c r="D142" s="9" t="n"/>
      <c r="E142" s="9" t="n"/>
      <c r="F142" s="9" t="n"/>
      <c r="G142" s="9" t="n"/>
      <c r="H142" s="13">
        <f>IF(ISBLANK(F142),"",IF(G142&lt;&gt;"",UPPER(TRIM(G142)),IF(ISNUMBER(SEARCH(" ",TRIM(F142))),UPPER(LEFT(TRIM(RIGHT(SUBSTITUTE(TRIM(F142)," ",REPT(" ",100)),100)),Settings!$B$9)),UPPER(LEFT(TRIM(F142),Settings!$B$9)))))</f>
        <v/>
      </c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15">
        <f>IF(ISBLANK(D142),"",IF(COUNTIFS(Circulation!$B$2:$B$500,A142,Circulation!$H$2:$H$500,"Active")&gt;0,"On Loan","Available"))</f>
        <v/>
      </c>
      <c r="AA142" s="9" t="n"/>
      <c r="AB142" s="9" t="n"/>
      <c r="AC142" s="9" t="n"/>
      <c r="AD142" s="9" t="n"/>
      <c r="AE142" s="9" t="n"/>
      <c r="AF142" s="9" t="n"/>
      <c r="AG142" s="9" t="n"/>
    </row>
    <row r="143">
      <c r="A143" s="13">
        <f>IF(ISBLANK(D143),"",ROW()-1)</f>
        <v/>
      </c>
      <c r="B143" s="14" t="n"/>
      <c r="C143" s="13">
        <f>IF(ISBLANK(D143),"",MID(K143,SEARCH("(",K143)+1,SEARCH(")",K143)-SEARCH("(",K143)-1)&amp;"-"&amp;MID(L143,SEARCH("(",L143)+1,SEARCH(")",L143)-SEARCH("(",L143)-1)&amp;"-"&amp;H143&amp;"-"&amp;TEXT(A143,"000")&amp;IF(ISBLANK(N143),"","-"&amp;SUBSTITUTE(N143," ","")))</f>
        <v/>
      </c>
      <c r="D143" s="9" t="n"/>
      <c r="E143" s="9" t="n"/>
      <c r="F143" s="9" t="n"/>
      <c r="G143" s="9" t="n"/>
      <c r="H143" s="13">
        <f>IF(ISBLANK(F143),"",IF(G143&lt;&gt;"",UPPER(TRIM(G143)),IF(ISNUMBER(SEARCH(" ",TRIM(F143))),UPPER(LEFT(TRIM(RIGHT(SUBSTITUTE(TRIM(F143)," ",REPT(" ",100)),100)),Settings!$B$9)),UPPER(LEFT(TRIM(F143),Settings!$B$9)))))</f>
        <v/>
      </c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15">
        <f>IF(ISBLANK(D143),"",IF(COUNTIFS(Circulation!$B$2:$B$500,A143,Circulation!$H$2:$H$500,"Active")&gt;0,"On Loan","Available"))</f>
        <v/>
      </c>
      <c r="AA143" s="9" t="n"/>
      <c r="AB143" s="9" t="n"/>
      <c r="AC143" s="9" t="n"/>
      <c r="AD143" s="9" t="n"/>
      <c r="AE143" s="9" t="n"/>
      <c r="AF143" s="9" t="n"/>
      <c r="AG143" s="9" t="n"/>
    </row>
    <row r="144">
      <c r="A144" s="13">
        <f>IF(ISBLANK(D144),"",ROW()-1)</f>
        <v/>
      </c>
      <c r="B144" s="14" t="n"/>
      <c r="C144" s="13">
        <f>IF(ISBLANK(D144),"",MID(K144,SEARCH("(",K144)+1,SEARCH(")",K144)-SEARCH("(",K144)-1)&amp;"-"&amp;MID(L144,SEARCH("(",L144)+1,SEARCH(")",L144)-SEARCH("(",L144)-1)&amp;"-"&amp;H144&amp;"-"&amp;TEXT(A144,"000")&amp;IF(ISBLANK(N144),"","-"&amp;SUBSTITUTE(N144," ","")))</f>
        <v/>
      </c>
      <c r="D144" s="9" t="n"/>
      <c r="E144" s="9" t="n"/>
      <c r="F144" s="9" t="n"/>
      <c r="G144" s="9" t="n"/>
      <c r="H144" s="13">
        <f>IF(ISBLANK(F144),"",IF(G144&lt;&gt;"",UPPER(TRIM(G144)),IF(ISNUMBER(SEARCH(" ",TRIM(F144))),UPPER(LEFT(TRIM(RIGHT(SUBSTITUTE(TRIM(F144)," ",REPT(" ",100)),100)),Settings!$B$9)),UPPER(LEFT(TRIM(F144),Settings!$B$9)))))</f>
        <v/>
      </c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15">
        <f>IF(ISBLANK(D144),"",IF(COUNTIFS(Circulation!$B$2:$B$500,A144,Circulation!$H$2:$H$500,"Active")&gt;0,"On Loan","Available"))</f>
        <v/>
      </c>
      <c r="AA144" s="9" t="n"/>
      <c r="AB144" s="9" t="n"/>
      <c r="AC144" s="9" t="n"/>
      <c r="AD144" s="9" t="n"/>
      <c r="AE144" s="9" t="n"/>
      <c r="AF144" s="9" t="n"/>
      <c r="AG144" s="9" t="n"/>
    </row>
    <row r="145">
      <c r="A145" s="13">
        <f>IF(ISBLANK(D145),"",ROW()-1)</f>
        <v/>
      </c>
      <c r="B145" s="14" t="n"/>
      <c r="C145" s="13">
        <f>IF(ISBLANK(D145),"",MID(K145,SEARCH("(",K145)+1,SEARCH(")",K145)-SEARCH("(",K145)-1)&amp;"-"&amp;MID(L145,SEARCH("(",L145)+1,SEARCH(")",L145)-SEARCH("(",L145)-1)&amp;"-"&amp;H145&amp;"-"&amp;TEXT(A145,"000")&amp;IF(ISBLANK(N145),"","-"&amp;SUBSTITUTE(N145," ","")))</f>
        <v/>
      </c>
      <c r="D145" s="9" t="n"/>
      <c r="E145" s="9" t="n"/>
      <c r="F145" s="9" t="n"/>
      <c r="G145" s="9" t="n"/>
      <c r="H145" s="13">
        <f>IF(ISBLANK(F145),"",IF(G145&lt;&gt;"",UPPER(TRIM(G145)),IF(ISNUMBER(SEARCH(" ",TRIM(F145))),UPPER(LEFT(TRIM(RIGHT(SUBSTITUTE(TRIM(F145)," ",REPT(" ",100)),100)),Settings!$B$9)),UPPER(LEFT(TRIM(F145),Settings!$B$9)))))</f>
        <v/>
      </c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15">
        <f>IF(ISBLANK(D145),"",IF(COUNTIFS(Circulation!$B$2:$B$500,A145,Circulation!$H$2:$H$500,"Active")&gt;0,"On Loan","Available"))</f>
        <v/>
      </c>
      <c r="AA145" s="9" t="n"/>
      <c r="AB145" s="9" t="n"/>
      <c r="AC145" s="9" t="n"/>
      <c r="AD145" s="9" t="n"/>
      <c r="AE145" s="9" t="n"/>
      <c r="AF145" s="9" t="n"/>
      <c r="AG145" s="9" t="n"/>
    </row>
    <row r="146">
      <c r="A146" s="13">
        <f>IF(ISBLANK(D146),"",ROW()-1)</f>
        <v/>
      </c>
      <c r="B146" s="14" t="n"/>
      <c r="C146" s="13">
        <f>IF(ISBLANK(D146),"",MID(K146,SEARCH("(",K146)+1,SEARCH(")",K146)-SEARCH("(",K146)-1)&amp;"-"&amp;MID(L146,SEARCH("(",L146)+1,SEARCH(")",L146)-SEARCH("(",L146)-1)&amp;"-"&amp;H146&amp;"-"&amp;TEXT(A146,"000")&amp;IF(ISBLANK(N146),"","-"&amp;SUBSTITUTE(N146," ","")))</f>
        <v/>
      </c>
      <c r="D146" s="9" t="n"/>
      <c r="E146" s="9" t="n"/>
      <c r="F146" s="9" t="n"/>
      <c r="G146" s="9" t="n"/>
      <c r="H146" s="13">
        <f>IF(ISBLANK(F146),"",IF(G146&lt;&gt;"",UPPER(TRIM(G146)),IF(ISNUMBER(SEARCH(" ",TRIM(F146))),UPPER(LEFT(TRIM(RIGHT(SUBSTITUTE(TRIM(F146)," ",REPT(" ",100)),100)),Settings!$B$9)),UPPER(LEFT(TRIM(F146),Settings!$B$9)))))</f>
        <v/>
      </c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15">
        <f>IF(ISBLANK(D146),"",IF(COUNTIFS(Circulation!$B$2:$B$500,A146,Circulation!$H$2:$H$500,"Active")&gt;0,"On Loan","Available"))</f>
        <v/>
      </c>
      <c r="AA146" s="9" t="n"/>
      <c r="AB146" s="9" t="n"/>
      <c r="AC146" s="9" t="n"/>
      <c r="AD146" s="9" t="n"/>
      <c r="AE146" s="9" t="n"/>
      <c r="AF146" s="9" t="n"/>
      <c r="AG146" s="9" t="n"/>
    </row>
    <row r="147">
      <c r="A147" s="13">
        <f>IF(ISBLANK(D147),"",ROW()-1)</f>
        <v/>
      </c>
      <c r="B147" s="14" t="n"/>
      <c r="C147" s="13">
        <f>IF(ISBLANK(D147),"",MID(K147,SEARCH("(",K147)+1,SEARCH(")",K147)-SEARCH("(",K147)-1)&amp;"-"&amp;MID(L147,SEARCH("(",L147)+1,SEARCH(")",L147)-SEARCH("(",L147)-1)&amp;"-"&amp;H147&amp;"-"&amp;TEXT(A147,"000")&amp;IF(ISBLANK(N147),"","-"&amp;SUBSTITUTE(N147," ","")))</f>
        <v/>
      </c>
      <c r="D147" s="9" t="n"/>
      <c r="E147" s="9" t="n"/>
      <c r="F147" s="9" t="n"/>
      <c r="G147" s="9" t="n"/>
      <c r="H147" s="13">
        <f>IF(ISBLANK(F147),"",IF(G147&lt;&gt;"",UPPER(TRIM(G147)),IF(ISNUMBER(SEARCH(" ",TRIM(F147))),UPPER(LEFT(TRIM(RIGHT(SUBSTITUTE(TRIM(F147)," ",REPT(" ",100)),100)),Settings!$B$9)),UPPER(LEFT(TRIM(F147),Settings!$B$9)))))</f>
        <v/>
      </c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15">
        <f>IF(ISBLANK(D147),"",IF(COUNTIFS(Circulation!$B$2:$B$500,A147,Circulation!$H$2:$H$500,"Active")&gt;0,"On Loan","Available"))</f>
        <v/>
      </c>
      <c r="AA147" s="9" t="n"/>
      <c r="AB147" s="9" t="n"/>
      <c r="AC147" s="9" t="n"/>
      <c r="AD147" s="9" t="n"/>
      <c r="AE147" s="9" t="n"/>
      <c r="AF147" s="9" t="n"/>
      <c r="AG147" s="9" t="n"/>
    </row>
    <row r="148">
      <c r="A148" s="13">
        <f>IF(ISBLANK(D148),"",ROW()-1)</f>
        <v/>
      </c>
      <c r="B148" s="14" t="n"/>
      <c r="C148" s="13">
        <f>IF(ISBLANK(D148),"",MID(K148,SEARCH("(",K148)+1,SEARCH(")",K148)-SEARCH("(",K148)-1)&amp;"-"&amp;MID(L148,SEARCH("(",L148)+1,SEARCH(")",L148)-SEARCH("(",L148)-1)&amp;"-"&amp;H148&amp;"-"&amp;TEXT(A148,"000")&amp;IF(ISBLANK(N148),"","-"&amp;SUBSTITUTE(N148," ","")))</f>
        <v/>
      </c>
      <c r="D148" s="9" t="n"/>
      <c r="E148" s="9" t="n"/>
      <c r="F148" s="9" t="n"/>
      <c r="G148" s="9" t="n"/>
      <c r="H148" s="13">
        <f>IF(ISBLANK(F148),"",IF(G148&lt;&gt;"",UPPER(TRIM(G148)),IF(ISNUMBER(SEARCH(" ",TRIM(F148))),UPPER(LEFT(TRIM(RIGHT(SUBSTITUTE(TRIM(F148)," ",REPT(" ",100)),100)),Settings!$B$9)),UPPER(LEFT(TRIM(F148),Settings!$B$9)))))</f>
        <v/>
      </c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15">
        <f>IF(ISBLANK(D148),"",IF(COUNTIFS(Circulation!$B$2:$B$500,A148,Circulation!$H$2:$H$500,"Active")&gt;0,"On Loan","Available"))</f>
        <v/>
      </c>
      <c r="AA148" s="9" t="n"/>
      <c r="AB148" s="9" t="n"/>
      <c r="AC148" s="9" t="n"/>
      <c r="AD148" s="9" t="n"/>
      <c r="AE148" s="9" t="n"/>
      <c r="AF148" s="9" t="n"/>
      <c r="AG148" s="9" t="n"/>
    </row>
    <row r="149">
      <c r="A149" s="13">
        <f>IF(ISBLANK(D149),"",ROW()-1)</f>
        <v/>
      </c>
      <c r="B149" s="14" t="n"/>
      <c r="C149" s="13">
        <f>IF(ISBLANK(D149),"",MID(K149,SEARCH("(",K149)+1,SEARCH(")",K149)-SEARCH("(",K149)-1)&amp;"-"&amp;MID(L149,SEARCH("(",L149)+1,SEARCH(")",L149)-SEARCH("(",L149)-1)&amp;"-"&amp;H149&amp;"-"&amp;TEXT(A149,"000")&amp;IF(ISBLANK(N149),"","-"&amp;SUBSTITUTE(N149," ","")))</f>
        <v/>
      </c>
      <c r="D149" s="9" t="n"/>
      <c r="E149" s="9" t="n"/>
      <c r="F149" s="9" t="n"/>
      <c r="G149" s="9" t="n"/>
      <c r="H149" s="13">
        <f>IF(ISBLANK(F149),"",IF(G149&lt;&gt;"",UPPER(TRIM(G149)),IF(ISNUMBER(SEARCH(" ",TRIM(F149))),UPPER(LEFT(TRIM(RIGHT(SUBSTITUTE(TRIM(F149)," ",REPT(" ",100)),100)),Settings!$B$9)),UPPER(LEFT(TRIM(F149),Settings!$B$9)))))</f>
        <v/>
      </c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15">
        <f>IF(ISBLANK(D149),"",IF(COUNTIFS(Circulation!$B$2:$B$500,A149,Circulation!$H$2:$H$500,"Active")&gt;0,"On Loan","Available"))</f>
        <v/>
      </c>
      <c r="AA149" s="9" t="n"/>
      <c r="AB149" s="9" t="n"/>
      <c r="AC149" s="9" t="n"/>
      <c r="AD149" s="9" t="n"/>
      <c r="AE149" s="9" t="n"/>
      <c r="AF149" s="9" t="n"/>
      <c r="AG149" s="9" t="n"/>
    </row>
    <row r="150">
      <c r="A150" s="13">
        <f>IF(ISBLANK(D150),"",ROW()-1)</f>
        <v/>
      </c>
      <c r="B150" s="14" t="n"/>
      <c r="C150" s="13">
        <f>IF(ISBLANK(D150),"",MID(K150,SEARCH("(",K150)+1,SEARCH(")",K150)-SEARCH("(",K150)-1)&amp;"-"&amp;MID(L150,SEARCH("(",L150)+1,SEARCH(")",L150)-SEARCH("(",L150)-1)&amp;"-"&amp;H150&amp;"-"&amp;TEXT(A150,"000")&amp;IF(ISBLANK(N150),"","-"&amp;SUBSTITUTE(N150," ","")))</f>
        <v/>
      </c>
      <c r="D150" s="9" t="n"/>
      <c r="E150" s="9" t="n"/>
      <c r="F150" s="9" t="n"/>
      <c r="G150" s="9" t="n"/>
      <c r="H150" s="13">
        <f>IF(ISBLANK(F150),"",IF(G150&lt;&gt;"",UPPER(TRIM(G150)),IF(ISNUMBER(SEARCH(" ",TRIM(F150))),UPPER(LEFT(TRIM(RIGHT(SUBSTITUTE(TRIM(F150)," ",REPT(" ",100)),100)),Settings!$B$9)),UPPER(LEFT(TRIM(F150),Settings!$B$9)))))</f>
        <v/>
      </c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15">
        <f>IF(ISBLANK(D150),"",IF(COUNTIFS(Circulation!$B$2:$B$500,A150,Circulation!$H$2:$H$500,"Active")&gt;0,"On Loan","Available"))</f>
        <v/>
      </c>
      <c r="AA150" s="9" t="n"/>
      <c r="AB150" s="9" t="n"/>
      <c r="AC150" s="9" t="n"/>
      <c r="AD150" s="9" t="n"/>
      <c r="AE150" s="9" t="n"/>
      <c r="AF150" s="9" t="n"/>
      <c r="AG150" s="9" t="n"/>
    </row>
    <row r="151">
      <c r="A151" s="13">
        <f>IF(ISBLANK(D151),"",ROW()-1)</f>
        <v/>
      </c>
      <c r="B151" s="14" t="n"/>
      <c r="C151" s="13">
        <f>IF(ISBLANK(D151),"",MID(K151,SEARCH("(",K151)+1,SEARCH(")",K151)-SEARCH("(",K151)-1)&amp;"-"&amp;MID(L151,SEARCH("(",L151)+1,SEARCH(")",L151)-SEARCH("(",L151)-1)&amp;"-"&amp;H151&amp;"-"&amp;TEXT(A151,"000")&amp;IF(ISBLANK(N151),"","-"&amp;SUBSTITUTE(N151," ","")))</f>
        <v/>
      </c>
      <c r="D151" s="9" t="n"/>
      <c r="E151" s="9" t="n"/>
      <c r="F151" s="9" t="n"/>
      <c r="G151" s="9" t="n"/>
      <c r="H151" s="13">
        <f>IF(ISBLANK(F151),"",IF(G151&lt;&gt;"",UPPER(TRIM(G151)),IF(ISNUMBER(SEARCH(" ",TRIM(F151))),UPPER(LEFT(TRIM(RIGHT(SUBSTITUTE(TRIM(F151)," ",REPT(" ",100)),100)),Settings!$B$9)),UPPER(LEFT(TRIM(F151),Settings!$B$9)))))</f>
        <v/>
      </c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15">
        <f>IF(ISBLANK(D151),"",IF(COUNTIFS(Circulation!$B$2:$B$500,A151,Circulation!$H$2:$H$500,"Active")&gt;0,"On Loan","Available"))</f>
        <v/>
      </c>
      <c r="AA151" s="9" t="n"/>
      <c r="AB151" s="9" t="n"/>
      <c r="AC151" s="9" t="n"/>
      <c r="AD151" s="9" t="n"/>
      <c r="AE151" s="9" t="n"/>
      <c r="AF151" s="9" t="n"/>
      <c r="AG151" s="9" t="n"/>
    </row>
    <row r="152">
      <c r="A152" s="13">
        <f>IF(ISBLANK(D152),"",ROW()-1)</f>
        <v/>
      </c>
      <c r="B152" s="14" t="n"/>
      <c r="C152" s="13">
        <f>IF(ISBLANK(D152),"",MID(K152,SEARCH("(",K152)+1,SEARCH(")",K152)-SEARCH("(",K152)-1)&amp;"-"&amp;MID(L152,SEARCH("(",L152)+1,SEARCH(")",L152)-SEARCH("(",L152)-1)&amp;"-"&amp;H152&amp;"-"&amp;TEXT(A152,"000")&amp;IF(ISBLANK(N152),"","-"&amp;SUBSTITUTE(N152," ","")))</f>
        <v/>
      </c>
      <c r="D152" s="9" t="n"/>
      <c r="E152" s="9" t="n"/>
      <c r="F152" s="9" t="n"/>
      <c r="G152" s="9" t="n"/>
      <c r="H152" s="13">
        <f>IF(ISBLANK(F152),"",IF(G152&lt;&gt;"",UPPER(TRIM(G152)),IF(ISNUMBER(SEARCH(" ",TRIM(F152))),UPPER(LEFT(TRIM(RIGHT(SUBSTITUTE(TRIM(F152)," ",REPT(" ",100)),100)),Settings!$B$9)),UPPER(LEFT(TRIM(F152),Settings!$B$9)))))</f>
        <v/>
      </c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15">
        <f>IF(ISBLANK(D152),"",IF(COUNTIFS(Circulation!$B$2:$B$500,A152,Circulation!$H$2:$H$500,"Active")&gt;0,"On Loan","Available"))</f>
        <v/>
      </c>
      <c r="AA152" s="9" t="n"/>
      <c r="AB152" s="9" t="n"/>
      <c r="AC152" s="9" t="n"/>
      <c r="AD152" s="9" t="n"/>
      <c r="AE152" s="9" t="n"/>
      <c r="AF152" s="9" t="n"/>
      <c r="AG152" s="9" t="n"/>
    </row>
    <row r="153">
      <c r="A153" s="13">
        <f>IF(ISBLANK(D153),"",ROW()-1)</f>
        <v/>
      </c>
      <c r="B153" s="14" t="n"/>
      <c r="C153" s="13">
        <f>IF(ISBLANK(D153),"",MID(K153,SEARCH("(",K153)+1,SEARCH(")",K153)-SEARCH("(",K153)-1)&amp;"-"&amp;MID(L153,SEARCH("(",L153)+1,SEARCH(")",L153)-SEARCH("(",L153)-1)&amp;"-"&amp;H153&amp;"-"&amp;TEXT(A153,"000")&amp;IF(ISBLANK(N153),"","-"&amp;SUBSTITUTE(N153," ","")))</f>
        <v/>
      </c>
      <c r="D153" s="9" t="n"/>
      <c r="E153" s="9" t="n"/>
      <c r="F153" s="9" t="n"/>
      <c r="G153" s="9" t="n"/>
      <c r="H153" s="13">
        <f>IF(ISBLANK(F153),"",IF(G153&lt;&gt;"",UPPER(TRIM(G153)),IF(ISNUMBER(SEARCH(" ",TRIM(F153))),UPPER(LEFT(TRIM(RIGHT(SUBSTITUTE(TRIM(F153)," ",REPT(" ",100)),100)),Settings!$B$9)),UPPER(LEFT(TRIM(F153),Settings!$B$9)))))</f>
        <v/>
      </c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15">
        <f>IF(ISBLANK(D153),"",IF(COUNTIFS(Circulation!$B$2:$B$500,A153,Circulation!$H$2:$H$500,"Active")&gt;0,"On Loan","Available"))</f>
        <v/>
      </c>
      <c r="AA153" s="9" t="n"/>
      <c r="AB153" s="9" t="n"/>
      <c r="AC153" s="9" t="n"/>
      <c r="AD153" s="9" t="n"/>
      <c r="AE153" s="9" t="n"/>
      <c r="AF153" s="9" t="n"/>
      <c r="AG153" s="9" t="n"/>
    </row>
    <row r="154">
      <c r="A154" s="13">
        <f>IF(ISBLANK(D154),"",ROW()-1)</f>
        <v/>
      </c>
      <c r="B154" s="14" t="n"/>
      <c r="C154" s="13">
        <f>IF(ISBLANK(D154),"",MID(K154,SEARCH("(",K154)+1,SEARCH(")",K154)-SEARCH("(",K154)-1)&amp;"-"&amp;MID(L154,SEARCH("(",L154)+1,SEARCH(")",L154)-SEARCH("(",L154)-1)&amp;"-"&amp;H154&amp;"-"&amp;TEXT(A154,"000")&amp;IF(ISBLANK(N154),"","-"&amp;SUBSTITUTE(N154," ","")))</f>
        <v/>
      </c>
      <c r="D154" s="9" t="n"/>
      <c r="E154" s="9" t="n"/>
      <c r="F154" s="9" t="n"/>
      <c r="G154" s="9" t="n"/>
      <c r="H154" s="13">
        <f>IF(ISBLANK(F154),"",IF(G154&lt;&gt;"",UPPER(TRIM(G154)),IF(ISNUMBER(SEARCH(" ",TRIM(F154))),UPPER(LEFT(TRIM(RIGHT(SUBSTITUTE(TRIM(F154)," ",REPT(" ",100)),100)),Settings!$B$9)),UPPER(LEFT(TRIM(F154),Settings!$B$9)))))</f>
        <v/>
      </c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15">
        <f>IF(ISBLANK(D154),"",IF(COUNTIFS(Circulation!$B$2:$B$500,A154,Circulation!$H$2:$H$500,"Active")&gt;0,"On Loan","Available"))</f>
        <v/>
      </c>
      <c r="AA154" s="9" t="n"/>
      <c r="AB154" s="9" t="n"/>
      <c r="AC154" s="9" t="n"/>
      <c r="AD154" s="9" t="n"/>
      <c r="AE154" s="9" t="n"/>
      <c r="AF154" s="9" t="n"/>
      <c r="AG154" s="9" t="n"/>
    </row>
    <row r="155">
      <c r="A155" s="13">
        <f>IF(ISBLANK(D155),"",ROW()-1)</f>
        <v/>
      </c>
      <c r="B155" s="14" t="n"/>
      <c r="C155" s="13">
        <f>IF(ISBLANK(D155),"",MID(K155,SEARCH("(",K155)+1,SEARCH(")",K155)-SEARCH("(",K155)-1)&amp;"-"&amp;MID(L155,SEARCH("(",L155)+1,SEARCH(")",L155)-SEARCH("(",L155)-1)&amp;"-"&amp;H155&amp;"-"&amp;TEXT(A155,"000")&amp;IF(ISBLANK(N155),"","-"&amp;SUBSTITUTE(N155," ","")))</f>
        <v/>
      </c>
      <c r="D155" s="9" t="n"/>
      <c r="E155" s="9" t="n"/>
      <c r="F155" s="9" t="n"/>
      <c r="G155" s="9" t="n"/>
      <c r="H155" s="13">
        <f>IF(ISBLANK(F155),"",IF(G155&lt;&gt;"",UPPER(TRIM(G155)),IF(ISNUMBER(SEARCH(" ",TRIM(F155))),UPPER(LEFT(TRIM(RIGHT(SUBSTITUTE(TRIM(F155)," ",REPT(" ",100)),100)),Settings!$B$9)),UPPER(LEFT(TRIM(F155),Settings!$B$9)))))</f>
        <v/>
      </c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15">
        <f>IF(ISBLANK(D155),"",IF(COUNTIFS(Circulation!$B$2:$B$500,A155,Circulation!$H$2:$H$500,"Active")&gt;0,"On Loan","Available"))</f>
        <v/>
      </c>
      <c r="AA155" s="9" t="n"/>
      <c r="AB155" s="9" t="n"/>
      <c r="AC155" s="9" t="n"/>
      <c r="AD155" s="9" t="n"/>
      <c r="AE155" s="9" t="n"/>
      <c r="AF155" s="9" t="n"/>
      <c r="AG155" s="9" t="n"/>
    </row>
    <row r="156">
      <c r="A156" s="13">
        <f>IF(ISBLANK(D156),"",ROW()-1)</f>
        <v/>
      </c>
      <c r="B156" s="14" t="n"/>
      <c r="C156" s="13">
        <f>IF(ISBLANK(D156),"",MID(K156,SEARCH("(",K156)+1,SEARCH(")",K156)-SEARCH("(",K156)-1)&amp;"-"&amp;MID(L156,SEARCH("(",L156)+1,SEARCH(")",L156)-SEARCH("(",L156)-1)&amp;"-"&amp;H156&amp;"-"&amp;TEXT(A156,"000")&amp;IF(ISBLANK(N156),"","-"&amp;SUBSTITUTE(N156," ","")))</f>
        <v/>
      </c>
      <c r="D156" s="9" t="n"/>
      <c r="E156" s="9" t="n"/>
      <c r="F156" s="9" t="n"/>
      <c r="G156" s="9" t="n"/>
      <c r="H156" s="13">
        <f>IF(ISBLANK(F156),"",IF(G156&lt;&gt;"",UPPER(TRIM(G156)),IF(ISNUMBER(SEARCH(" ",TRIM(F156))),UPPER(LEFT(TRIM(RIGHT(SUBSTITUTE(TRIM(F156)," ",REPT(" ",100)),100)),Settings!$B$9)),UPPER(LEFT(TRIM(F156),Settings!$B$9)))))</f>
        <v/>
      </c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15">
        <f>IF(ISBLANK(D156),"",IF(COUNTIFS(Circulation!$B$2:$B$500,A156,Circulation!$H$2:$H$500,"Active")&gt;0,"On Loan","Available"))</f>
        <v/>
      </c>
      <c r="AA156" s="9" t="n"/>
      <c r="AB156" s="9" t="n"/>
      <c r="AC156" s="9" t="n"/>
      <c r="AD156" s="9" t="n"/>
      <c r="AE156" s="9" t="n"/>
      <c r="AF156" s="9" t="n"/>
      <c r="AG156" s="9" t="n"/>
    </row>
    <row r="157">
      <c r="A157" s="13">
        <f>IF(ISBLANK(D157),"",ROW()-1)</f>
        <v/>
      </c>
      <c r="B157" s="14" t="n"/>
      <c r="C157" s="13">
        <f>IF(ISBLANK(D157),"",MID(K157,SEARCH("(",K157)+1,SEARCH(")",K157)-SEARCH("(",K157)-1)&amp;"-"&amp;MID(L157,SEARCH("(",L157)+1,SEARCH(")",L157)-SEARCH("(",L157)-1)&amp;"-"&amp;H157&amp;"-"&amp;TEXT(A157,"000")&amp;IF(ISBLANK(N157),"","-"&amp;SUBSTITUTE(N157," ","")))</f>
        <v/>
      </c>
      <c r="D157" s="9" t="n"/>
      <c r="E157" s="9" t="n"/>
      <c r="F157" s="9" t="n"/>
      <c r="G157" s="9" t="n"/>
      <c r="H157" s="13">
        <f>IF(ISBLANK(F157),"",IF(G157&lt;&gt;"",UPPER(TRIM(G157)),IF(ISNUMBER(SEARCH(" ",TRIM(F157))),UPPER(LEFT(TRIM(RIGHT(SUBSTITUTE(TRIM(F157)," ",REPT(" ",100)),100)),Settings!$B$9)),UPPER(LEFT(TRIM(F157),Settings!$B$9)))))</f>
        <v/>
      </c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15">
        <f>IF(ISBLANK(D157),"",IF(COUNTIFS(Circulation!$B$2:$B$500,A157,Circulation!$H$2:$H$500,"Active")&gt;0,"On Loan","Available"))</f>
        <v/>
      </c>
      <c r="AA157" s="9" t="n"/>
      <c r="AB157" s="9" t="n"/>
      <c r="AC157" s="9" t="n"/>
      <c r="AD157" s="9" t="n"/>
      <c r="AE157" s="9" t="n"/>
      <c r="AF157" s="9" t="n"/>
      <c r="AG157" s="9" t="n"/>
    </row>
    <row r="158">
      <c r="A158" s="13">
        <f>IF(ISBLANK(D158),"",ROW()-1)</f>
        <v/>
      </c>
      <c r="B158" s="14" t="n"/>
      <c r="C158" s="13">
        <f>IF(ISBLANK(D158),"",MID(K158,SEARCH("(",K158)+1,SEARCH(")",K158)-SEARCH("(",K158)-1)&amp;"-"&amp;MID(L158,SEARCH("(",L158)+1,SEARCH(")",L158)-SEARCH("(",L158)-1)&amp;"-"&amp;H158&amp;"-"&amp;TEXT(A158,"000")&amp;IF(ISBLANK(N158),"","-"&amp;SUBSTITUTE(N158," ","")))</f>
        <v/>
      </c>
      <c r="D158" s="9" t="n"/>
      <c r="E158" s="9" t="n"/>
      <c r="F158" s="9" t="n"/>
      <c r="G158" s="9" t="n"/>
      <c r="H158" s="13">
        <f>IF(ISBLANK(F158),"",IF(G158&lt;&gt;"",UPPER(TRIM(G158)),IF(ISNUMBER(SEARCH(" ",TRIM(F158))),UPPER(LEFT(TRIM(RIGHT(SUBSTITUTE(TRIM(F158)," ",REPT(" ",100)),100)),Settings!$B$9)),UPPER(LEFT(TRIM(F158),Settings!$B$9)))))</f>
        <v/>
      </c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15">
        <f>IF(ISBLANK(D158),"",IF(COUNTIFS(Circulation!$B$2:$B$500,A158,Circulation!$H$2:$H$500,"Active")&gt;0,"On Loan","Available"))</f>
        <v/>
      </c>
      <c r="AA158" s="9" t="n"/>
      <c r="AB158" s="9" t="n"/>
      <c r="AC158" s="9" t="n"/>
      <c r="AD158" s="9" t="n"/>
      <c r="AE158" s="9" t="n"/>
      <c r="AF158" s="9" t="n"/>
      <c r="AG158" s="9" t="n"/>
    </row>
    <row r="159">
      <c r="A159" s="13">
        <f>IF(ISBLANK(D159),"",ROW()-1)</f>
        <v/>
      </c>
      <c r="B159" s="14" t="n"/>
      <c r="C159" s="13">
        <f>IF(ISBLANK(D159),"",MID(K159,SEARCH("(",K159)+1,SEARCH(")",K159)-SEARCH("(",K159)-1)&amp;"-"&amp;MID(L159,SEARCH("(",L159)+1,SEARCH(")",L159)-SEARCH("(",L159)-1)&amp;"-"&amp;H159&amp;"-"&amp;TEXT(A159,"000")&amp;IF(ISBLANK(N159),"","-"&amp;SUBSTITUTE(N159," ","")))</f>
        <v/>
      </c>
      <c r="D159" s="9" t="n"/>
      <c r="E159" s="9" t="n"/>
      <c r="F159" s="9" t="n"/>
      <c r="G159" s="9" t="n"/>
      <c r="H159" s="13">
        <f>IF(ISBLANK(F159),"",IF(G159&lt;&gt;"",UPPER(TRIM(G159)),IF(ISNUMBER(SEARCH(" ",TRIM(F159))),UPPER(LEFT(TRIM(RIGHT(SUBSTITUTE(TRIM(F159)," ",REPT(" ",100)),100)),Settings!$B$9)),UPPER(LEFT(TRIM(F159),Settings!$B$9)))))</f>
        <v/>
      </c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15">
        <f>IF(ISBLANK(D159),"",IF(COUNTIFS(Circulation!$B$2:$B$500,A159,Circulation!$H$2:$H$500,"Active")&gt;0,"On Loan","Available"))</f>
        <v/>
      </c>
      <c r="AA159" s="9" t="n"/>
      <c r="AB159" s="9" t="n"/>
      <c r="AC159" s="9" t="n"/>
      <c r="AD159" s="9" t="n"/>
      <c r="AE159" s="9" t="n"/>
      <c r="AF159" s="9" t="n"/>
      <c r="AG159" s="9" t="n"/>
    </row>
    <row r="160">
      <c r="A160" s="13">
        <f>IF(ISBLANK(D160),"",ROW()-1)</f>
        <v/>
      </c>
      <c r="B160" s="14" t="n"/>
      <c r="C160" s="13">
        <f>IF(ISBLANK(D160),"",MID(K160,SEARCH("(",K160)+1,SEARCH(")",K160)-SEARCH("(",K160)-1)&amp;"-"&amp;MID(L160,SEARCH("(",L160)+1,SEARCH(")",L160)-SEARCH("(",L160)-1)&amp;"-"&amp;H160&amp;"-"&amp;TEXT(A160,"000")&amp;IF(ISBLANK(N160),"","-"&amp;SUBSTITUTE(N160," ","")))</f>
        <v/>
      </c>
      <c r="D160" s="9" t="n"/>
      <c r="E160" s="9" t="n"/>
      <c r="F160" s="9" t="n"/>
      <c r="G160" s="9" t="n"/>
      <c r="H160" s="13">
        <f>IF(ISBLANK(F160),"",IF(G160&lt;&gt;"",UPPER(TRIM(G160)),IF(ISNUMBER(SEARCH(" ",TRIM(F160))),UPPER(LEFT(TRIM(RIGHT(SUBSTITUTE(TRIM(F160)," ",REPT(" ",100)),100)),Settings!$B$9)),UPPER(LEFT(TRIM(F160),Settings!$B$9)))))</f>
        <v/>
      </c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15">
        <f>IF(ISBLANK(D160),"",IF(COUNTIFS(Circulation!$B$2:$B$500,A160,Circulation!$H$2:$H$500,"Active")&gt;0,"On Loan","Available"))</f>
        <v/>
      </c>
      <c r="AA160" s="9" t="n"/>
      <c r="AB160" s="9" t="n"/>
      <c r="AC160" s="9" t="n"/>
      <c r="AD160" s="9" t="n"/>
      <c r="AE160" s="9" t="n"/>
      <c r="AF160" s="9" t="n"/>
      <c r="AG160" s="9" t="n"/>
    </row>
    <row r="161">
      <c r="A161" s="13">
        <f>IF(ISBLANK(D161),"",ROW()-1)</f>
        <v/>
      </c>
      <c r="B161" s="14" t="n"/>
      <c r="C161" s="13">
        <f>IF(ISBLANK(D161),"",MID(K161,SEARCH("(",K161)+1,SEARCH(")",K161)-SEARCH("(",K161)-1)&amp;"-"&amp;MID(L161,SEARCH("(",L161)+1,SEARCH(")",L161)-SEARCH("(",L161)-1)&amp;"-"&amp;H161&amp;"-"&amp;TEXT(A161,"000")&amp;IF(ISBLANK(N161),"","-"&amp;SUBSTITUTE(N161," ","")))</f>
        <v/>
      </c>
      <c r="D161" s="9" t="n"/>
      <c r="E161" s="9" t="n"/>
      <c r="F161" s="9" t="n"/>
      <c r="G161" s="9" t="n"/>
      <c r="H161" s="13">
        <f>IF(ISBLANK(F161),"",IF(G161&lt;&gt;"",UPPER(TRIM(G161)),IF(ISNUMBER(SEARCH(" ",TRIM(F161))),UPPER(LEFT(TRIM(RIGHT(SUBSTITUTE(TRIM(F161)," ",REPT(" ",100)),100)),Settings!$B$9)),UPPER(LEFT(TRIM(F161),Settings!$B$9)))))</f>
        <v/>
      </c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15">
        <f>IF(ISBLANK(D161),"",IF(COUNTIFS(Circulation!$B$2:$B$500,A161,Circulation!$H$2:$H$500,"Active")&gt;0,"On Loan","Available"))</f>
        <v/>
      </c>
      <c r="AA161" s="9" t="n"/>
      <c r="AB161" s="9" t="n"/>
      <c r="AC161" s="9" t="n"/>
      <c r="AD161" s="9" t="n"/>
      <c r="AE161" s="9" t="n"/>
      <c r="AF161" s="9" t="n"/>
      <c r="AG161" s="9" t="n"/>
    </row>
    <row r="162">
      <c r="A162" s="13">
        <f>IF(ISBLANK(D162),"",ROW()-1)</f>
        <v/>
      </c>
      <c r="B162" s="14" t="n"/>
      <c r="C162" s="13">
        <f>IF(ISBLANK(D162),"",MID(K162,SEARCH("(",K162)+1,SEARCH(")",K162)-SEARCH("(",K162)-1)&amp;"-"&amp;MID(L162,SEARCH("(",L162)+1,SEARCH(")",L162)-SEARCH("(",L162)-1)&amp;"-"&amp;H162&amp;"-"&amp;TEXT(A162,"000")&amp;IF(ISBLANK(N162),"","-"&amp;SUBSTITUTE(N162," ","")))</f>
        <v/>
      </c>
      <c r="D162" s="9" t="n"/>
      <c r="E162" s="9" t="n"/>
      <c r="F162" s="9" t="n"/>
      <c r="G162" s="9" t="n"/>
      <c r="H162" s="13">
        <f>IF(ISBLANK(F162),"",IF(G162&lt;&gt;"",UPPER(TRIM(G162)),IF(ISNUMBER(SEARCH(" ",TRIM(F162))),UPPER(LEFT(TRIM(RIGHT(SUBSTITUTE(TRIM(F162)," ",REPT(" ",100)),100)),Settings!$B$9)),UPPER(LEFT(TRIM(F162),Settings!$B$9)))))</f>
        <v/>
      </c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15">
        <f>IF(ISBLANK(D162),"",IF(COUNTIFS(Circulation!$B$2:$B$500,A162,Circulation!$H$2:$H$500,"Active")&gt;0,"On Loan","Available"))</f>
        <v/>
      </c>
      <c r="AA162" s="9" t="n"/>
      <c r="AB162" s="9" t="n"/>
      <c r="AC162" s="9" t="n"/>
      <c r="AD162" s="9" t="n"/>
      <c r="AE162" s="9" t="n"/>
      <c r="AF162" s="9" t="n"/>
      <c r="AG162" s="9" t="n"/>
    </row>
    <row r="163">
      <c r="A163" s="13">
        <f>IF(ISBLANK(D163),"",ROW()-1)</f>
        <v/>
      </c>
      <c r="B163" s="14" t="n"/>
      <c r="C163" s="13">
        <f>IF(ISBLANK(D163),"",MID(K163,SEARCH("(",K163)+1,SEARCH(")",K163)-SEARCH("(",K163)-1)&amp;"-"&amp;MID(L163,SEARCH("(",L163)+1,SEARCH(")",L163)-SEARCH("(",L163)-1)&amp;"-"&amp;H163&amp;"-"&amp;TEXT(A163,"000")&amp;IF(ISBLANK(N163),"","-"&amp;SUBSTITUTE(N163," ","")))</f>
        <v/>
      </c>
      <c r="D163" s="9" t="n"/>
      <c r="E163" s="9" t="n"/>
      <c r="F163" s="9" t="n"/>
      <c r="G163" s="9" t="n"/>
      <c r="H163" s="13">
        <f>IF(ISBLANK(F163),"",IF(G163&lt;&gt;"",UPPER(TRIM(G163)),IF(ISNUMBER(SEARCH(" ",TRIM(F163))),UPPER(LEFT(TRIM(RIGHT(SUBSTITUTE(TRIM(F163)," ",REPT(" ",100)),100)),Settings!$B$9)),UPPER(LEFT(TRIM(F163),Settings!$B$9)))))</f>
        <v/>
      </c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15">
        <f>IF(ISBLANK(D163),"",IF(COUNTIFS(Circulation!$B$2:$B$500,A163,Circulation!$H$2:$H$500,"Active")&gt;0,"On Loan","Available"))</f>
        <v/>
      </c>
      <c r="AA163" s="9" t="n"/>
      <c r="AB163" s="9" t="n"/>
      <c r="AC163" s="9" t="n"/>
      <c r="AD163" s="9" t="n"/>
      <c r="AE163" s="9" t="n"/>
      <c r="AF163" s="9" t="n"/>
      <c r="AG163" s="9" t="n"/>
    </row>
    <row r="164">
      <c r="A164" s="13">
        <f>IF(ISBLANK(D164),"",ROW()-1)</f>
        <v/>
      </c>
      <c r="B164" s="14" t="n"/>
      <c r="C164" s="13">
        <f>IF(ISBLANK(D164),"",MID(K164,SEARCH("(",K164)+1,SEARCH(")",K164)-SEARCH("(",K164)-1)&amp;"-"&amp;MID(L164,SEARCH("(",L164)+1,SEARCH(")",L164)-SEARCH("(",L164)-1)&amp;"-"&amp;H164&amp;"-"&amp;TEXT(A164,"000")&amp;IF(ISBLANK(N164),"","-"&amp;SUBSTITUTE(N164," ","")))</f>
        <v/>
      </c>
      <c r="D164" s="9" t="n"/>
      <c r="E164" s="9" t="n"/>
      <c r="F164" s="9" t="n"/>
      <c r="G164" s="9" t="n"/>
      <c r="H164" s="13">
        <f>IF(ISBLANK(F164),"",IF(G164&lt;&gt;"",UPPER(TRIM(G164)),IF(ISNUMBER(SEARCH(" ",TRIM(F164))),UPPER(LEFT(TRIM(RIGHT(SUBSTITUTE(TRIM(F164)," ",REPT(" ",100)),100)),Settings!$B$9)),UPPER(LEFT(TRIM(F164),Settings!$B$9)))))</f>
        <v/>
      </c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15">
        <f>IF(ISBLANK(D164),"",IF(COUNTIFS(Circulation!$B$2:$B$500,A164,Circulation!$H$2:$H$500,"Active")&gt;0,"On Loan","Available"))</f>
        <v/>
      </c>
      <c r="AA164" s="9" t="n"/>
      <c r="AB164" s="9" t="n"/>
      <c r="AC164" s="9" t="n"/>
      <c r="AD164" s="9" t="n"/>
      <c r="AE164" s="9" t="n"/>
      <c r="AF164" s="9" t="n"/>
      <c r="AG164" s="9" t="n"/>
    </row>
    <row r="165">
      <c r="A165" s="13">
        <f>IF(ISBLANK(D165),"",ROW()-1)</f>
        <v/>
      </c>
      <c r="B165" s="14" t="n"/>
      <c r="C165" s="13">
        <f>IF(ISBLANK(D165),"",MID(K165,SEARCH("(",K165)+1,SEARCH(")",K165)-SEARCH("(",K165)-1)&amp;"-"&amp;MID(L165,SEARCH("(",L165)+1,SEARCH(")",L165)-SEARCH("(",L165)-1)&amp;"-"&amp;H165&amp;"-"&amp;TEXT(A165,"000")&amp;IF(ISBLANK(N165),"","-"&amp;SUBSTITUTE(N165," ","")))</f>
        <v/>
      </c>
      <c r="D165" s="9" t="n"/>
      <c r="E165" s="9" t="n"/>
      <c r="F165" s="9" t="n"/>
      <c r="G165" s="9" t="n"/>
      <c r="H165" s="13">
        <f>IF(ISBLANK(F165),"",IF(G165&lt;&gt;"",UPPER(TRIM(G165)),IF(ISNUMBER(SEARCH(" ",TRIM(F165))),UPPER(LEFT(TRIM(RIGHT(SUBSTITUTE(TRIM(F165)," ",REPT(" ",100)),100)),Settings!$B$9)),UPPER(LEFT(TRIM(F165),Settings!$B$9)))))</f>
        <v/>
      </c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15">
        <f>IF(ISBLANK(D165),"",IF(COUNTIFS(Circulation!$B$2:$B$500,A165,Circulation!$H$2:$H$500,"Active")&gt;0,"On Loan","Available"))</f>
        <v/>
      </c>
      <c r="AA165" s="9" t="n"/>
      <c r="AB165" s="9" t="n"/>
      <c r="AC165" s="9" t="n"/>
      <c r="AD165" s="9" t="n"/>
      <c r="AE165" s="9" t="n"/>
      <c r="AF165" s="9" t="n"/>
      <c r="AG165" s="9" t="n"/>
    </row>
    <row r="166">
      <c r="A166" s="13">
        <f>IF(ISBLANK(D166),"",ROW()-1)</f>
        <v/>
      </c>
      <c r="B166" s="14" t="n"/>
      <c r="C166" s="13">
        <f>IF(ISBLANK(D166),"",MID(K166,SEARCH("(",K166)+1,SEARCH(")",K166)-SEARCH("(",K166)-1)&amp;"-"&amp;MID(L166,SEARCH("(",L166)+1,SEARCH(")",L166)-SEARCH("(",L166)-1)&amp;"-"&amp;H166&amp;"-"&amp;TEXT(A166,"000")&amp;IF(ISBLANK(N166),"","-"&amp;SUBSTITUTE(N166," ","")))</f>
        <v/>
      </c>
      <c r="D166" s="9" t="n"/>
      <c r="E166" s="9" t="n"/>
      <c r="F166" s="9" t="n"/>
      <c r="G166" s="9" t="n"/>
      <c r="H166" s="13">
        <f>IF(ISBLANK(F166),"",IF(G166&lt;&gt;"",UPPER(TRIM(G166)),IF(ISNUMBER(SEARCH(" ",TRIM(F166))),UPPER(LEFT(TRIM(RIGHT(SUBSTITUTE(TRIM(F166)," ",REPT(" ",100)),100)),Settings!$B$9)),UPPER(LEFT(TRIM(F166),Settings!$B$9)))))</f>
        <v/>
      </c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15">
        <f>IF(ISBLANK(D166),"",IF(COUNTIFS(Circulation!$B$2:$B$500,A166,Circulation!$H$2:$H$500,"Active")&gt;0,"On Loan","Available"))</f>
        <v/>
      </c>
      <c r="AA166" s="9" t="n"/>
      <c r="AB166" s="9" t="n"/>
      <c r="AC166" s="9" t="n"/>
      <c r="AD166" s="9" t="n"/>
      <c r="AE166" s="9" t="n"/>
      <c r="AF166" s="9" t="n"/>
      <c r="AG166" s="9" t="n"/>
    </row>
    <row r="167">
      <c r="A167" s="13">
        <f>IF(ISBLANK(D167),"",ROW()-1)</f>
        <v/>
      </c>
      <c r="B167" s="14" t="n"/>
      <c r="C167" s="13">
        <f>IF(ISBLANK(D167),"",MID(K167,SEARCH("(",K167)+1,SEARCH(")",K167)-SEARCH("(",K167)-1)&amp;"-"&amp;MID(L167,SEARCH("(",L167)+1,SEARCH(")",L167)-SEARCH("(",L167)-1)&amp;"-"&amp;H167&amp;"-"&amp;TEXT(A167,"000")&amp;IF(ISBLANK(N167),"","-"&amp;SUBSTITUTE(N167," ","")))</f>
        <v/>
      </c>
      <c r="D167" s="9" t="n"/>
      <c r="E167" s="9" t="n"/>
      <c r="F167" s="9" t="n"/>
      <c r="G167" s="9" t="n"/>
      <c r="H167" s="13">
        <f>IF(ISBLANK(F167),"",IF(G167&lt;&gt;"",UPPER(TRIM(G167)),IF(ISNUMBER(SEARCH(" ",TRIM(F167))),UPPER(LEFT(TRIM(RIGHT(SUBSTITUTE(TRIM(F167)," ",REPT(" ",100)),100)),Settings!$B$9)),UPPER(LEFT(TRIM(F167),Settings!$B$9)))))</f>
        <v/>
      </c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15">
        <f>IF(ISBLANK(D167),"",IF(COUNTIFS(Circulation!$B$2:$B$500,A167,Circulation!$H$2:$H$500,"Active")&gt;0,"On Loan","Available"))</f>
        <v/>
      </c>
      <c r="AA167" s="9" t="n"/>
      <c r="AB167" s="9" t="n"/>
      <c r="AC167" s="9" t="n"/>
      <c r="AD167" s="9" t="n"/>
      <c r="AE167" s="9" t="n"/>
      <c r="AF167" s="9" t="n"/>
      <c r="AG167" s="9" t="n"/>
    </row>
    <row r="168">
      <c r="A168" s="13">
        <f>IF(ISBLANK(D168),"",ROW()-1)</f>
        <v/>
      </c>
      <c r="B168" s="14" t="n"/>
      <c r="C168" s="13">
        <f>IF(ISBLANK(D168),"",MID(K168,SEARCH("(",K168)+1,SEARCH(")",K168)-SEARCH("(",K168)-1)&amp;"-"&amp;MID(L168,SEARCH("(",L168)+1,SEARCH(")",L168)-SEARCH("(",L168)-1)&amp;"-"&amp;H168&amp;"-"&amp;TEXT(A168,"000")&amp;IF(ISBLANK(N168),"","-"&amp;SUBSTITUTE(N168," ","")))</f>
        <v/>
      </c>
      <c r="D168" s="9" t="n"/>
      <c r="E168" s="9" t="n"/>
      <c r="F168" s="9" t="n"/>
      <c r="G168" s="9" t="n"/>
      <c r="H168" s="13">
        <f>IF(ISBLANK(F168),"",IF(G168&lt;&gt;"",UPPER(TRIM(G168)),IF(ISNUMBER(SEARCH(" ",TRIM(F168))),UPPER(LEFT(TRIM(RIGHT(SUBSTITUTE(TRIM(F168)," ",REPT(" ",100)),100)),Settings!$B$9)),UPPER(LEFT(TRIM(F168),Settings!$B$9)))))</f>
        <v/>
      </c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15">
        <f>IF(ISBLANK(D168),"",IF(COUNTIFS(Circulation!$B$2:$B$500,A168,Circulation!$H$2:$H$500,"Active")&gt;0,"On Loan","Available"))</f>
        <v/>
      </c>
      <c r="AA168" s="9" t="n"/>
      <c r="AB168" s="9" t="n"/>
      <c r="AC168" s="9" t="n"/>
      <c r="AD168" s="9" t="n"/>
      <c r="AE168" s="9" t="n"/>
      <c r="AF168" s="9" t="n"/>
      <c r="AG168" s="9" t="n"/>
    </row>
    <row r="169">
      <c r="A169" s="13">
        <f>IF(ISBLANK(D169),"",ROW()-1)</f>
        <v/>
      </c>
      <c r="B169" s="14" t="n"/>
      <c r="C169" s="13">
        <f>IF(ISBLANK(D169),"",MID(K169,SEARCH("(",K169)+1,SEARCH(")",K169)-SEARCH("(",K169)-1)&amp;"-"&amp;MID(L169,SEARCH("(",L169)+1,SEARCH(")",L169)-SEARCH("(",L169)-1)&amp;"-"&amp;H169&amp;"-"&amp;TEXT(A169,"000")&amp;IF(ISBLANK(N169),"","-"&amp;SUBSTITUTE(N169," ","")))</f>
        <v/>
      </c>
      <c r="D169" s="9" t="n"/>
      <c r="E169" s="9" t="n"/>
      <c r="F169" s="9" t="n"/>
      <c r="G169" s="9" t="n"/>
      <c r="H169" s="13">
        <f>IF(ISBLANK(F169),"",IF(G169&lt;&gt;"",UPPER(TRIM(G169)),IF(ISNUMBER(SEARCH(" ",TRIM(F169))),UPPER(LEFT(TRIM(RIGHT(SUBSTITUTE(TRIM(F169)," ",REPT(" ",100)),100)),Settings!$B$9)),UPPER(LEFT(TRIM(F169),Settings!$B$9)))))</f>
        <v/>
      </c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15">
        <f>IF(ISBLANK(D169),"",IF(COUNTIFS(Circulation!$B$2:$B$500,A169,Circulation!$H$2:$H$500,"Active")&gt;0,"On Loan","Available"))</f>
        <v/>
      </c>
      <c r="AA169" s="9" t="n"/>
      <c r="AB169" s="9" t="n"/>
      <c r="AC169" s="9" t="n"/>
      <c r="AD169" s="9" t="n"/>
      <c r="AE169" s="9" t="n"/>
      <c r="AF169" s="9" t="n"/>
      <c r="AG169" s="9" t="n"/>
    </row>
    <row r="170">
      <c r="A170" s="13">
        <f>IF(ISBLANK(D170),"",ROW()-1)</f>
        <v/>
      </c>
      <c r="B170" s="14" t="n"/>
      <c r="C170" s="13">
        <f>IF(ISBLANK(D170),"",MID(K170,SEARCH("(",K170)+1,SEARCH(")",K170)-SEARCH("(",K170)-1)&amp;"-"&amp;MID(L170,SEARCH("(",L170)+1,SEARCH(")",L170)-SEARCH("(",L170)-1)&amp;"-"&amp;H170&amp;"-"&amp;TEXT(A170,"000")&amp;IF(ISBLANK(N170),"","-"&amp;SUBSTITUTE(N170," ","")))</f>
        <v/>
      </c>
      <c r="D170" s="9" t="n"/>
      <c r="E170" s="9" t="n"/>
      <c r="F170" s="9" t="n"/>
      <c r="G170" s="9" t="n"/>
      <c r="H170" s="13">
        <f>IF(ISBLANK(F170),"",IF(G170&lt;&gt;"",UPPER(TRIM(G170)),IF(ISNUMBER(SEARCH(" ",TRIM(F170))),UPPER(LEFT(TRIM(RIGHT(SUBSTITUTE(TRIM(F170)," ",REPT(" ",100)),100)),Settings!$B$9)),UPPER(LEFT(TRIM(F170),Settings!$B$9)))))</f>
        <v/>
      </c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15">
        <f>IF(ISBLANK(D170),"",IF(COUNTIFS(Circulation!$B$2:$B$500,A170,Circulation!$H$2:$H$500,"Active")&gt;0,"On Loan","Available"))</f>
        <v/>
      </c>
      <c r="AA170" s="9" t="n"/>
      <c r="AB170" s="9" t="n"/>
      <c r="AC170" s="9" t="n"/>
      <c r="AD170" s="9" t="n"/>
      <c r="AE170" s="9" t="n"/>
      <c r="AF170" s="9" t="n"/>
      <c r="AG170" s="9" t="n"/>
    </row>
    <row r="171">
      <c r="A171" s="13">
        <f>IF(ISBLANK(D171),"",ROW()-1)</f>
        <v/>
      </c>
      <c r="B171" s="14" t="n"/>
      <c r="C171" s="13">
        <f>IF(ISBLANK(D171),"",MID(K171,SEARCH("(",K171)+1,SEARCH(")",K171)-SEARCH("(",K171)-1)&amp;"-"&amp;MID(L171,SEARCH("(",L171)+1,SEARCH(")",L171)-SEARCH("(",L171)-1)&amp;"-"&amp;H171&amp;"-"&amp;TEXT(A171,"000")&amp;IF(ISBLANK(N171),"","-"&amp;SUBSTITUTE(N171," ","")))</f>
        <v/>
      </c>
      <c r="D171" s="9" t="n"/>
      <c r="E171" s="9" t="n"/>
      <c r="F171" s="9" t="n"/>
      <c r="G171" s="9" t="n"/>
      <c r="H171" s="13">
        <f>IF(ISBLANK(F171),"",IF(G171&lt;&gt;"",UPPER(TRIM(G171)),IF(ISNUMBER(SEARCH(" ",TRIM(F171))),UPPER(LEFT(TRIM(RIGHT(SUBSTITUTE(TRIM(F171)," ",REPT(" ",100)),100)),Settings!$B$9)),UPPER(LEFT(TRIM(F171),Settings!$B$9)))))</f>
        <v/>
      </c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15">
        <f>IF(ISBLANK(D171),"",IF(COUNTIFS(Circulation!$B$2:$B$500,A171,Circulation!$H$2:$H$500,"Active")&gt;0,"On Loan","Available"))</f>
        <v/>
      </c>
      <c r="AA171" s="9" t="n"/>
      <c r="AB171" s="9" t="n"/>
      <c r="AC171" s="9" t="n"/>
      <c r="AD171" s="9" t="n"/>
      <c r="AE171" s="9" t="n"/>
      <c r="AF171" s="9" t="n"/>
      <c r="AG171" s="9" t="n"/>
    </row>
    <row r="172">
      <c r="A172" s="13">
        <f>IF(ISBLANK(D172),"",ROW()-1)</f>
        <v/>
      </c>
      <c r="B172" s="14" t="n"/>
      <c r="C172" s="13">
        <f>IF(ISBLANK(D172),"",MID(K172,SEARCH("(",K172)+1,SEARCH(")",K172)-SEARCH("(",K172)-1)&amp;"-"&amp;MID(L172,SEARCH("(",L172)+1,SEARCH(")",L172)-SEARCH("(",L172)-1)&amp;"-"&amp;H172&amp;"-"&amp;TEXT(A172,"000")&amp;IF(ISBLANK(N172),"","-"&amp;SUBSTITUTE(N172," ","")))</f>
        <v/>
      </c>
      <c r="D172" s="9" t="n"/>
      <c r="E172" s="9" t="n"/>
      <c r="F172" s="9" t="n"/>
      <c r="G172" s="9" t="n"/>
      <c r="H172" s="13">
        <f>IF(ISBLANK(F172),"",IF(G172&lt;&gt;"",UPPER(TRIM(G172)),IF(ISNUMBER(SEARCH(" ",TRIM(F172))),UPPER(LEFT(TRIM(RIGHT(SUBSTITUTE(TRIM(F172)," ",REPT(" ",100)),100)),Settings!$B$9)),UPPER(LEFT(TRIM(F172),Settings!$B$9)))))</f>
        <v/>
      </c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15">
        <f>IF(ISBLANK(D172),"",IF(COUNTIFS(Circulation!$B$2:$B$500,A172,Circulation!$H$2:$H$500,"Active")&gt;0,"On Loan","Available"))</f>
        <v/>
      </c>
      <c r="AA172" s="9" t="n"/>
      <c r="AB172" s="9" t="n"/>
      <c r="AC172" s="9" t="n"/>
      <c r="AD172" s="9" t="n"/>
      <c r="AE172" s="9" t="n"/>
      <c r="AF172" s="9" t="n"/>
      <c r="AG172" s="9" t="n"/>
    </row>
    <row r="173">
      <c r="A173" s="13">
        <f>IF(ISBLANK(D173),"",ROW()-1)</f>
        <v/>
      </c>
      <c r="B173" s="14" t="n"/>
      <c r="C173" s="13">
        <f>IF(ISBLANK(D173),"",MID(K173,SEARCH("(",K173)+1,SEARCH(")",K173)-SEARCH("(",K173)-1)&amp;"-"&amp;MID(L173,SEARCH("(",L173)+1,SEARCH(")",L173)-SEARCH("(",L173)-1)&amp;"-"&amp;H173&amp;"-"&amp;TEXT(A173,"000")&amp;IF(ISBLANK(N173),"","-"&amp;SUBSTITUTE(N173," ","")))</f>
        <v/>
      </c>
      <c r="D173" s="9" t="n"/>
      <c r="E173" s="9" t="n"/>
      <c r="F173" s="9" t="n"/>
      <c r="G173" s="9" t="n"/>
      <c r="H173" s="13">
        <f>IF(ISBLANK(F173),"",IF(G173&lt;&gt;"",UPPER(TRIM(G173)),IF(ISNUMBER(SEARCH(" ",TRIM(F173))),UPPER(LEFT(TRIM(RIGHT(SUBSTITUTE(TRIM(F173)," ",REPT(" ",100)),100)),Settings!$B$9)),UPPER(LEFT(TRIM(F173),Settings!$B$9)))))</f>
        <v/>
      </c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15">
        <f>IF(ISBLANK(D173),"",IF(COUNTIFS(Circulation!$B$2:$B$500,A173,Circulation!$H$2:$H$500,"Active")&gt;0,"On Loan","Available"))</f>
        <v/>
      </c>
      <c r="AA173" s="9" t="n"/>
      <c r="AB173" s="9" t="n"/>
      <c r="AC173" s="9" t="n"/>
      <c r="AD173" s="9" t="n"/>
      <c r="AE173" s="9" t="n"/>
      <c r="AF173" s="9" t="n"/>
      <c r="AG173" s="9" t="n"/>
    </row>
    <row r="174">
      <c r="A174" s="13">
        <f>IF(ISBLANK(D174),"",ROW()-1)</f>
        <v/>
      </c>
      <c r="B174" s="14" t="n"/>
      <c r="C174" s="13">
        <f>IF(ISBLANK(D174),"",MID(K174,SEARCH("(",K174)+1,SEARCH(")",K174)-SEARCH("(",K174)-1)&amp;"-"&amp;MID(L174,SEARCH("(",L174)+1,SEARCH(")",L174)-SEARCH("(",L174)-1)&amp;"-"&amp;H174&amp;"-"&amp;TEXT(A174,"000")&amp;IF(ISBLANK(N174),"","-"&amp;SUBSTITUTE(N174," ","")))</f>
        <v/>
      </c>
      <c r="D174" s="9" t="n"/>
      <c r="E174" s="9" t="n"/>
      <c r="F174" s="9" t="n"/>
      <c r="G174" s="9" t="n"/>
      <c r="H174" s="13">
        <f>IF(ISBLANK(F174),"",IF(G174&lt;&gt;"",UPPER(TRIM(G174)),IF(ISNUMBER(SEARCH(" ",TRIM(F174))),UPPER(LEFT(TRIM(RIGHT(SUBSTITUTE(TRIM(F174)," ",REPT(" ",100)),100)),Settings!$B$9)),UPPER(LEFT(TRIM(F174),Settings!$B$9)))))</f>
        <v/>
      </c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15">
        <f>IF(ISBLANK(D174),"",IF(COUNTIFS(Circulation!$B$2:$B$500,A174,Circulation!$H$2:$H$500,"Active")&gt;0,"On Loan","Available"))</f>
        <v/>
      </c>
      <c r="AA174" s="9" t="n"/>
      <c r="AB174" s="9" t="n"/>
      <c r="AC174" s="9" t="n"/>
      <c r="AD174" s="9" t="n"/>
      <c r="AE174" s="9" t="n"/>
      <c r="AF174" s="9" t="n"/>
      <c r="AG174" s="9" t="n"/>
    </row>
    <row r="175">
      <c r="A175" s="13">
        <f>IF(ISBLANK(D175),"",ROW()-1)</f>
        <v/>
      </c>
      <c r="B175" s="14" t="n"/>
      <c r="C175" s="13">
        <f>IF(ISBLANK(D175),"",MID(K175,SEARCH("(",K175)+1,SEARCH(")",K175)-SEARCH("(",K175)-1)&amp;"-"&amp;MID(L175,SEARCH("(",L175)+1,SEARCH(")",L175)-SEARCH("(",L175)-1)&amp;"-"&amp;H175&amp;"-"&amp;TEXT(A175,"000")&amp;IF(ISBLANK(N175),"","-"&amp;SUBSTITUTE(N175," ","")))</f>
        <v/>
      </c>
      <c r="D175" s="9" t="n"/>
      <c r="E175" s="9" t="n"/>
      <c r="F175" s="9" t="n"/>
      <c r="G175" s="9" t="n"/>
      <c r="H175" s="13">
        <f>IF(ISBLANK(F175),"",IF(G175&lt;&gt;"",UPPER(TRIM(G175)),IF(ISNUMBER(SEARCH(" ",TRIM(F175))),UPPER(LEFT(TRIM(RIGHT(SUBSTITUTE(TRIM(F175)," ",REPT(" ",100)),100)),Settings!$B$9)),UPPER(LEFT(TRIM(F175),Settings!$B$9)))))</f>
        <v/>
      </c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15">
        <f>IF(ISBLANK(D175),"",IF(COUNTIFS(Circulation!$B$2:$B$500,A175,Circulation!$H$2:$H$500,"Active")&gt;0,"On Loan","Available"))</f>
        <v/>
      </c>
      <c r="AA175" s="9" t="n"/>
      <c r="AB175" s="9" t="n"/>
      <c r="AC175" s="9" t="n"/>
      <c r="AD175" s="9" t="n"/>
      <c r="AE175" s="9" t="n"/>
      <c r="AF175" s="9" t="n"/>
      <c r="AG175" s="9" t="n"/>
    </row>
    <row r="176">
      <c r="A176" s="13">
        <f>IF(ISBLANK(D176),"",ROW()-1)</f>
        <v/>
      </c>
      <c r="B176" s="14" t="n"/>
      <c r="C176" s="13">
        <f>IF(ISBLANK(D176),"",MID(K176,SEARCH("(",K176)+1,SEARCH(")",K176)-SEARCH("(",K176)-1)&amp;"-"&amp;MID(L176,SEARCH("(",L176)+1,SEARCH(")",L176)-SEARCH("(",L176)-1)&amp;"-"&amp;H176&amp;"-"&amp;TEXT(A176,"000")&amp;IF(ISBLANK(N176),"","-"&amp;SUBSTITUTE(N176," ","")))</f>
        <v/>
      </c>
      <c r="D176" s="9" t="n"/>
      <c r="E176" s="9" t="n"/>
      <c r="F176" s="9" t="n"/>
      <c r="G176" s="9" t="n"/>
      <c r="H176" s="13">
        <f>IF(ISBLANK(F176),"",IF(G176&lt;&gt;"",UPPER(TRIM(G176)),IF(ISNUMBER(SEARCH(" ",TRIM(F176))),UPPER(LEFT(TRIM(RIGHT(SUBSTITUTE(TRIM(F176)," ",REPT(" ",100)),100)),Settings!$B$9)),UPPER(LEFT(TRIM(F176),Settings!$B$9)))))</f>
        <v/>
      </c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15">
        <f>IF(ISBLANK(D176),"",IF(COUNTIFS(Circulation!$B$2:$B$500,A176,Circulation!$H$2:$H$500,"Active")&gt;0,"On Loan","Available"))</f>
        <v/>
      </c>
      <c r="AA176" s="9" t="n"/>
      <c r="AB176" s="9" t="n"/>
      <c r="AC176" s="9" t="n"/>
      <c r="AD176" s="9" t="n"/>
      <c r="AE176" s="9" t="n"/>
      <c r="AF176" s="9" t="n"/>
      <c r="AG176" s="9" t="n"/>
    </row>
    <row r="177">
      <c r="A177" s="13">
        <f>IF(ISBLANK(D177),"",ROW()-1)</f>
        <v/>
      </c>
      <c r="B177" s="14" t="n"/>
      <c r="C177" s="13">
        <f>IF(ISBLANK(D177),"",MID(K177,SEARCH("(",K177)+1,SEARCH(")",K177)-SEARCH("(",K177)-1)&amp;"-"&amp;MID(L177,SEARCH("(",L177)+1,SEARCH(")",L177)-SEARCH("(",L177)-1)&amp;"-"&amp;H177&amp;"-"&amp;TEXT(A177,"000")&amp;IF(ISBLANK(N177),"","-"&amp;SUBSTITUTE(N177," ","")))</f>
        <v/>
      </c>
      <c r="D177" s="9" t="n"/>
      <c r="E177" s="9" t="n"/>
      <c r="F177" s="9" t="n"/>
      <c r="G177" s="9" t="n"/>
      <c r="H177" s="13">
        <f>IF(ISBLANK(F177),"",IF(G177&lt;&gt;"",UPPER(TRIM(G177)),IF(ISNUMBER(SEARCH(" ",TRIM(F177))),UPPER(LEFT(TRIM(RIGHT(SUBSTITUTE(TRIM(F177)," ",REPT(" ",100)),100)),Settings!$B$9)),UPPER(LEFT(TRIM(F177),Settings!$B$9)))))</f>
        <v/>
      </c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15">
        <f>IF(ISBLANK(D177),"",IF(COUNTIFS(Circulation!$B$2:$B$500,A177,Circulation!$H$2:$H$500,"Active")&gt;0,"On Loan","Available"))</f>
        <v/>
      </c>
      <c r="AA177" s="9" t="n"/>
      <c r="AB177" s="9" t="n"/>
      <c r="AC177" s="9" t="n"/>
      <c r="AD177" s="9" t="n"/>
      <c r="AE177" s="9" t="n"/>
      <c r="AF177" s="9" t="n"/>
      <c r="AG177" s="9" t="n"/>
    </row>
    <row r="178">
      <c r="A178" s="13">
        <f>IF(ISBLANK(D178),"",ROW()-1)</f>
        <v/>
      </c>
      <c r="B178" s="14" t="n"/>
      <c r="C178" s="13">
        <f>IF(ISBLANK(D178),"",MID(K178,SEARCH("(",K178)+1,SEARCH(")",K178)-SEARCH("(",K178)-1)&amp;"-"&amp;MID(L178,SEARCH("(",L178)+1,SEARCH(")",L178)-SEARCH("(",L178)-1)&amp;"-"&amp;H178&amp;"-"&amp;TEXT(A178,"000")&amp;IF(ISBLANK(N178),"","-"&amp;SUBSTITUTE(N178," ","")))</f>
        <v/>
      </c>
      <c r="D178" s="9" t="n"/>
      <c r="E178" s="9" t="n"/>
      <c r="F178" s="9" t="n"/>
      <c r="G178" s="9" t="n"/>
      <c r="H178" s="13">
        <f>IF(ISBLANK(F178),"",IF(G178&lt;&gt;"",UPPER(TRIM(G178)),IF(ISNUMBER(SEARCH(" ",TRIM(F178))),UPPER(LEFT(TRIM(RIGHT(SUBSTITUTE(TRIM(F178)," ",REPT(" ",100)),100)),Settings!$B$9)),UPPER(LEFT(TRIM(F178),Settings!$B$9)))))</f>
        <v/>
      </c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15">
        <f>IF(ISBLANK(D178),"",IF(COUNTIFS(Circulation!$B$2:$B$500,A178,Circulation!$H$2:$H$500,"Active")&gt;0,"On Loan","Available"))</f>
        <v/>
      </c>
      <c r="AA178" s="9" t="n"/>
      <c r="AB178" s="9" t="n"/>
      <c r="AC178" s="9" t="n"/>
      <c r="AD178" s="9" t="n"/>
      <c r="AE178" s="9" t="n"/>
      <c r="AF178" s="9" t="n"/>
      <c r="AG178" s="9" t="n"/>
    </row>
    <row r="179">
      <c r="A179" s="13">
        <f>IF(ISBLANK(D179),"",ROW()-1)</f>
        <v/>
      </c>
      <c r="B179" s="14" t="n"/>
      <c r="C179" s="13">
        <f>IF(ISBLANK(D179),"",MID(K179,SEARCH("(",K179)+1,SEARCH(")",K179)-SEARCH("(",K179)-1)&amp;"-"&amp;MID(L179,SEARCH("(",L179)+1,SEARCH(")",L179)-SEARCH("(",L179)-1)&amp;"-"&amp;H179&amp;"-"&amp;TEXT(A179,"000")&amp;IF(ISBLANK(N179),"","-"&amp;SUBSTITUTE(N179," ","")))</f>
        <v/>
      </c>
      <c r="D179" s="9" t="n"/>
      <c r="E179" s="9" t="n"/>
      <c r="F179" s="9" t="n"/>
      <c r="G179" s="9" t="n"/>
      <c r="H179" s="13">
        <f>IF(ISBLANK(F179),"",IF(G179&lt;&gt;"",UPPER(TRIM(G179)),IF(ISNUMBER(SEARCH(" ",TRIM(F179))),UPPER(LEFT(TRIM(RIGHT(SUBSTITUTE(TRIM(F179)," ",REPT(" ",100)),100)),Settings!$B$9)),UPPER(LEFT(TRIM(F179),Settings!$B$9)))))</f>
        <v/>
      </c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15">
        <f>IF(ISBLANK(D179),"",IF(COUNTIFS(Circulation!$B$2:$B$500,A179,Circulation!$H$2:$H$500,"Active")&gt;0,"On Loan","Available"))</f>
        <v/>
      </c>
      <c r="AA179" s="9" t="n"/>
      <c r="AB179" s="9" t="n"/>
      <c r="AC179" s="9" t="n"/>
      <c r="AD179" s="9" t="n"/>
      <c r="AE179" s="9" t="n"/>
      <c r="AF179" s="9" t="n"/>
      <c r="AG179" s="9" t="n"/>
    </row>
    <row r="180">
      <c r="A180" s="13">
        <f>IF(ISBLANK(D180),"",ROW()-1)</f>
        <v/>
      </c>
      <c r="B180" s="14" t="n"/>
      <c r="C180" s="13">
        <f>IF(ISBLANK(D180),"",MID(K180,SEARCH("(",K180)+1,SEARCH(")",K180)-SEARCH("(",K180)-1)&amp;"-"&amp;MID(L180,SEARCH("(",L180)+1,SEARCH(")",L180)-SEARCH("(",L180)-1)&amp;"-"&amp;H180&amp;"-"&amp;TEXT(A180,"000")&amp;IF(ISBLANK(N180),"","-"&amp;SUBSTITUTE(N180," ","")))</f>
        <v/>
      </c>
      <c r="D180" s="9" t="n"/>
      <c r="E180" s="9" t="n"/>
      <c r="F180" s="9" t="n"/>
      <c r="G180" s="9" t="n"/>
      <c r="H180" s="13">
        <f>IF(ISBLANK(F180),"",IF(G180&lt;&gt;"",UPPER(TRIM(G180)),IF(ISNUMBER(SEARCH(" ",TRIM(F180))),UPPER(LEFT(TRIM(RIGHT(SUBSTITUTE(TRIM(F180)," ",REPT(" ",100)),100)),Settings!$B$9)),UPPER(LEFT(TRIM(F180),Settings!$B$9)))))</f>
        <v/>
      </c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15">
        <f>IF(ISBLANK(D180),"",IF(COUNTIFS(Circulation!$B$2:$B$500,A180,Circulation!$H$2:$H$500,"Active")&gt;0,"On Loan","Available"))</f>
        <v/>
      </c>
      <c r="AA180" s="9" t="n"/>
      <c r="AB180" s="9" t="n"/>
      <c r="AC180" s="9" t="n"/>
      <c r="AD180" s="9" t="n"/>
      <c r="AE180" s="9" t="n"/>
      <c r="AF180" s="9" t="n"/>
      <c r="AG180" s="9" t="n"/>
    </row>
    <row r="181">
      <c r="A181" s="13">
        <f>IF(ISBLANK(D181),"",ROW()-1)</f>
        <v/>
      </c>
      <c r="B181" s="14" t="n"/>
      <c r="C181" s="13">
        <f>IF(ISBLANK(D181),"",MID(K181,SEARCH("(",K181)+1,SEARCH(")",K181)-SEARCH("(",K181)-1)&amp;"-"&amp;MID(L181,SEARCH("(",L181)+1,SEARCH(")",L181)-SEARCH("(",L181)-1)&amp;"-"&amp;H181&amp;"-"&amp;TEXT(A181,"000")&amp;IF(ISBLANK(N181),"","-"&amp;SUBSTITUTE(N181," ","")))</f>
        <v/>
      </c>
      <c r="D181" s="9" t="n"/>
      <c r="E181" s="9" t="n"/>
      <c r="F181" s="9" t="n"/>
      <c r="G181" s="9" t="n"/>
      <c r="H181" s="13">
        <f>IF(ISBLANK(F181),"",IF(G181&lt;&gt;"",UPPER(TRIM(G181)),IF(ISNUMBER(SEARCH(" ",TRIM(F181))),UPPER(LEFT(TRIM(RIGHT(SUBSTITUTE(TRIM(F181)," ",REPT(" ",100)),100)),Settings!$B$9)),UPPER(LEFT(TRIM(F181),Settings!$B$9)))))</f>
        <v/>
      </c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15">
        <f>IF(ISBLANK(D181),"",IF(COUNTIFS(Circulation!$B$2:$B$500,A181,Circulation!$H$2:$H$500,"Active")&gt;0,"On Loan","Available"))</f>
        <v/>
      </c>
      <c r="AA181" s="9" t="n"/>
      <c r="AB181" s="9" t="n"/>
      <c r="AC181" s="9" t="n"/>
      <c r="AD181" s="9" t="n"/>
      <c r="AE181" s="9" t="n"/>
      <c r="AF181" s="9" t="n"/>
      <c r="AG181" s="9" t="n"/>
    </row>
    <row r="182">
      <c r="A182" s="13">
        <f>IF(ISBLANK(D182),"",ROW()-1)</f>
        <v/>
      </c>
      <c r="B182" s="14" t="n"/>
      <c r="C182" s="13">
        <f>IF(ISBLANK(D182),"",MID(K182,SEARCH("(",K182)+1,SEARCH(")",K182)-SEARCH("(",K182)-1)&amp;"-"&amp;MID(L182,SEARCH("(",L182)+1,SEARCH(")",L182)-SEARCH("(",L182)-1)&amp;"-"&amp;H182&amp;"-"&amp;TEXT(A182,"000")&amp;IF(ISBLANK(N182),"","-"&amp;SUBSTITUTE(N182," ","")))</f>
        <v/>
      </c>
      <c r="D182" s="9" t="n"/>
      <c r="E182" s="9" t="n"/>
      <c r="F182" s="9" t="n"/>
      <c r="G182" s="9" t="n"/>
      <c r="H182" s="13">
        <f>IF(ISBLANK(F182),"",IF(G182&lt;&gt;"",UPPER(TRIM(G182)),IF(ISNUMBER(SEARCH(" ",TRIM(F182))),UPPER(LEFT(TRIM(RIGHT(SUBSTITUTE(TRIM(F182)," ",REPT(" ",100)),100)),Settings!$B$9)),UPPER(LEFT(TRIM(F182),Settings!$B$9)))))</f>
        <v/>
      </c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15">
        <f>IF(ISBLANK(D182),"",IF(COUNTIFS(Circulation!$B$2:$B$500,A182,Circulation!$H$2:$H$500,"Active")&gt;0,"On Loan","Available"))</f>
        <v/>
      </c>
      <c r="AA182" s="9" t="n"/>
      <c r="AB182" s="9" t="n"/>
      <c r="AC182" s="9" t="n"/>
      <c r="AD182" s="9" t="n"/>
      <c r="AE182" s="9" t="n"/>
      <c r="AF182" s="9" t="n"/>
      <c r="AG182" s="9" t="n"/>
    </row>
    <row r="183">
      <c r="A183" s="13">
        <f>IF(ISBLANK(D183),"",ROW()-1)</f>
        <v/>
      </c>
      <c r="B183" s="14" t="n"/>
      <c r="C183" s="13">
        <f>IF(ISBLANK(D183),"",MID(K183,SEARCH("(",K183)+1,SEARCH(")",K183)-SEARCH("(",K183)-1)&amp;"-"&amp;MID(L183,SEARCH("(",L183)+1,SEARCH(")",L183)-SEARCH("(",L183)-1)&amp;"-"&amp;H183&amp;"-"&amp;TEXT(A183,"000")&amp;IF(ISBLANK(N183),"","-"&amp;SUBSTITUTE(N183," ","")))</f>
        <v/>
      </c>
      <c r="D183" s="9" t="n"/>
      <c r="E183" s="9" t="n"/>
      <c r="F183" s="9" t="n"/>
      <c r="G183" s="9" t="n"/>
      <c r="H183" s="13">
        <f>IF(ISBLANK(F183),"",IF(G183&lt;&gt;"",UPPER(TRIM(G183)),IF(ISNUMBER(SEARCH(" ",TRIM(F183))),UPPER(LEFT(TRIM(RIGHT(SUBSTITUTE(TRIM(F183)," ",REPT(" ",100)),100)),Settings!$B$9)),UPPER(LEFT(TRIM(F183),Settings!$B$9)))))</f>
        <v/>
      </c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15">
        <f>IF(ISBLANK(D183),"",IF(COUNTIFS(Circulation!$B$2:$B$500,A183,Circulation!$H$2:$H$500,"Active")&gt;0,"On Loan","Available"))</f>
        <v/>
      </c>
      <c r="AA183" s="9" t="n"/>
      <c r="AB183" s="9" t="n"/>
      <c r="AC183" s="9" t="n"/>
      <c r="AD183" s="9" t="n"/>
      <c r="AE183" s="9" t="n"/>
      <c r="AF183" s="9" t="n"/>
      <c r="AG183" s="9" t="n"/>
    </row>
    <row r="184">
      <c r="A184" s="13">
        <f>IF(ISBLANK(D184),"",ROW()-1)</f>
        <v/>
      </c>
      <c r="B184" s="14" t="n"/>
      <c r="C184" s="13">
        <f>IF(ISBLANK(D184),"",MID(K184,SEARCH("(",K184)+1,SEARCH(")",K184)-SEARCH("(",K184)-1)&amp;"-"&amp;MID(L184,SEARCH("(",L184)+1,SEARCH(")",L184)-SEARCH("(",L184)-1)&amp;"-"&amp;H184&amp;"-"&amp;TEXT(A184,"000")&amp;IF(ISBLANK(N184),"","-"&amp;SUBSTITUTE(N184," ","")))</f>
        <v/>
      </c>
      <c r="D184" s="9" t="n"/>
      <c r="E184" s="9" t="n"/>
      <c r="F184" s="9" t="n"/>
      <c r="G184" s="9" t="n"/>
      <c r="H184" s="13">
        <f>IF(ISBLANK(F184),"",IF(G184&lt;&gt;"",UPPER(TRIM(G184)),IF(ISNUMBER(SEARCH(" ",TRIM(F184))),UPPER(LEFT(TRIM(RIGHT(SUBSTITUTE(TRIM(F184)," ",REPT(" ",100)),100)),Settings!$B$9)),UPPER(LEFT(TRIM(F184),Settings!$B$9)))))</f>
        <v/>
      </c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15">
        <f>IF(ISBLANK(D184),"",IF(COUNTIFS(Circulation!$B$2:$B$500,A184,Circulation!$H$2:$H$500,"Active")&gt;0,"On Loan","Available"))</f>
        <v/>
      </c>
      <c r="AA184" s="9" t="n"/>
      <c r="AB184" s="9" t="n"/>
      <c r="AC184" s="9" t="n"/>
      <c r="AD184" s="9" t="n"/>
      <c r="AE184" s="9" t="n"/>
      <c r="AF184" s="9" t="n"/>
      <c r="AG184" s="9" t="n"/>
    </row>
    <row r="185">
      <c r="A185" s="13">
        <f>IF(ISBLANK(D185),"",ROW()-1)</f>
        <v/>
      </c>
      <c r="B185" s="14" t="n"/>
      <c r="C185" s="13">
        <f>IF(ISBLANK(D185),"",MID(K185,SEARCH("(",K185)+1,SEARCH(")",K185)-SEARCH("(",K185)-1)&amp;"-"&amp;MID(L185,SEARCH("(",L185)+1,SEARCH(")",L185)-SEARCH("(",L185)-1)&amp;"-"&amp;H185&amp;"-"&amp;TEXT(A185,"000")&amp;IF(ISBLANK(N185),"","-"&amp;SUBSTITUTE(N185," ","")))</f>
        <v/>
      </c>
      <c r="D185" s="9" t="n"/>
      <c r="E185" s="9" t="n"/>
      <c r="F185" s="9" t="n"/>
      <c r="G185" s="9" t="n"/>
      <c r="H185" s="13">
        <f>IF(ISBLANK(F185),"",IF(G185&lt;&gt;"",UPPER(TRIM(G185)),IF(ISNUMBER(SEARCH(" ",TRIM(F185))),UPPER(LEFT(TRIM(RIGHT(SUBSTITUTE(TRIM(F185)," ",REPT(" ",100)),100)),Settings!$B$9)),UPPER(LEFT(TRIM(F185),Settings!$B$9)))))</f>
        <v/>
      </c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15">
        <f>IF(ISBLANK(D185),"",IF(COUNTIFS(Circulation!$B$2:$B$500,A185,Circulation!$H$2:$H$500,"Active")&gt;0,"On Loan","Available"))</f>
        <v/>
      </c>
      <c r="AA185" s="9" t="n"/>
      <c r="AB185" s="9" t="n"/>
      <c r="AC185" s="9" t="n"/>
      <c r="AD185" s="9" t="n"/>
      <c r="AE185" s="9" t="n"/>
      <c r="AF185" s="9" t="n"/>
      <c r="AG185" s="9" t="n"/>
    </row>
    <row r="186">
      <c r="A186" s="13">
        <f>IF(ISBLANK(D186),"",ROW()-1)</f>
        <v/>
      </c>
      <c r="B186" s="14" t="n"/>
      <c r="C186" s="13">
        <f>IF(ISBLANK(D186),"",MID(K186,SEARCH("(",K186)+1,SEARCH(")",K186)-SEARCH("(",K186)-1)&amp;"-"&amp;MID(L186,SEARCH("(",L186)+1,SEARCH(")",L186)-SEARCH("(",L186)-1)&amp;"-"&amp;H186&amp;"-"&amp;TEXT(A186,"000")&amp;IF(ISBLANK(N186),"","-"&amp;SUBSTITUTE(N186," ","")))</f>
        <v/>
      </c>
      <c r="D186" s="9" t="n"/>
      <c r="E186" s="9" t="n"/>
      <c r="F186" s="9" t="n"/>
      <c r="G186" s="9" t="n"/>
      <c r="H186" s="13">
        <f>IF(ISBLANK(F186),"",IF(G186&lt;&gt;"",UPPER(TRIM(G186)),IF(ISNUMBER(SEARCH(" ",TRIM(F186))),UPPER(LEFT(TRIM(RIGHT(SUBSTITUTE(TRIM(F186)," ",REPT(" ",100)),100)),Settings!$B$9)),UPPER(LEFT(TRIM(F186),Settings!$B$9)))))</f>
        <v/>
      </c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15">
        <f>IF(ISBLANK(D186),"",IF(COUNTIFS(Circulation!$B$2:$B$500,A186,Circulation!$H$2:$H$500,"Active")&gt;0,"On Loan","Available"))</f>
        <v/>
      </c>
      <c r="AA186" s="9" t="n"/>
      <c r="AB186" s="9" t="n"/>
      <c r="AC186" s="9" t="n"/>
      <c r="AD186" s="9" t="n"/>
      <c r="AE186" s="9" t="n"/>
      <c r="AF186" s="9" t="n"/>
      <c r="AG186" s="9" t="n"/>
    </row>
    <row r="187">
      <c r="A187" s="13">
        <f>IF(ISBLANK(D187),"",ROW()-1)</f>
        <v/>
      </c>
      <c r="B187" s="14" t="n"/>
      <c r="C187" s="13">
        <f>IF(ISBLANK(D187),"",MID(K187,SEARCH("(",K187)+1,SEARCH(")",K187)-SEARCH("(",K187)-1)&amp;"-"&amp;MID(L187,SEARCH("(",L187)+1,SEARCH(")",L187)-SEARCH("(",L187)-1)&amp;"-"&amp;H187&amp;"-"&amp;TEXT(A187,"000")&amp;IF(ISBLANK(N187),"","-"&amp;SUBSTITUTE(N187," ","")))</f>
        <v/>
      </c>
      <c r="D187" s="9" t="n"/>
      <c r="E187" s="9" t="n"/>
      <c r="F187" s="9" t="n"/>
      <c r="G187" s="9" t="n"/>
      <c r="H187" s="13">
        <f>IF(ISBLANK(F187),"",IF(G187&lt;&gt;"",UPPER(TRIM(G187)),IF(ISNUMBER(SEARCH(" ",TRIM(F187))),UPPER(LEFT(TRIM(RIGHT(SUBSTITUTE(TRIM(F187)," ",REPT(" ",100)),100)),Settings!$B$9)),UPPER(LEFT(TRIM(F187),Settings!$B$9)))))</f>
        <v/>
      </c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15">
        <f>IF(ISBLANK(D187),"",IF(COUNTIFS(Circulation!$B$2:$B$500,A187,Circulation!$H$2:$H$500,"Active")&gt;0,"On Loan","Available"))</f>
        <v/>
      </c>
      <c r="AA187" s="9" t="n"/>
      <c r="AB187" s="9" t="n"/>
      <c r="AC187" s="9" t="n"/>
      <c r="AD187" s="9" t="n"/>
      <c r="AE187" s="9" t="n"/>
      <c r="AF187" s="9" t="n"/>
      <c r="AG187" s="9" t="n"/>
    </row>
    <row r="188">
      <c r="A188" s="13">
        <f>IF(ISBLANK(D188),"",ROW()-1)</f>
        <v/>
      </c>
      <c r="B188" s="14" t="n"/>
      <c r="C188" s="13">
        <f>IF(ISBLANK(D188),"",MID(K188,SEARCH("(",K188)+1,SEARCH(")",K188)-SEARCH("(",K188)-1)&amp;"-"&amp;MID(L188,SEARCH("(",L188)+1,SEARCH(")",L188)-SEARCH("(",L188)-1)&amp;"-"&amp;H188&amp;"-"&amp;TEXT(A188,"000")&amp;IF(ISBLANK(N188),"","-"&amp;SUBSTITUTE(N188," ","")))</f>
        <v/>
      </c>
      <c r="D188" s="9" t="n"/>
      <c r="E188" s="9" t="n"/>
      <c r="F188" s="9" t="n"/>
      <c r="G188" s="9" t="n"/>
      <c r="H188" s="13">
        <f>IF(ISBLANK(F188),"",IF(G188&lt;&gt;"",UPPER(TRIM(G188)),IF(ISNUMBER(SEARCH(" ",TRIM(F188))),UPPER(LEFT(TRIM(RIGHT(SUBSTITUTE(TRIM(F188)," ",REPT(" ",100)),100)),Settings!$B$9)),UPPER(LEFT(TRIM(F188),Settings!$B$9)))))</f>
        <v/>
      </c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15">
        <f>IF(ISBLANK(D188),"",IF(COUNTIFS(Circulation!$B$2:$B$500,A188,Circulation!$H$2:$H$500,"Active")&gt;0,"On Loan","Available"))</f>
        <v/>
      </c>
      <c r="AA188" s="9" t="n"/>
      <c r="AB188" s="9" t="n"/>
      <c r="AC188" s="9" t="n"/>
      <c r="AD188" s="9" t="n"/>
      <c r="AE188" s="9" t="n"/>
      <c r="AF188" s="9" t="n"/>
      <c r="AG188" s="9" t="n"/>
    </row>
    <row r="189">
      <c r="A189" s="13">
        <f>IF(ISBLANK(D189),"",ROW()-1)</f>
        <v/>
      </c>
      <c r="B189" s="14" t="n"/>
      <c r="C189" s="13">
        <f>IF(ISBLANK(D189),"",MID(K189,SEARCH("(",K189)+1,SEARCH(")",K189)-SEARCH("(",K189)-1)&amp;"-"&amp;MID(L189,SEARCH("(",L189)+1,SEARCH(")",L189)-SEARCH("(",L189)-1)&amp;"-"&amp;H189&amp;"-"&amp;TEXT(A189,"000")&amp;IF(ISBLANK(N189),"","-"&amp;SUBSTITUTE(N189," ","")))</f>
        <v/>
      </c>
      <c r="D189" s="9" t="n"/>
      <c r="E189" s="9" t="n"/>
      <c r="F189" s="9" t="n"/>
      <c r="G189" s="9" t="n"/>
      <c r="H189" s="13">
        <f>IF(ISBLANK(F189),"",IF(G189&lt;&gt;"",UPPER(TRIM(G189)),IF(ISNUMBER(SEARCH(" ",TRIM(F189))),UPPER(LEFT(TRIM(RIGHT(SUBSTITUTE(TRIM(F189)," ",REPT(" ",100)),100)),Settings!$B$9)),UPPER(LEFT(TRIM(F189),Settings!$B$9)))))</f>
        <v/>
      </c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15">
        <f>IF(ISBLANK(D189),"",IF(COUNTIFS(Circulation!$B$2:$B$500,A189,Circulation!$H$2:$H$500,"Active")&gt;0,"On Loan","Available"))</f>
        <v/>
      </c>
      <c r="AA189" s="9" t="n"/>
      <c r="AB189" s="9" t="n"/>
      <c r="AC189" s="9" t="n"/>
      <c r="AD189" s="9" t="n"/>
      <c r="AE189" s="9" t="n"/>
      <c r="AF189" s="9" t="n"/>
      <c r="AG189" s="9" t="n"/>
    </row>
    <row r="190">
      <c r="A190" s="13">
        <f>IF(ISBLANK(D190),"",ROW()-1)</f>
        <v/>
      </c>
      <c r="B190" s="14" t="n"/>
      <c r="C190" s="13">
        <f>IF(ISBLANK(D190),"",MID(K190,SEARCH("(",K190)+1,SEARCH(")",K190)-SEARCH("(",K190)-1)&amp;"-"&amp;MID(L190,SEARCH("(",L190)+1,SEARCH(")",L190)-SEARCH("(",L190)-1)&amp;"-"&amp;H190&amp;"-"&amp;TEXT(A190,"000")&amp;IF(ISBLANK(N190),"","-"&amp;SUBSTITUTE(N190," ","")))</f>
        <v/>
      </c>
      <c r="D190" s="9" t="n"/>
      <c r="E190" s="9" t="n"/>
      <c r="F190" s="9" t="n"/>
      <c r="G190" s="9" t="n"/>
      <c r="H190" s="13">
        <f>IF(ISBLANK(F190),"",IF(G190&lt;&gt;"",UPPER(TRIM(G190)),IF(ISNUMBER(SEARCH(" ",TRIM(F190))),UPPER(LEFT(TRIM(RIGHT(SUBSTITUTE(TRIM(F190)," ",REPT(" ",100)),100)),Settings!$B$9)),UPPER(LEFT(TRIM(F190),Settings!$B$9)))))</f>
        <v/>
      </c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15">
        <f>IF(ISBLANK(D190),"",IF(COUNTIFS(Circulation!$B$2:$B$500,A190,Circulation!$H$2:$H$500,"Active")&gt;0,"On Loan","Available"))</f>
        <v/>
      </c>
      <c r="AA190" s="9" t="n"/>
      <c r="AB190" s="9" t="n"/>
      <c r="AC190" s="9" t="n"/>
      <c r="AD190" s="9" t="n"/>
      <c r="AE190" s="9" t="n"/>
      <c r="AF190" s="9" t="n"/>
      <c r="AG190" s="9" t="n"/>
    </row>
    <row r="191">
      <c r="A191" s="13">
        <f>IF(ISBLANK(D191),"",ROW()-1)</f>
        <v/>
      </c>
      <c r="B191" s="14" t="n"/>
      <c r="C191" s="13">
        <f>IF(ISBLANK(D191),"",MID(K191,SEARCH("(",K191)+1,SEARCH(")",K191)-SEARCH("(",K191)-1)&amp;"-"&amp;MID(L191,SEARCH("(",L191)+1,SEARCH(")",L191)-SEARCH("(",L191)-1)&amp;"-"&amp;H191&amp;"-"&amp;TEXT(A191,"000")&amp;IF(ISBLANK(N191),"","-"&amp;SUBSTITUTE(N191," ","")))</f>
        <v/>
      </c>
      <c r="D191" s="9" t="n"/>
      <c r="E191" s="9" t="n"/>
      <c r="F191" s="9" t="n"/>
      <c r="G191" s="9" t="n"/>
      <c r="H191" s="13">
        <f>IF(ISBLANK(F191),"",IF(G191&lt;&gt;"",UPPER(TRIM(G191)),IF(ISNUMBER(SEARCH(" ",TRIM(F191))),UPPER(LEFT(TRIM(RIGHT(SUBSTITUTE(TRIM(F191)," ",REPT(" ",100)),100)),Settings!$B$9)),UPPER(LEFT(TRIM(F191),Settings!$B$9)))))</f>
        <v/>
      </c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15">
        <f>IF(ISBLANK(D191),"",IF(COUNTIFS(Circulation!$B$2:$B$500,A191,Circulation!$H$2:$H$500,"Active")&gt;0,"On Loan","Available"))</f>
        <v/>
      </c>
      <c r="AA191" s="9" t="n"/>
      <c r="AB191" s="9" t="n"/>
      <c r="AC191" s="9" t="n"/>
      <c r="AD191" s="9" t="n"/>
      <c r="AE191" s="9" t="n"/>
      <c r="AF191" s="9" t="n"/>
      <c r="AG191" s="9" t="n"/>
    </row>
    <row r="192">
      <c r="A192" s="13">
        <f>IF(ISBLANK(D192),"",ROW()-1)</f>
        <v/>
      </c>
      <c r="B192" s="14" t="n"/>
      <c r="C192" s="13">
        <f>IF(ISBLANK(D192),"",MID(K192,SEARCH("(",K192)+1,SEARCH(")",K192)-SEARCH("(",K192)-1)&amp;"-"&amp;MID(L192,SEARCH("(",L192)+1,SEARCH(")",L192)-SEARCH("(",L192)-1)&amp;"-"&amp;H192&amp;"-"&amp;TEXT(A192,"000")&amp;IF(ISBLANK(N192),"","-"&amp;SUBSTITUTE(N192," ","")))</f>
        <v/>
      </c>
      <c r="D192" s="9" t="n"/>
      <c r="E192" s="9" t="n"/>
      <c r="F192" s="9" t="n"/>
      <c r="G192" s="9" t="n"/>
      <c r="H192" s="13">
        <f>IF(ISBLANK(F192),"",IF(G192&lt;&gt;"",UPPER(TRIM(G192)),IF(ISNUMBER(SEARCH(" ",TRIM(F192))),UPPER(LEFT(TRIM(RIGHT(SUBSTITUTE(TRIM(F192)," ",REPT(" ",100)),100)),Settings!$B$9)),UPPER(LEFT(TRIM(F192),Settings!$B$9)))))</f>
        <v/>
      </c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15">
        <f>IF(ISBLANK(D192),"",IF(COUNTIFS(Circulation!$B$2:$B$500,A192,Circulation!$H$2:$H$500,"Active")&gt;0,"On Loan","Available"))</f>
        <v/>
      </c>
      <c r="AA192" s="9" t="n"/>
      <c r="AB192" s="9" t="n"/>
      <c r="AC192" s="9" t="n"/>
      <c r="AD192" s="9" t="n"/>
      <c r="AE192" s="9" t="n"/>
      <c r="AF192" s="9" t="n"/>
      <c r="AG192" s="9" t="n"/>
    </row>
    <row r="193">
      <c r="A193" s="13">
        <f>IF(ISBLANK(D193),"",ROW()-1)</f>
        <v/>
      </c>
      <c r="B193" s="14" t="n"/>
      <c r="C193" s="13">
        <f>IF(ISBLANK(D193),"",MID(K193,SEARCH("(",K193)+1,SEARCH(")",K193)-SEARCH("(",K193)-1)&amp;"-"&amp;MID(L193,SEARCH("(",L193)+1,SEARCH(")",L193)-SEARCH("(",L193)-1)&amp;"-"&amp;H193&amp;"-"&amp;TEXT(A193,"000")&amp;IF(ISBLANK(N193),"","-"&amp;SUBSTITUTE(N193," ","")))</f>
        <v/>
      </c>
      <c r="D193" s="9" t="n"/>
      <c r="E193" s="9" t="n"/>
      <c r="F193" s="9" t="n"/>
      <c r="G193" s="9" t="n"/>
      <c r="H193" s="13">
        <f>IF(ISBLANK(F193),"",IF(G193&lt;&gt;"",UPPER(TRIM(G193)),IF(ISNUMBER(SEARCH(" ",TRIM(F193))),UPPER(LEFT(TRIM(RIGHT(SUBSTITUTE(TRIM(F193)," ",REPT(" ",100)),100)),Settings!$B$9)),UPPER(LEFT(TRIM(F193),Settings!$B$9)))))</f>
        <v/>
      </c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15">
        <f>IF(ISBLANK(D193),"",IF(COUNTIFS(Circulation!$B$2:$B$500,A193,Circulation!$H$2:$H$500,"Active")&gt;0,"On Loan","Available"))</f>
        <v/>
      </c>
      <c r="AA193" s="9" t="n"/>
      <c r="AB193" s="9" t="n"/>
      <c r="AC193" s="9" t="n"/>
      <c r="AD193" s="9" t="n"/>
      <c r="AE193" s="9" t="n"/>
      <c r="AF193" s="9" t="n"/>
      <c r="AG193" s="9" t="n"/>
    </row>
    <row r="194">
      <c r="A194" s="13">
        <f>IF(ISBLANK(D194),"",ROW()-1)</f>
        <v/>
      </c>
      <c r="B194" s="14" t="n"/>
      <c r="C194" s="13">
        <f>IF(ISBLANK(D194),"",MID(K194,SEARCH("(",K194)+1,SEARCH(")",K194)-SEARCH("(",K194)-1)&amp;"-"&amp;MID(L194,SEARCH("(",L194)+1,SEARCH(")",L194)-SEARCH("(",L194)-1)&amp;"-"&amp;H194&amp;"-"&amp;TEXT(A194,"000")&amp;IF(ISBLANK(N194),"","-"&amp;SUBSTITUTE(N194," ","")))</f>
        <v/>
      </c>
      <c r="D194" s="9" t="n"/>
      <c r="E194" s="9" t="n"/>
      <c r="F194" s="9" t="n"/>
      <c r="G194" s="9" t="n"/>
      <c r="H194" s="13">
        <f>IF(ISBLANK(F194),"",IF(G194&lt;&gt;"",UPPER(TRIM(G194)),IF(ISNUMBER(SEARCH(" ",TRIM(F194))),UPPER(LEFT(TRIM(RIGHT(SUBSTITUTE(TRIM(F194)," ",REPT(" ",100)),100)),Settings!$B$9)),UPPER(LEFT(TRIM(F194),Settings!$B$9)))))</f>
        <v/>
      </c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15">
        <f>IF(ISBLANK(D194),"",IF(COUNTIFS(Circulation!$B$2:$B$500,A194,Circulation!$H$2:$H$500,"Active")&gt;0,"On Loan","Available"))</f>
        <v/>
      </c>
      <c r="AA194" s="9" t="n"/>
      <c r="AB194" s="9" t="n"/>
      <c r="AC194" s="9" t="n"/>
      <c r="AD194" s="9" t="n"/>
      <c r="AE194" s="9" t="n"/>
      <c r="AF194" s="9" t="n"/>
      <c r="AG194" s="9" t="n"/>
    </row>
    <row r="195">
      <c r="A195" s="13">
        <f>IF(ISBLANK(D195),"",ROW()-1)</f>
        <v/>
      </c>
      <c r="B195" s="14" t="n"/>
      <c r="C195" s="13">
        <f>IF(ISBLANK(D195),"",MID(K195,SEARCH("(",K195)+1,SEARCH(")",K195)-SEARCH("(",K195)-1)&amp;"-"&amp;MID(L195,SEARCH("(",L195)+1,SEARCH(")",L195)-SEARCH("(",L195)-1)&amp;"-"&amp;H195&amp;"-"&amp;TEXT(A195,"000")&amp;IF(ISBLANK(N195),"","-"&amp;SUBSTITUTE(N195," ","")))</f>
        <v/>
      </c>
      <c r="D195" s="9" t="n"/>
      <c r="E195" s="9" t="n"/>
      <c r="F195" s="9" t="n"/>
      <c r="G195" s="9" t="n"/>
      <c r="H195" s="13">
        <f>IF(ISBLANK(F195),"",IF(G195&lt;&gt;"",UPPER(TRIM(G195)),IF(ISNUMBER(SEARCH(" ",TRIM(F195))),UPPER(LEFT(TRIM(RIGHT(SUBSTITUTE(TRIM(F195)," ",REPT(" ",100)),100)),Settings!$B$9)),UPPER(LEFT(TRIM(F195),Settings!$B$9)))))</f>
        <v/>
      </c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15">
        <f>IF(ISBLANK(D195),"",IF(COUNTIFS(Circulation!$B$2:$B$500,A195,Circulation!$H$2:$H$500,"Active")&gt;0,"On Loan","Available"))</f>
        <v/>
      </c>
      <c r="AA195" s="9" t="n"/>
      <c r="AB195" s="9" t="n"/>
      <c r="AC195" s="9" t="n"/>
      <c r="AD195" s="9" t="n"/>
      <c r="AE195" s="9" t="n"/>
      <c r="AF195" s="9" t="n"/>
      <c r="AG195" s="9" t="n"/>
    </row>
    <row r="196">
      <c r="A196" s="13">
        <f>IF(ISBLANK(D196),"",ROW()-1)</f>
        <v/>
      </c>
      <c r="B196" s="14" t="n"/>
      <c r="C196" s="13">
        <f>IF(ISBLANK(D196),"",MID(K196,SEARCH("(",K196)+1,SEARCH(")",K196)-SEARCH("(",K196)-1)&amp;"-"&amp;MID(L196,SEARCH("(",L196)+1,SEARCH(")",L196)-SEARCH("(",L196)-1)&amp;"-"&amp;H196&amp;"-"&amp;TEXT(A196,"000")&amp;IF(ISBLANK(N196),"","-"&amp;SUBSTITUTE(N196," ","")))</f>
        <v/>
      </c>
      <c r="D196" s="9" t="n"/>
      <c r="E196" s="9" t="n"/>
      <c r="F196" s="9" t="n"/>
      <c r="G196" s="9" t="n"/>
      <c r="H196" s="13">
        <f>IF(ISBLANK(F196),"",IF(G196&lt;&gt;"",UPPER(TRIM(G196)),IF(ISNUMBER(SEARCH(" ",TRIM(F196))),UPPER(LEFT(TRIM(RIGHT(SUBSTITUTE(TRIM(F196)," ",REPT(" ",100)),100)),Settings!$B$9)),UPPER(LEFT(TRIM(F196),Settings!$B$9)))))</f>
        <v/>
      </c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15">
        <f>IF(ISBLANK(D196),"",IF(COUNTIFS(Circulation!$B$2:$B$500,A196,Circulation!$H$2:$H$500,"Active")&gt;0,"On Loan","Available"))</f>
        <v/>
      </c>
      <c r="AA196" s="9" t="n"/>
      <c r="AB196" s="9" t="n"/>
      <c r="AC196" s="9" t="n"/>
      <c r="AD196" s="9" t="n"/>
      <c r="AE196" s="9" t="n"/>
      <c r="AF196" s="9" t="n"/>
      <c r="AG196" s="9" t="n"/>
    </row>
    <row r="197">
      <c r="A197" s="13">
        <f>IF(ISBLANK(D197),"",ROW()-1)</f>
        <v/>
      </c>
      <c r="B197" s="14" t="n"/>
      <c r="C197" s="13">
        <f>IF(ISBLANK(D197),"",MID(K197,SEARCH("(",K197)+1,SEARCH(")",K197)-SEARCH("(",K197)-1)&amp;"-"&amp;MID(L197,SEARCH("(",L197)+1,SEARCH(")",L197)-SEARCH("(",L197)-1)&amp;"-"&amp;H197&amp;"-"&amp;TEXT(A197,"000")&amp;IF(ISBLANK(N197),"","-"&amp;SUBSTITUTE(N197," ","")))</f>
        <v/>
      </c>
      <c r="D197" s="9" t="n"/>
      <c r="E197" s="9" t="n"/>
      <c r="F197" s="9" t="n"/>
      <c r="G197" s="9" t="n"/>
      <c r="H197" s="13">
        <f>IF(ISBLANK(F197),"",IF(G197&lt;&gt;"",UPPER(TRIM(G197)),IF(ISNUMBER(SEARCH(" ",TRIM(F197))),UPPER(LEFT(TRIM(RIGHT(SUBSTITUTE(TRIM(F197)," ",REPT(" ",100)),100)),Settings!$B$9)),UPPER(LEFT(TRIM(F197),Settings!$B$9)))))</f>
        <v/>
      </c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15">
        <f>IF(ISBLANK(D197),"",IF(COUNTIFS(Circulation!$B$2:$B$500,A197,Circulation!$H$2:$H$500,"Active")&gt;0,"On Loan","Available"))</f>
        <v/>
      </c>
      <c r="AA197" s="9" t="n"/>
      <c r="AB197" s="9" t="n"/>
      <c r="AC197" s="9" t="n"/>
      <c r="AD197" s="9" t="n"/>
      <c r="AE197" s="9" t="n"/>
      <c r="AF197" s="9" t="n"/>
      <c r="AG197" s="9" t="n"/>
    </row>
    <row r="198">
      <c r="A198" s="13">
        <f>IF(ISBLANK(D198),"",ROW()-1)</f>
        <v/>
      </c>
      <c r="B198" s="14" t="n"/>
      <c r="C198" s="13">
        <f>IF(ISBLANK(D198),"",MID(K198,SEARCH("(",K198)+1,SEARCH(")",K198)-SEARCH("(",K198)-1)&amp;"-"&amp;MID(L198,SEARCH("(",L198)+1,SEARCH(")",L198)-SEARCH("(",L198)-1)&amp;"-"&amp;H198&amp;"-"&amp;TEXT(A198,"000")&amp;IF(ISBLANK(N198),"","-"&amp;SUBSTITUTE(N198," ","")))</f>
        <v/>
      </c>
      <c r="D198" s="9" t="n"/>
      <c r="E198" s="9" t="n"/>
      <c r="F198" s="9" t="n"/>
      <c r="G198" s="9" t="n"/>
      <c r="H198" s="13">
        <f>IF(ISBLANK(F198),"",IF(G198&lt;&gt;"",UPPER(TRIM(G198)),IF(ISNUMBER(SEARCH(" ",TRIM(F198))),UPPER(LEFT(TRIM(RIGHT(SUBSTITUTE(TRIM(F198)," ",REPT(" ",100)),100)),Settings!$B$9)),UPPER(LEFT(TRIM(F198),Settings!$B$9)))))</f>
        <v/>
      </c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15">
        <f>IF(ISBLANK(D198),"",IF(COUNTIFS(Circulation!$B$2:$B$500,A198,Circulation!$H$2:$H$500,"Active")&gt;0,"On Loan","Available"))</f>
        <v/>
      </c>
      <c r="AA198" s="9" t="n"/>
      <c r="AB198" s="9" t="n"/>
      <c r="AC198" s="9" t="n"/>
      <c r="AD198" s="9" t="n"/>
      <c r="AE198" s="9" t="n"/>
      <c r="AF198" s="9" t="n"/>
      <c r="AG198" s="9" t="n"/>
    </row>
    <row r="199">
      <c r="A199" s="13">
        <f>IF(ISBLANK(D199),"",ROW()-1)</f>
        <v/>
      </c>
      <c r="B199" s="14" t="n"/>
      <c r="C199" s="13">
        <f>IF(ISBLANK(D199),"",MID(K199,SEARCH("(",K199)+1,SEARCH(")",K199)-SEARCH("(",K199)-1)&amp;"-"&amp;MID(L199,SEARCH("(",L199)+1,SEARCH(")",L199)-SEARCH("(",L199)-1)&amp;"-"&amp;H199&amp;"-"&amp;TEXT(A199,"000")&amp;IF(ISBLANK(N199),"","-"&amp;SUBSTITUTE(N199," ","")))</f>
        <v/>
      </c>
      <c r="D199" s="9" t="n"/>
      <c r="E199" s="9" t="n"/>
      <c r="F199" s="9" t="n"/>
      <c r="G199" s="9" t="n"/>
      <c r="H199" s="13">
        <f>IF(ISBLANK(F199),"",IF(G199&lt;&gt;"",UPPER(TRIM(G199)),IF(ISNUMBER(SEARCH(" ",TRIM(F199))),UPPER(LEFT(TRIM(RIGHT(SUBSTITUTE(TRIM(F199)," ",REPT(" ",100)),100)),Settings!$B$9)),UPPER(LEFT(TRIM(F199),Settings!$B$9)))))</f>
        <v/>
      </c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15">
        <f>IF(ISBLANK(D199),"",IF(COUNTIFS(Circulation!$B$2:$B$500,A199,Circulation!$H$2:$H$500,"Active")&gt;0,"On Loan","Available"))</f>
        <v/>
      </c>
      <c r="AA199" s="9" t="n"/>
      <c r="AB199" s="9" t="n"/>
      <c r="AC199" s="9" t="n"/>
      <c r="AD199" s="9" t="n"/>
      <c r="AE199" s="9" t="n"/>
      <c r="AF199" s="9" t="n"/>
      <c r="AG199" s="9" t="n"/>
    </row>
    <row r="200">
      <c r="A200" s="13">
        <f>IF(ISBLANK(D200),"",ROW()-1)</f>
        <v/>
      </c>
      <c r="B200" s="14" t="n"/>
      <c r="C200" s="13">
        <f>IF(ISBLANK(D200),"",MID(K200,SEARCH("(",K200)+1,SEARCH(")",K200)-SEARCH("(",K200)-1)&amp;"-"&amp;MID(L200,SEARCH("(",L200)+1,SEARCH(")",L200)-SEARCH("(",L200)-1)&amp;"-"&amp;H200&amp;"-"&amp;TEXT(A200,"000")&amp;IF(ISBLANK(N200),"","-"&amp;SUBSTITUTE(N200," ","")))</f>
        <v/>
      </c>
      <c r="D200" s="9" t="n"/>
      <c r="E200" s="9" t="n"/>
      <c r="F200" s="9" t="n"/>
      <c r="G200" s="9" t="n"/>
      <c r="H200" s="13">
        <f>IF(ISBLANK(F200),"",IF(G200&lt;&gt;"",UPPER(TRIM(G200)),IF(ISNUMBER(SEARCH(" ",TRIM(F200))),UPPER(LEFT(TRIM(RIGHT(SUBSTITUTE(TRIM(F200)," ",REPT(" ",100)),100)),Settings!$B$9)),UPPER(LEFT(TRIM(F200),Settings!$B$9)))))</f>
        <v/>
      </c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15">
        <f>IF(ISBLANK(D200),"",IF(COUNTIFS(Circulation!$B$2:$B$500,A200,Circulation!$H$2:$H$500,"Active")&gt;0,"On Loan","Available"))</f>
        <v/>
      </c>
      <c r="AA200" s="9" t="n"/>
      <c r="AB200" s="9" t="n"/>
      <c r="AC200" s="9" t="n"/>
      <c r="AD200" s="9" t="n"/>
      <c r="AE200" s="9" t="n"/>
      <c r="AF200" s="9" t="n"/>
      <c r="AG200" s="9" t="n"/>
    </row>
    <row r="201">
      <c r="A201" s="13">
        <f>IF(ISBLANK(D201),"",ROW()-1)</f>
        <v/>
      </c>
      <c r="B201" s="14" t="n"/>
      <c r="C201" s="13">
        <f>IF(ISBLANK(D201),"",MID(K201,SEARCH("(",K201)+1,SEARCH(")",K201)-SEARCH("(",K201)-1)&amp;"-"&amp;MID(L201,SEARCH("(",L201)+1,SEARCH(")",L201)-SEARCH("(",L201)-1)&amp;"-"&amp;H201&amp;"-"&amp;TEXT(A201,"000")&amp;IF(ISBLANK(N201),"","-"&amp;SUBSTITUTE(N201," ","")))</f>
        <v/>
      </c>
      <c r="D201" s="9" t="n"/>
      <c r="E201" s="9" t="n"/>
      <c r="F201" s="9" t="n"/>
      <c r="G201" s="9" t="n"/>
      <c r="H201" s="13">
        <f>IF(ISBLANK(F201),"",IF(G201&lt;&gt;"",UPPER(TRIM(G201)),IF(ISNUMBER(SEARCH(" ",TRIM(F201))),UPPER(LEFT(TRIM(RIGHT(SUBSTITUTE(TRIM(F201)," ",REPT(" ",100)),100)),Settings!$B$9)),UPPER(LEFT(TRIM(F201),Settings!$B$9)))))</f>
        <v/>
      </c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15">
        <f>IF(ISBLANK(D201),"",IF(COUNTIFS(Circulation!$B$2:$B$500,A201,Circulation!$H$2:$H$500,"Active")&gt;0,"On Loan","Available"))</f>
        <v/>
      </c>
      <c r="AA201" s="9" t="n"/>
      <c r="AB201" s="9" t="n"/>
      <c r="AC201" s="9" t="n"/>
      <c r="AD201" s="9" t="n"/>
      <c r="AE201" s="9" t="n"/>
      <c r="AF201" s="9" t="n"/>
      <c r="AG201" s="9" t="n"/>
    </row>
    <row r="202">
      <c r="A202" s="13">
        <f>IF(ISBLANK(D202),"",ROW()-1)</f>
        <v/>
      </c>
      <c r="B202" s="14" t="n"/>
      <c r="C202" s="13">
        <f>IF(ISBLANK(D202),"",MID(K202,SEARCH("(",K202)+1,SEARCH(")",K202)-SEARCH("(",K202)-1)&amp;"-"&amp;MID(L202,SEARCH("(",L202)+1,SEARCH(")",L202)-SEARCH("(",L202)-1)&amp;"-"&amp;H202&amp;"-"&amp;TEXT(A202,"000")&amp;IF(ISBLANK(N202),"","-"&amp;SUBSTITUTE(N202," ","")))</f>
        <v/>
      </c>
      <c r="D202" s="9" t="n"/>
      <c r="E202" s="9" t="n"/>
      <c r="F202" s="9" t="n"/>
      <c r="G202" s="9" t="n"/>
      <c r="H202" s="13">
        <f>IF(ISBLANK(F202),"",IF(G202&lt;&gt;"",UPPER(TRIM(G202)),IF(ISNUMBER(SEARCH(" ",TRIM(F202))),UPPER(LEFT(TRIM(RIGHT(SUBSTITUTE(TRIM(F202)," ",REPT(" ",100)),100)),Settings!$B$9)),UPPER(LEFT(TRIM(F202),Settings!$B$9)))))</f>
        <v/>
      </c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15">
        <f>IF(ISBLANK(D202),"",IF(COUNTIFS(Circulation!$B$2:$B$500,A202,Circulation!$H$2:$H$500,"Active")&gt;0,"On Loan","Available"))</f>
        <v/>
      </c>
      <c r="AA202" s="9" t="n"/>
      <c r="AB202" s="9" t="n"/>
      <c r="AC202" s="9" t="n"/>
      <c r="AD202" s="9" t="n"/>
      <c r="AE202" s="9" t="n"/>
      <c r="AF202" s="9" t="n"/>
      <c r="AG202" s="9" t="n"/>
    </row>
    <row r="203">
      <c r="A203" s="13">
        <f>IF(ISBLANK(D203),"",ROW()-1)</f>
        <v/>
      </c>
      <c r="B203" s="14" t="n"/>
      <c r="C203" s="13">
        <f>IF(ISBLANK(D203),"",MID(K203,SEARCH("(",K203)+1,SEARCH(")",K203)-SEARCH("(",K203)-1)&amp;"-"&amp;MID(L203,SEARCH("(",L203)+1,SEARCH(")",L203)-SEARCH("(",L203)-1)&amp;"-"&amp;H203&amp;"-"&amp;TEXT(A203,"000")&amp;IF(ISBLANK(N203),"","-"&amp;SUBSTITUTE(N203," ","")))</f>
        <v/>
      </c>
      <c r="D203" s="9" t="n"/>
      <c r="E203" s="9" t="n"/>
      <c r="F203" s="9" t="n"/>
      <c r="G203" s="9" t="n"/>
      <c r="H203" s="13">
        <f>IF(ISBLANK(F203),"",IF(G203&lt;&gt;"",UPPER(TRIM(G203)),IF(ISNUMBER(SEARCH(" ",TRIM(F203))),UPPER(LEFT(TRIM(RIGHT(SUBSTITUTE(TRIM(F203)," ",REPT(" ",100)),100)),Settings!$B$9)),UPPER(LEFT(TRIM(F203),Settings!$B$9)))))</f>
        <v/>
      </c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15">
        <f>IF(ISBLANK(D203),"",IF(COUNTIFS(Circulation!$B$2:$B$500,A203,Circulation!$H$2:$H$500,"Active")&gt;0,"On Loan","Available"))</f>
        <v/>
      </c>
      <c r="AA203" s="9" t="n"/>
      <c r="AB203" s="9" t="n"/>
      <c r="AC203" s="9" t="n"/>
      <c r="AD203" s="9" t="n"/>
      <c r="AE203" s="9" t="n"/>
      <c r="AF203" s="9" t="n"/>
      <c r="AG203" s="9" t="n"/>
    </row>
    <row r="204">
      <c r="A204" s="13">
        <f>IF(ISBLANK(D204),"",ROW()-1)</f>
        <v/>
      </c>
      <c r="B204" s="14" t="n"/>
      <c r="C204" s="13">
        <f>IF(ISBLANK(D204),"",MID(K204,SEARCH("(",K204)+1,SEARCH(")",K204)-SEARCH("(",K204)-1)&amp;"-"&amp;MID(L204,SEARCH("(",L204)+1,SEARCH(")",L204)-SEARCH("(",L204)-1)&amp;"-"&amp;H204&amp;"-"&amp;TEXT(A204,"000")&amp;IF(ISBLANK(N204),"","-"&amp;SUBSTITUTE(N204," ","")))</f>
        <v/>
      </c>
      <c r="D204" s="9" t="n"/>
      <c r="E204" s="9" t="n"/>
      <c r="F204" s="9" t="n"/>
      <c r="G204" s="9" t="n"/>
      <c r="H204" s="13">
        <f>IF(ISBLANK(F204),"",IF(G204&lt;&gt;"",UPPER(TRIM(G204)),IF(ISNUMBER(SEARCH(" ",TRIM(F204))),UPPER(LEFT(TRIM(RIGHT(SUBSTITUTE(TRIM(F204)," ",REPT(" ",100)),100)),Settings!$B$9)),UPPER(LEFT(TRIM(F204),Settings!$B$9)))))</f>
        <v/>
      </c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15">
        <f>IF(ISBLANK(D204),"",IF(COUNTIFS(Circulation!$B$2:$B$500,A204,Circulation!$H$2:$H$500,"Active")&gt;0,"On Loan","Available"))</f>
        <v/>
      </c>
      <c r="AA204" s="9" t="n"/>
      <c r="AB204" s="9" t="n"/>
      <c r="AC204" s="9" t="n"/>
      <c r="AD204" s="9" t="n"/>
      <c r="AE204" s="9" t="n"/>
      <c r="AF204" s="9" t="n"/>
      <c r="AG204" s="9" t="n"/>
    </row>
    <row r="205">
      <c r="A205" s="13">
        <f>IF(ISBLANK(D205),"",ROW()-1)</f>
        <v/>
      </c>
      <c r="B205" s="14" t="n"/>
      <c r="C205" s="13">
        <f>IF(ISBLANK(D205),"",MID(K205,SEARCH("(",K205)+1,SEARCH(")",K205)-SEARCH("(",K205)-1)&amp;"-"&amp;MID(L205,SEARCH("(",L205)+1,SEARCH(")",L205)-SEARCH("(",L205)-1)&amp;"-"&amp;H205&amp;"-"&amp;TEXT(A205,"000")&amp;IF(ISBLANK(N205),"","-"&amp;SUBSTITUTE(N205," ","")))</f>
        <v/>
      </c>
      <c r="D205" s="9" t="n"/>
      <c r="E205" s="9" t="n"/>
      <c r="F205" s="9" t="n"/>
      <c r="G205" s="9" t="n"/>
      <c r="H205" s="13">
        <f>IF(ISBLANK(F205),"",IF(G205&lt;&gt;"",UPPER(TRIM(G205)),IF(ISNUMBER(SEARCH(" ",TRIM(F205))),UPPER(LEFT(TRIM(RIGHT(SUBSTITUTE(TRIM(F205)," ",REPT(" ",100)),100)),Settings!$B$9)),UPPER(LEFT(TRIM(F205),Settings!$B$9)))))</f>
        <v/>
      </c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15">
        <f>IF(ISBLANK(D205),"",IF(COUNTIFS(Circulation!$B$2:$B$500,A205,Circulation!$H$2:$H$500,"Active")&gt;0,"On Loan","Available"))</f>
        <v/>
      </c>
      <c r="AA205" s="9" t="n"/>
      <c r="AB205" s="9" t="n"/>
      <c r="AC205" s="9" t="n"/>
      <c r="AD205" s="9" t="n"/>
      <c r="AE205" s="9" t="n"/>
      <c r="AF205" s="9" t="n"/>
      <c r="AG205" s="9" t="n"/>
    </row>
    <row r="206">
      <c r="A206" s="13">
        <f>IF(ISBLANK(D206),"",ROW()-1)</f>
        <v/>
      </c>
      <c r="B206" s="14" t="n"/>
      <c r="C206" s="13">
        <f>IF(ISBLANK(D206),"",MID(K206,SEARCH("(",K206)+1,SEARCH(")",K206)-SEARCH("(",K206)-1)&amp;"-"&amp;MID(L206,SEARCH("(",L206)+1,SEARCH(")",L206)-SEARCH("(",L206)-1)&amp;"-"&amp;H206&amp;"-"&amp;TEXT(A206,"000")&amp;IF(ISBLANK(N206),"","-"&amp;SUBSTITUTE(N206," ","")))</f>
        <v/>
      </c>
      <c r="D206" s="9" t="n"/>
      <c r="E206" s="9" t="n"/>
      <c r="F206" s="9" t="n"/>
      <c r="G206" s="9" t="n"/>
      <c r="H206" s="13">
        <f>IF(ISBLANK(F206),"",IF(G206&lt;&gt;"",UPPER(TRIM(G206)),IF(ISNUMBER(SEARCH(" ",TRIM(F206))),UPPER(LEFT(TRIM(RIGHT(SUBSTITUTE(TRIM(F206)," ",REPT(" ",100)),100)),Settings!$B$9)),UPPER(LEFT(TRIM(F206),Settings!$B$9)))))</f>
        <v/>
      </c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15">
        <f>IF(ISBLANK(D206),"",IF(COUNTIFS(Circulation!$B$2:$B$500,A206,Circulation!$H$2:$H$500,"Active")&gt;0,"On Loan","Available"))</f>
        <v/>
      </c>
      <c r="AA206" s="9" t="n"/>
      <c r="AB206" s="9" t="n"/>
      <c r="AC206" s="9" t="n"/>
      <c r="AD206" s="9" t="n"/>
      <c r="AE206" s="9" t="n"/>
      <c r="AF206" s="9" t="n"/>
      <c r="AG206" s="9" t="n"/>
    </row>
    <row r="207">
      <c r="A207" s="13">
        <f>IF(ISBLANK(D207),"",ROW()-1)</f>
        <v/>
      </c>
      <c r="B207" s="14" t="n"/>
      <c r="C207" s="13">
        <f>IF(ISBLANK(D207),"",MID(K207,SEARCH("(",K207)+1,SEARCH(")",K207)-SEARCH("(",K207)-1)&amp;"-"&amp;MID(L207,SEARCH("(",L207)+1,SEARCH(")",L207)-SEARCH("(",L207)-1)&amp;"-"&amp;H207&amp;"-"&amp;TEXT(A207,"000")&amp;IF(ISBLANK(N207),"","-"&amp;SUBSTITUTE(N207," ","")))</f>
        <v/>
      </c>
      <c r="D207" s="9" t="n"/>
      <c r="E207" s="9" t="n"/>
      <c r="F207" s="9" t="n"/>
      <c r="G207" s="9" t="n"/>
      <c r="H207" s="13">
        <f>IF(ISBLANK(F207),"",IF(G207&lt;&gt;"",UPPER(TRIM(G207)),IF(ISNUMBER(SEARCH(" ",TRIM(F207))),UPPER(LEFT(TRIM(RIGHT(SUBSTITUTE(TRIM(F207)," ",REPT(" ",100)),100)),Settings!$B$9)),UPPER(LEFT(TRIM(F207),Settings!$B$9)))))</f>
        <v/>
      </c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15">
        <f>IF(ISBLANK(D207),"",IF(COUNTIFS(Circulation!$B$2:$B$500,A207,Circulation!$H$2:$H$500,"Active")&gt;0,"On Loan","Available"))</f>
        <v/>
      </c>
      <c r="AA207" s="9" t="n"/>
      <c r="AB207" s="9" t="n"/>
      <c r="AC207" s="9" t="n"/>
      <c r="AD207" s="9" t="n"/>
      <c r="AE207" s="9" t="n"/>
      <c r="AF207" s="9" t="n"/>
      <c r="AG207" s="9" t="n"/>
    </row>
    <row r="208">
      <c r="A208" s="13">
        <f>IF(ISBLANK(D208),"",ROW()-1)</f>
        <v/>
      </c>
      <c r="B208" s="14" t="n"/>
      <c r="C208" s="13">
        <f>IF(ISBLANK(D208),"",MID(K208,SEARCH("(",K208)+1,SEARCH(")",K208)-SEARCH("(",K208)-1)&amp;"-"&amp;MID(L208,SEARCH("(",L208)+1,SEARCH(")",L208)-SEARCH("(",L208)-1)&amp;"-"&amp;H208&amp;"-"&amp;TEXT(A208,"000")&amp;IF(ISBLANK(N208),"","-"&amp;SUBSTITUTE(N208," ","")))</f>
        <v/>
      </c>
      <c r="D208" s="9" t="n"/>
      <c r="E208" s="9" t="n"/>
      <c r="F208" s="9" t="n"/>
      <c r="G208" s="9" t="n"/>
      <c r="H208" s="13">
        <f>IF(ISBLANK(F208),"",IF(G208&lt;&gt;"",UPPER(TRIM(G208)),IF(ISNUMBER(SEARCH(" ",TRIM(F208))),UPPER(LEFT(TRIM(RIGHT(SUBSTITUTE(TRIM(F208)," ",REPT(" ",100)),100)),Settings!$B$9)),UPPER(LEFT(TRIM(F208),Settings!$B$9)))))</f>
        <v/>
      </c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15">
        <f>IF(ISBLANK(D208),"",IF(COUNTIFS(Circulation!$B$2:$B$500,A208,Circulation!$H$2:$H$500,"Active")&gt;0,"On Loan","Available"))</f>
        <v/>
      </c>
      <c r="AA208" s="9" t="n"/>
      <c r="AB208" s="9" t="n"/>
      <c r="AC208" s="9" t="n"/>
      <c r="AD208" s="9" t="n"/>
      <c r="AE208" s="9" t="n"/>
      <c r="AF208" s="9" t="n"/>
      <c r="AG208" s="9" t="n"/>
    </row>
    <row r="209">
      <c r="A209" s="13">
        <f>IF(ISBLANK(D209),"",ROW()-1)</f>
        <v/>
      </c>
      <c r="B209" s="14" t="n"/>
      <c r="C209" s="13">
        <f>IF(ISBLANK(D209),"",MID(K209,SEARCH("(",K209)+1,SEARCH(")",K209)-SEARCH("(",K209)-1)&amp;"-"&amp;MID(L209,SEARCH("(",L209)+1,SEARCH(")",L209)-SEARCH("(",L209)-1)&amp;"-"&amp;H209&amp;"-"&amp;TEXT(A209,"000")&amp;IF(ISBLANK(N209),"","-"&amp;SUBSTITUTE(N209," ","")))</f>
        <v/>
      </c>
      <c r="D209" s="9" t="n"/>
      <c r="E209" s="9" t="n"/>
      <c r="F209" s="9" t="n"/>
      <c r="G209" s="9" t="n"/>
      <c r="H209" s="13">
        <f>IF(ISBLANK(F209),"",IF(G209&lt;&gt;"",UPPER(TRIM(G209)),IF(ISNUMBER(SEARCH(" ",TRIM(F209))),UPPER(LEFT(TRIM(RIGHT(SUBSTITUTE(TRIM(F209)," ",REPT(" ",100)),100)),Settings!$B$9)),UPPER(LEFT(TRIM(F209),Settings!$B$9)))))</f>
        <v/>
      </c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15">
        <f>IF(ISBLANK(D209),"",IF(COUNTIFS(Circulation!$B$2:$B$500,A209,Circulation!$H$2:$H$500,"Active")&gt;0,"On Loan","Available"))</f>
        <v/>
      </c>
      <c r="AA209" s="9" t="n"/>
      <c r="AB209" s="9" t="n"/>
      <c r="AC209" s="9" t="n"/>
      <c r="AD209" s="9" t="n"/>
      <c r="AE209" s="9" t="n"/>
      <c r="AF209" s="9" t="n"/>
      <c r="AG209" s="9" t="n"/>
    </row>
    <row r="210">
      <c r="A210" s="13">
        <f>IF(ISBLANK(D210),"",ROW()-1)</f>
        <v/>
      </c>
      <c r="B210" s="14" t="n"/>
      <c r="C210" s="13">
        <f>IF(ISBLANK(D210),"",MID(K210,SEARCH("(",K210)+1,SEARCH(")",K210)-SEARCH("(",K210)-1)&amp;"-"&amp;MID(L210,SEARCH("(",L210)+1,SEARCH(")",L210)-SEARCH("(",L210)-1)&amp;"-"&amp;H210&amp;"-"&amp;TEXT(A210,"000")&amp;IF(ISBLANK(N210),"","-"&amp;SUBSTITUTE(N210," ","")))</f>
        <v/>
      </c>
      <c r="D210" s="9" t="n"/>
      <c r="E210" s="9" t="n"/>
      <c r="F210" s="9" t="n"/>
      <c r="G210" s="9" t="n"/>
      <c r="H210" s="13">
        <f>IF(ISBLANK(F210),"",IF(G210&lt;&gt;"",UPPER(TRIM(G210)),IF(ISNUMBER(SEARCH(" ",TRIM(F210))),UPPER(LEFT(TRIM(RIGHT(SUBSTITUTE(TRIM(F210)," ",REPT(" ",100)),100)),Settings!$B$9)),UPPER(LEFT(TRIM(F210),Settings!$B$9)))))</f>
        <v/>
      </c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15">
        <f>IF(ISBLANK(D210),"",IF(COUNTIFS(Circulation!$B$2:$B$500,A210,Circulation!$H$2:$H$500,"Active")&gt;0,"On Loan","Available"))</f>
        <v/>
      </c>
      <c r="AA210" s="9" t="n"/>
      <c r="AB210" s="9" t="n"/>
      <c r="AC210" s="9" t="n"/>
      <c r="AD210" s="9" t="n"/>
      <c r="AE210" s="9" t="n"/>
      <c r="AF210" s="9" t="n"/>
      <c r="AG210" s="9" t="n"/>
    </row>
    <row r="211">
      <c r="A211" s="13">
        <f>IF(ISBLANK(D211),"",ROW()-1)</f>
        <v/>
      </c>
      <c r="B211" s="14" t="n"/>
      <c r="C211" s="13">
        <f>IF(ISBLANK(D211),"",MID(K211,SEARCH("(",K211)+1,SEARCH(")",K211)-SEARCH("(",K211)-1)&amp;"-"&amp;MID(L211,SEARCH("(",L211)+1,SEARCH(")",L211)-SEARCH("(",L211)-1)&amp;"-"&amp;H211&amp;"-"&amp;TEXT(A211,"000")&amp;IF(ISBLANK(N211),"","-"&amp;SUBSTITUTE(N211," ","")))</f>
        <v/>
      </c>
      <c r="D211" s="9" t="n"/>
      <c r="E211" s="9" t="n"/>
      <c r="F211" s="9" t="n"/>
      <c r="G211" s="9" t="n"/>
      <c r="H211" s="13">
        <f>IF(ISBLANK(F211),"",IF(G211&lt;&gt;"",UPPER(TRIM(G211)),IF(ISNUMBER(SEARCH(" ",TRIM(F211))),UPPER(LEFT(TRIM(RIGHT(SUBSTITUTE(TRIM(F211)," ",REPT(" ",100)),100)),Settings!$B$9)),UPPER(LEFT(TRIM(F211),Settings!$B$9)))))</f>
        <v/>
      </c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15">
        <f>IF(ISBLANK(D211),"",IF(COUNTIFS(Circulation!$B$2:$B$500,A211,Circulation!$H$2:$H$500,"Active")&gt;0,"On Loan","Available"))</f>
        <v/>
      </c>
      <c r="AA211" s="9" t="n"/>
      <c r="AB211" s="9" t="n"/>
      <c r="AC211" s="9" t="n"/>
      <c r="AD211" s="9" t="n"/>
      <c r="AE211" s="9" t="n"/>
      <c r="AF211" s="9" t="n"/>
      <c r="AG211" s="9" t="n"/>
    </row>
    <row r="212">
      <c r="A212" s="13">
        <f>IF(ISBLANK(D212),"",ROW()-1)</f>
        <v/>
      </c>
      <c r="B212" s="14" t="n"/>
      <c r="C212" s="13">
        <f>IF(ISBLANK(D212),"",MID(K212,SEARCH("(",K212)+1,SEARCH(")",K212)-SEARCH("(",K212)-1)&amp;"-"&amp;MID(L212,SEARCH("(",L212)+1,SEARCH(")",L212)-SEARCH("(",L212)-1)&amp;"-"&amp;H212&amp;"-"&amp;TEXT(A212,"000")&amp;IF(ISBLANK(N212),"","-"&amp;SUBSTITUTE(N212," ","")))</f>
        <v/>
      </c>
      <c r="D212" s="9" t="n"/>
      <c r="E212" s="9" t="n"/>
      <c r="F212" s="9" t="n"/>
      <c r="G212" s="9" t="n"/>
      <c r="H212" s="13">
        <f>IF(ISBLANK(F212),"",IF(G212&lt;&gt;"",UPPER(TRIM(G212)),IF(ISNUMBER(SEARCH(" ",TRIM(F212))),UPPER(LEFT(TRIM(RIGHT(SUBSTITUTE(TRIM(F212)," ",REPT(" ",100)),100)),Settings!$B$9)),UPPER(LEFT(TRIM(F212),Settings!$B$9)))))</f>
        <v/>
      </c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15">
        <f>IF(ISBLANK(D212),"",IF(COUNTIFS(Circulation!$B$2:$B$500,A212,Circulation!$H$2:$H$500,"Active")&gt;0,"On Loan","Available"))</f>
        <v/>
      </c>
      <c r="AA212" s="9" t="n"/>
      <c r="AB212" s="9" t="n"/>
      <c r="AC212" s="9" t="n"/>
      <c r="AD212" s="9" t="n"/>
      <c r="AE212" s="9" t="n"/>
      <c r="AF212" s="9" t="n"/>
      <c r="AG212" s="9" t="n"/>
    </row>
    <row r="213">
      <c r="A213" s="13">
        <f>IF(ISBLANK(D213),"",ROW()-1)</f>
        <v/>
      </c>
      <c r="B213" s="14" t="n"/>
      <c r="C213" s="13">
        <f>IF(ISBLANK(D213),"",MID(K213,SEARCH("(",K213)+1,SEARCH(")",K213)-SEARCH("(",K213)-1)&amp;"-"&amp;MID(L213,SEARCH("(",L213)+1,SEARCH(")",L213)-SEARCH("(",L213)-1)&amp;"-"&amp;H213&amp;"-"&amp;TEXT(A213,"000")&amp;IF(ISBLANK(N213),"","-"&amp;SUBSTITUTE(N213," ","")))</f>
        <v/>
      </c>
      <c r="D213" s="9" t="n"/>
      <c r="E213" s="9" t="n"/>
      <c r="F213" s="9" t="n"/>
      <c r="G213" s="9" t="n"/>
      <c r="H213" s="13">
        <f>IF(ISBLANK(F213),"",IF(G213&lt;&gt;"",UPPER(TRIM(G213)),IF(ISNUMBER(SEARCH(" ",TRIM(F213))),UPPER(LEFT(TRIM(RIGHT(SUBSTITUTE(TRIM(F213)," ",REPT(" ",100)),100)),Settings!$B$9)),UPPER(LEFT(TRIM(F213),Settings!$B$9)))))</f>
        <v/>
      </c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15">
        <f>IF(ISBLANK(D213),"",IF(COUNTIFS(Circulation!$B$2:$B$500,A213,Circulation!$H$2:$H$500,"Active")&gt;0,"On Loan","Available"))</f>
        <v/>
      </c>
      <c r="AA213" s="9" t="n"/>
      <c r="AB213" s="9" t="n"/>
      <c r="AC213" s="9" t="n"/>
      <c r="AD213" s="9" t="n"/>
      <c r="AE213" s="9" t="n"/>
      <c r="AF213" s="9" t="n"/>
      <c r="AG213" s="9" t="n"/>
    </row>
    <row r="214">
      <c r="A214" s="13">
        <f>IF(ISBLANK(D214),"",ROW()-1)</f>
        <v/>
      </c>
      <c r="B214" s="14" t="n"/>
      <c r="C214" s="13">
        <f>IF(ISBLANK(D214),"",MID(K214,SEARCH("(",K214)+1,SEARCH(")",K214)-SEARCH("(",K214)-1)&amp;"-"&amp;MID(L214,SEARCH("(",L214)+1,SEARCH(")",L214)-SEARCH("(",L214)-1)&amp;"-"&amp;H214&amp;"-"&amp;TEXT(A214,"000")&amp;IF(ISBLANK(N214),"","-"&amp;SUBSTITUTE(N214," ","")))</f>
        <v/>
      </c>
      <c r="D214" s="9" t="n"/>
      <c r="E214" s="9" t="n"/>
      <c r="F214" s="9" t="n"/>
      <c r="G214" s="9" t="n"/>
      <c r="H214" s="13">
        <f>IF(ISBLANK(F214),"",IF(G214&lt;&gt;"",UPPER(TRIM(G214)),IF(ISNUMBER(SEARCH(" ",TRIM(F214))),UPPER(LEFT(TRIM(RIGHT(SUBSTITUTE(TRIM(F214)," ",REPT(" ",100)),100)),Settings!$B$9)),UPPER(LEFT(TRIM(F214),Settings!$B$9)))))</f>
        <v/>
      </c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15">
        <f>IF(ISBLANK(D214),"",IF(COUNTIFS(Circulation!$B$2:$B$500,A214,Circulation!$H$2:$H$500,"Active")&gt;0,"On Loan","Available"))</f>
        <v/>
      </c>
      <c r="AA214" s="9" t="n"/>
      <c r="AB214" s="9" t="n"/>
      <c r="AC214" s="9" t="n"/>
      <c r="AD214" s="9" t="n"/>
      <c r="AE214" s="9" t="n"/>
      <c r="AF214" s="9" t="n"/>
      <c r="AG214" s="9" t="n"/>
    </row>
    <row r="215">
      <c r="A215" s="13">
        <f>IF(ISBLANK(D215),"",ROW()-1)</f>
        <v/>
      </c>
      <c r="B215" s="14" t="n"/>
      <c r="C215" s="13">
        <f>IF(ISBLANK(D215),"",MID(K215,SEARCH("(",K215)+1,SEARCH(")",K215)-SEARCH("(",K215)-1)&amp;"-"&amp;MID(L215,SEARCH("(",L215)+1,SEARCH(")",L215)-SEARCH("(",L215)-1)&amp;"-"&amp;H215&amp;"-"&amp;TEXT(A215,"000")&amp;IF(ISBLANK(N215),"","-"&amp;SUBSTITUTE(N215," ","")))</f>
        <v/>
      </c>
      <c r="D215" s="9" t="n"/>
      <c r="E215" s="9" t="n"/>
      <c r="F215" s="9" t="n"/>
      <c r="G215" s="9" t="n"/>
      <c r="H215" s="13">
        <f>IF(ISBLANK(F215),"",IF(G215&lt;&gt;"",UPPER(TRIM(G215)),IF(ISNUMBER(SEARCH(" ",TRIM(F215))),UPPER(LEFT(TRIM(RIGHT(SUBSTITUTE(TRIM(F215)," ",REPT(" ",100)),100)),Settings!$B$9)),UPPER(LEFT(TRIM(F215),Settings!$B$9)))))</f>
        <v/>
      </c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15">
        <f>IF(ISBLANK(D215),"",IF(COUNTIFS(Circulation!$B$2:$B$500,A215,Circulation!$H$2:$H$500,"Active")&gt;0,"On Loan","Available"))</f>
        <v/>
      </c>
      <c r="AA215" s="9" t="n"/>
      <c r="AB215" s="9" t="n"/>
      <c r="AC215" s="9" t="n"/>
      <c r="AD215" s="9" t="n"/>
      <c r="AE215" s="9" t="n"/>
      <c r="AF215" s="9" t="n"/>
      <c r="AG215" s="9" t="n"/>
    </row>
    <row r="216">
      <c r="A216" s="13">
        <f>IF(ISBLANK(D216),"",ROW()-1)</f>
        <v/>
      </c>
      <c r="B216" s="14" t="n"/>
      <c r="C216" s="13">
        <f>IF(ISBLANK(D216),"",MID(K216,SEARCH("(",K216)+1,SEARCH(")",K216)-SEARCH("(",K216)-1)&amp;"-"&amp;MID(L216,SEARCH("(",L216)+1,SEARCH(")",L216)-SEARCH("(",L216)-1)&amp;"-"&amp;H216&amp;"-"&amp;TEXT(A216,"000")&amp;IF(ISBLANK(N216),"","-"&amp;SUBSTITUTE(N216," ","")))</f>
        <v/>
      </c>
      <c r="D216" s="9" t="n"/>
      <c r="E216" s="9" t="n"/>
      <c r="F216" s="9" t="n"/>
      <c r="G216" s="9" t="n"/>
      <c r="H216" s="13">
        <f>IF(ISBLANK(F216),"",IF(G216&lt;&gt;"",UPPER(TRIM(G216)),IF(ISNUMBER(SEARCH(" ",TRIM(F216))),UPPER(LEFT(TRIM(RIGHT(SUBSTITUTE(TRIM(F216)," ",REPT(" ",100)),100)),Settings!$B$9)),UPPER(LEFT(TRIM(F216),Settings!$B$9)))))</f>
        <v/>
      </c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15">
        <f>IF(ISBLANK(D216),"",IF(COUNTIFS(Circulation!$B$2:$B$500,A216,Circulation!$H$2:$H$500,"Active")&gt;0,"On Loan","Available"))</f>
        <v/>
      </c>
      <c r="AA216" s="9" t="n"/>
      <c r="AB216" s="9" t="n"/>
      <c r="AC216" s="9" t="n"/>
      <c r="AD216" s="9" t="n"/>
      <c r="AE216" s="9" t="n"/>
      <c r="AF216" s="9" t="n"/>
      <c r="AG216" s="9" t="n"/>
    </row>
    <row r="217">
      <c r="A217" s="13">
        <f>IF(ISBLANK(D217),"",ROW()-1)</f>
        <v/>
      </c>
      <c r="B217" s="14" t="n"/>
      <c r="C217" s="13">
        <f>IF(ISBLANK(D217),"",MID(K217,SEARCH("(",K217)+1,SEARCH(")",K217)-SEARCH("(",K217)-1)&amp;"-"&amp;MID(L217,SEARCH("(",L217)+1,SEARCH(")",L217)-SEARCH("(",L217)-1)&amp;"-"&amp;H217&amp;"-"&amp;TEXT(A217,"000")&amp;IF(ISBLANK(N217),"","-"&amp;SUBSTITUTE(N217," ","")))</f>
        <v/>
      </c>
      <c r="D217" s="9" t="n"/>
      <c r="E217" s="9" t="n"/>
      <c r="F217" s="9" t="n"/>
      <c r="G217" s="9" t="n"/>
      <c r="H217" s="13">
        <f>IF(ISBLANK(F217),"",IF(G217&lt;&gt;"",UPPER(TRIM(G217)),IF(ISNUMBER(SEARCH(" ",TRIM(F217))),UPPER(LEFT(TRIM(RIGHT(SUBSTITUTE(TRIM(F217)," ",REPT(" ",100)),100)),Settings!$B$9)),UPPER(LEFT(TRIM(F217),Settings!$B$9)))))</f>
        <v/>
      </c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15">
        <f>IF(ISBLANK(D217),"",IF(COUNTIFS(Circulation!$B$2:$B$500,A217,Circulation!$H$2:$H$500,"Active")&gt;0,"On Loan","Available"))</f>
        <v/>
      </c>
      <c r="AA217" s="9" t="n"/>
      <c r="AB217" s="9" t="n"/>
      <c r="AC217" s="9" t="n"/>
      <c r="AD217" s="9" t="n"/>
      <c r="AE217" s="9" t="n"/>
      <c r="AF217" s="9" t="n"/>
      <c r="AG217" s="9" t="n"/>
    </row>
    <row r="218">
      <c r="A218" s="13">
        <f>IF(ISBLANK(D218),"",ROW()-1)</f>
        <v/>
      </c>
      <c r="B218" s="14" t="n"/>
      <c r="C218" s="13">
        <f>IF(ISBLANK(D218),"",MID(K218,SEARCH("(",K218)+1,SEARCH(")",K218)-SEARCH("(",K218)-1)&amp;"-"&amp;MID(L218,SEARCH("(",L218)+1,SEARCH(")",L218)-SEARCH("(",L218)-1)&amp;"-"&amp;H218&amp;"-"&amp;TEXT(A218,"000")&amp;IF(ISBLANK(N218),"","-"&amp;SUBSTITUTE(N218," ","")))</f>
        <v/>
      </c>
      <c r="D218" s="9" t="n"/>
      <c r="E218" s="9" t="n"/>
      <c r="F218" s="9" t="n"/>
      <c r="G218" s="9" t="n"/>
      <c r="H218" s="13">
        <f>IF(ISBLANK(F218),"",IF(G218&lt;&gt;"",UPPER(TRIM(G218)),IF(ISNUMBER(SEARCH(" ",TRIM(F218))),UPPER(LEFT(TRIM(RIGHT(SUBSTITUTE(TRIM(F218)," ",REPT(" ",100)),100)),Settings!$B$9)),UPPER(LEFT(TRIM(F218),Settings!$B$9)))))</f>
        <v/>
      </c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15">
        <f>IF(ISBLANK(D218),"",IF(COUNTIFS(Circulation!$B$2:$B$500,A218,Circulation!$H$2:$H$500,"Active")&gt;0,"On Loan","Available"))</f>
        <v/>
      </c>
      <c r="AA218" s="9" t="n"/>
      <c r="AB218" s="9" t="n"/>
      <c r="AC218" s="9" t="n"/>
      <c r="AD218" s="9" t="n"/>
      <c r="AE218" s="9" t="n"/>
      <c r="AF218" s="9" t="n"/>
      <c r="AG218" s="9" t="n"/>
    </row>
    <row r="219">
      <c r="A219" s="13">
        <f>IF(ISBLANK(D219),"",ROW()-1)</f>
        <v/>
      </c>
      <c r="B219" s="14" t="n"/>
      <c r="C219" s="13">
        <f>IF(ISBLANK(D219),"",MID(K219,SEARCH("(",K219)+1,SEARCH(")",K219)-SEARCH("(",K219)-1)&amp;"-"&amp;MID(L219,SEARCH("(",L219)+1,SEARCH(")",L219)-SEARCH("(",L219)-1)&amp;"-"&amp;H219&amp;"-"&amp;TEXT(A219,"000")&amp;IF(ISBLANK(N219),"","-"&amp;SUBSTITUTE(N219," ","")))</f>
        <v/>
      </c>
      <c r="D219" s="9" t="n"/>
      <c r="E219" s="9" t="n"/>
      <c r="F219" s="9" t="n"/>
      <c r="G219" s="9" t="n"/>
      <c r="H219" s="13">
        <f>IF(ISBLANK(F219),"",IF(G219&lt;&gt;"",UPPER(TRIM(G219)),IF(ISNUMBER(SEARCH(" ",TRIM(F219))),UPPER(LEFT(TRIM(RIGHT(SUBSTITUTE(TRIM(F219)," ",REPT(" ",100)),100)),Settings!$B$9)),UPPER(LEFT(TRIM(F219),Settings!$B$9)))))</f>
        <v/>
      </c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15">
        <f>IF(ISBLANK(D219),"",IF(COUNTIFS(Circulation!$B$2:$B$500,A219,Circulation!$H$2:$H$500,"Active")&gt;0,"On Loan","Available"))</f>
        <v/>
      </c>
      <c r="AA219" s="9" t="n"/>
      <c r="AB219" s="9" t="n"/>
      <c r="AC219" s="9" t="n"/>
      <c r="AD219" s="9" t="n"/>
      <c r="AE219" s="9" t="n"/>
      <c r="AF219" s="9" t="n"/>
      <c r="AG219" s="9" t="n"/>
    </row>
    <row r="220">
      <c r="A220" s="13">
        <f>IF(ISBLANK(D220),"",ROW()-1)</f>
        <v/>
      </c>
      <c r="B220" s="14" t="n"/>
      <c r="C220" s="13">
        <f>IF(ISBLANK(D220),"",MID(K220,SEARCH("(",K220)+1,SEARCH(")",K220)-SEARCH("(",K220)-1)&amp;"-"&amp;MID(L220,SEARCH("(",L220)+1,SEARCH(")",L220)-SEARCH("(",L220)-1)&amp;"-"&amp;H220&amp;"-"&amp;TEXT(A220,"000")&amp;IF(ISBLANK(N220),"","-"&amp;SUBSTITUTE(N220," ","")))</f>
        <v/>
      </c>
      <c r="D220" s="9" t="n"/>
      <c r="E220" s="9" t="n"/>
      <c r="F220" s="9" t="n"/>
      <c r="G220" s="9" t="n"/>
      <c r="H220" s="13">
        <f>IF(ISBLANK(F220),"",IF(G220&lt;&gt;"",UPPER(TRIM(G220)),IF(ISNUMBER(SEARCH(" ",TRIM(F220))),UPPER(LEFT(TRIM(RIGHT(SUBSTITUTE(TRIM(F220)," ",REPT(" ",100)),100)),Settings!$B$9)),UPPER(LEFT(TRIM(F220),Settings!$B$9)))))</f>
        <v/>
      </c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15">
        <f>IF(ISBLANK(D220),"",IF(COUNTIFS(Circulation!$B$2:$B$500,A220,Circulation!$H$2:$H$500,"Active")&gt;0,"On Loan","Available"))</f>
        <v/>
      </c>
      <c r="AA220" s="9" t="n"/>
      <c r="AB220" s="9" t="n"/>
      <c r="AC220" s="9" t="n"/>
      <c r="AD220" s="9" t="n"/>
      <c r="AE220" s="9" t="n"/>
      <c r="AF220" s="9" t="n"/>
      <c r="AG220" s="9" t="n"/>
    </row>
    <row r="221">
      <c r="A221" s="13">
        <f>IF(ISBLANK(D221),"",ROW()-1)</f>
        <v/>
      </c>
      <c r="B221" s="14" t="n"/>
      <c r="C221" s="13">
        <f>IF(ISBLANK(D221),"",MID(K221,SEARCH("(",K221)+1,SEARCH(")",K221)-SEARCH("(",K221)-1)&amp;"-"&amp;MID(L221,SEARCH("(",L221)+1,SEARCH(")",L221)-SEARCH("(",L221)-1)&amp;"-"&amp;H221&amp;"-"&amp;TEXT(A221,"000")&amp;IF(ISBLANK(N221),"","-"&amp;SUBSTITUTE(N221," ","")))</f>
        <v/>
      </c>
      <c r="D221" s="9" t="n"/>
      <c r="E221" s="9" t="n"/>
      <c r="F221" s="9" t="n"/>
      <c r="G221" s="9" t="n"/>
      <c r="H221" s="13">
        <f>IF(ISBLANK(F221),"",IF(G221&lt;&gt;"",UPPER(TRIM(G221)),IF(ISNUMBER(SEARCH(" ",TRIM(F221))),UPPER(LEFT(TRIM(RIGHT(SUBSTITUTE(TRIM(F221)," ",REPT(" ",100)),100)),Settings!$B$9)),UPPER(LEFT(TRIM(F221),Settings!$B$9)))))</f>
        <v/>
      </c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15">
        <f>IF(ISBLANK(D221),"",IF(COUNTIFS(Circulation!$B$2:$B$500,A221,Circulation!$H$2:$H$500,"Active")&gt;0,"On Loan","Available"))</f>
        <v/>
      </c>
      <c r="AA221" s="9" t="n"/>
      <c r="AB221" s="9" t="n"/>
      <c r="AC221" s="9" t="n"/>
      <c r="AD221" s="9" t="n"/>
      <c r="AE221" s="9" t="n"/>
      <c r="AF221" s="9" t="n"/>
      <c r="AG221" s="9" t="n"/>
    </row>
    <row r="222">
      <c r="A222" s="13">
        <f>IF(ISBLANK(D222),"",ROW()-1)</f>
        <v/>
      </c>
      <c r="B222" s="14" t="n"/>
      <c r="C222" s="13">
        <f>IF(ISBLANK(D222),"",MID(K222,SEARCH("(",K222)+1,SEARCH(")",K222)-SEARCH("(",K222)-1)&amp;"-"&amp;MID(L222,SEARCH("(",L222)+1,SEARCH(")",L222)-SEARCH("(",L222)-1)&amp;"-"&amp;H222&amp;"-"&amp;TEXT(A222,"000")&amp;IF(ISBLANK(N222),"","-"&amp;SUBSTITUTE(N222," ","")))</f>
        <v/>
      </c>
      <c r="D222" s="9" t="n"/>
      <c r="E222" s="9" t="n"/>
      <c r="F222" s="9" t="n"/>
      <c r="G222" s="9" t="n"/>
      <c r="H222" s="13">
        <f>IF(ISBLANK(F222),"",IF(G222&lt;&gt;"",UPPER(TRIM(G222)),IF(ISNUMBER(SEARCH(" ",TRIM(F222))),UPPER(LEFT(TRIM(RIGHT(SUBSTITUTE(TRIM(F222)," ",REPT(" ",100)),100)),Settings!$B$9)),UPPER(LEFT(TRIM(F222),Settings!$B$9)))))</f>
        <v/>
      </c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15">
        <f>IF(ISBLANK(D222),"",IF(COUNTIFS(Circulation!$B$2:$B$500,A222,Circulation!$H$2:$H$500,"Active")&gt;0,"On Loan","Available"))</f>
        <v/>
      </c>
      <c r="AA222" s="9" t="n"/>
      <c r="AB222" s="9" t="n"/>
      <c r="AC222" s="9" t="n"/>
      <c r="AD222" s="9" t="n"/>
      <c r="AE222" s="9" t="n"/>
      <c r="AF222" s="9" t="n"/>
      <c r="AG222" s="9" t="n"/>
    </row>
    <row r="223">
      <c r="A223" s="13">
        <f>IF(ISBLANK(D223),"",ROW()-1)</f>
        <v/>
      </c>
      <c r="B223" s="14" t="n"/>
      <c r="C223" s="13">
        <f>IF(ISBLANK(D223),"",MID(K223,SEARCH("(",K223)+1,SEARCH(")",K223)-SEARCH("(",K223)-1)&amp;"-"&amp;MID(L223,SEARCH("(",L223)+1,SEARCH(")",L223)-SEARCH("(",L223)-1)&amp;"-"&amp;H223&amp;"-"&amp;TEXT(A223,"000")&amp;IF(ISBLANK(N223),"","-"&amp;SUBSTITUTE(N223," ","")))</f>
        <v/>
      </c>
      <c r="D223" s="9" t="n"/>
      <c r="E223" s="9" t="n"/>
      <c r="F223" s="9" t="n"/>
      <c r="G223" s="9" t="n"/>
      <c r="H223" s="13">
        <f>IF(ISBLANK(F223),"",IF(G223&lt;&gt;"",UPPER(TRIM(G223)),IF(ISNUMBER(SEARCH(" ",TRIM(F223))),UPPER(LEFT(TRIM(RIGHT(SUBSTITUTE(TRIM(F223)," ",REPT(" ",100)),100)),Settings!$B$9)),UPPER(LEFT(TRIM(F223),Settings!$B$9)))))</f>
        <v/>
      </c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15">
        <f>IF(ISBLANK(D223),"",IF(COUNTIFS(Circulation!$B$2:$B$500,A223,Circulation!$H$2:$H$500,"Active")&gt;0,"On Loan","Available"))</f>
        <v/>
      </c>
      <c r="AA223" s="9" t="n"/>
      <c r="AB223" s="9" t="n"/>
      <c r="AC223" s="9" t="n"/>
      <c r="AD223" s="9" t="n"/>
      <c r="AE223" s="9" t="n"/>
      <c r="AF223" s="9" t="n"/>
      <c r="AG223" s="9" t="n"/>
    </row>
    <row r="224">
      <c r="A224" s="13">
        <f>IF(ISBLANK(D224),"",ROW()-1)</f>
        <v/>
      </c>
      <c r="B224" s="14" t="n"/>
      <c r="C224" s="13">
        <f>IF(ISBLANK(D224),"",MID(K224,SEARCH("(",K224)+1,SEARCH(")",K224)-SEARCH("(",K224)-1)&amp;"-"&amp;MID(L224,SEARCH("(",L224)+1,SEARCH(")",L224)-SEARCH("(",L224)-1)&amp;"-"&amp;H224&amp;"-"&amp;TEXT(A224,"000")&amp;IF(ISBLANK(N224),"","-"&amp;SUBSTITUTE(N224," ","")))</f>
        <v/>
      </c>
      <c r="D224" s="9" t="n"/>
      <c r="E224" s="9" t="n"/>
      <c r="F224" s="9" t="n"/>
      <c r="G224" s="9" t="n"/>
      <c r="H224" s="13">
        <f>IF(ISBLANK(F224),"",IF(G224&lt;&gt;"",UPPER(TRIM(G224)),IF(ISNUMBER(SEARCH(" ",TRIM(F224))),UPPER(LEFT(TRIM(RIGHT(SUBSTITUTE(TRIM(F224)," ",REPT(" ",100)),100)),Settings!$B$9)),UPPER(LEFT(TRIM(F224),Settings!$B$9)))))</f>
        <v/>
      </c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15">
        <f>IF(ISBLANK(D224),"",IF(COUNTIFS(Circulation!$B$2:$B$500,A224,Circulation!$H$2:$H$500,"Active")&gt;0,"On Loan","Available"))</f>
        <v/>
      </c>
      <c r="AA224" s="9" t="n"/>
      <c r="AB224" s="9" t="n"/>
      <c r="AC224" s="9" t="n"/>
      <c r="AD224" s="9" t="n"/>
      <c r="AE224" s="9" t="n"/>
      <c r="AF224" s="9" t="n"/>
      <c r="AG224" s="9" t="n"/>
    </row>
    <row r="225">
      <c r="A225" s="13">
        <f>IF(ISBLANK(D225),"",ROW()-1)</f>
        <v/>
      </c>
      <c r="B225" s="14" t="n"/>
      <c r="C225" s="13">
        <f>IF(ISBLANK(D225),"",MID(K225,SEARCH("(",K225)+1,SEARCH(")",K225)-SEARCH("(",K225)-1)&amp;"-"&amp;MID(L225,SEARCH("(",L225)+1,SEARCH(")",L225)-SEARCH("(",L225)-1)&amp;"-"&amp;H225&amp;"-"&amp;TEXT(A225,"000")&amp;IF(ISBLANK(N225),"","-"&amp;SUBSTITUTE(N225," ","")))</f>
        <v/>
      </c>
      <c r="D225" s="9" t="n"/>
      <c r="E225" s="9" t="n"/>
      <c r="F225" s="9" t="n"/>
      <c r="G225" s="9" t="n"/>
      <c r="H225" s="13">
        <f>IF(ISBLANK(F225),"",IF(G225&lt;&gt;"",UPPER(TRIM(G225)),IF(ISNUMBER(SEARCH(" ",TRIM(F225))),UPPER(LEFT(TRIM(RIGHT(SUBSTITUTE(TRIM(F225)," ",REPT(" ",100)),100)),Settings!$B$9)),UPPER(LEFT(TRIM(F225),Settings!$B$9)))))</f>
        <v/>
      </c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15">
        <f>IF(ISBLANK(D225),"",IF(COUNTIFS(Circulation!$B$2:$B$500,A225,Circulation!$H$2:$H$500,"Active")&gt;0,"On Loan","Available"))</f>
        <v/>
      </c>
      <c r="AA225" s="9" t="n"/>
      <c r="AB225" s="9" t="n"/>
      <c r="AC225" s="9" t="n"/>
      <c r="AD225" s="9" t="n"/>
      <c r="AE225" s="9" t="n"/>
      <c r="AF225" s="9" t="n"/>
      <c r="AG225" s="9" t="n"/>
    </row>
    <row r="226">
      <c r="A226" s="13">
        <f>IF(ISBLANK(D226),"",ROW()-1)</f>
        <v/>
      </c>
      <c r="B226" s="14" t="n"/>
      <c r="C226" s="13">
        <f>IF(ISBLANK(D226),"",MID(K226,SEARCH("(",K226)+1,SEARCH(")",K226)-SEARCH("(",K226)-1)&amp;"-"&amp;MID(L226,SEARCH("(",L226)+1,SEARCH(")",L226)-SEARCH("(",L226)-1)&amp;"-"&amp;H226&amp;"-"&amp;TEXT(A226,"000")&amp;IF(ISBLANK(N226),"","-"&amp;SUBSTITUTE(N226," ","")))</f>
        <v/>
      </c>
      <c r="D226" s="9" t="n"/>
      <c r="E226" s="9" t="n"/>
      <c r="F226" s="9" t="n"/>
      <c r="G226" s="9" t="n"/>
      <c r="H226" s="13">
        <f>IF(ISBLANK(F226),"",IF(G226&lt;&gt;"",UPPER(TRIM(G226)),IF(ISNUMBER(SEARCH(" ",TRIM(F226))),UPPER(LEFT(TRIM(RIGHT(SUBSTITUTE(TRIM(F226)," ",REPT(" ",100)),100)),Settings!$B$9)),UPPER(LEFT(TRIM(F226),Settings!$B$9)))))</f>
        <v/>
      </c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15">
        <f>IF(ISBLANK(D226),"",IF(COUNTIFS(Circulation!$B$2:$B$500,A226,Circulation!$H$2:$H$500,"Active")&gt;0,"On Loan","Available"))</f>
        <v/>
      </c>
      <c r="AA226" s="9" t="n"/>
      <c r="AB226" s="9" t="n"/>
      <c r="AC226" s="9" t="n"/>
      <c r="AD226" s="9" t="n"/>
      <c r="AE226" s="9" t="n"/>
      <c r="AF226" s="9" t="n"/>
      <c r="AG226" s="9" t="n"/>
    </row>
    <row r="227">
      <c r="A227" s="13">
        <f>IF(ISBLANK(D227),"",ROW()-1)</f>
        <v/>
      </c>
      <c r="B227" s="14" t="n"/>
      <c r="C227" s="13">
        <f>IF(ISBLANK(D227),"",MID(K227,SEARCH("(",K227)+1,SEARCH(")",K227)-SEARCH("(",K227)-1)&amp;"-"&amp;MID(L227,SEARCH("(",L227)+1,SEARCH(")",L227)-SEARCH("(",L227)-1)&amp;"-"&amp;H227&amp;"-"&amp;TEXT(A227,"000")&amp;IF(ISBLANK(N227),"","-"&amp;SUBSTITUTE(N227," ","")))</f>
        <v/>
      </c>
      <c r="D227" s="9" t="n"/>
      <c r="E227" s="9" t="n"/>
      <c r="F227" s="9" t="n"/>
      <c r="G227" s="9" t="n"/>
      <c r="H227" s="13">
        <f>IF(ISBLANK(F227),"",IF(G227&lt;&gt;"",UPPER(TRIM(G227)),IF(ISNUMBER(SEARCH(" ",TRIM(F227))),UPPER(LEFT(TRIM(RIGHT(SUBSTITUTE(TRIM(F227)," ",REPT(" ",100)),100)),Settings!$B$9)),UPPER(LEFT(TRIM(F227),Settings!$B$9)))))</f>
        <v/>
      </c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15">
        <f>IF(ISBLANK(D227),"",IF(COUNTIFS(Circulation!$B$2:$B$500,A227,Circulation!$H$2:$H$500,"Active")&gt;0,"On Loan","Available"))</f>
        <v/>
      </c>
      <c r="AA227" s="9" t="n"/>
      <c r="AB227" s="9" t="n"/>
      <c r="AC227" s="9" t="n"/>
      <c r="AD227" s="9" t="n"/>
      <c r="AE227" s="9" t="n"/>
      <c r="AF227" s="9" t="n"/>
      <c r="AG227" s="9" t="n"/>
    </row>
    <row r="228">
      <c r="A228" s="13">
        <f>IF(ISBLANK(D228),"",ROW()-1)</f>
        <v/>
      </c>
      <c r="B228" s="14" t="n"/>
      <c r="C228" s="13">
        <f>IF(ISBLANK(D228),"",MID(K228,SEARCH("(",K228)+1,SEARCH(")",K228)-SEARCH("(",K228)-1)&amp;"-"&amp;MID(L228,SEARCH("(",L228)+1,SEARCH(")",L228)-SEARCH("(",L228)-1)&amp;"-"&amp;H228&amp;"-"&amp;TEXT(A228,"000")&amp;IF(ISBLANK(N228),"","-"&amp;SUBSTITUTE(N228," ","")))</f>
        <v/>
      </c>
      <c r="D228" s="9" t="n"/>
      <c r="E228" s="9" t="n"/>
      <c r="F228" s="9" t="n"/>
      <c r="G228" s="9" t="n"/>
      <c r="H228" s="13">
        <f>IF(ISBLANK(F228),"",IF(G228&lt;&gt;"",UPPER(TRIM(G228)),IF(ISNUMBER(SEARCH(" ",TRIM(F228))),UPPER(LEFT(TRIM(RIGHT(SUBSTITUTE(TRIM(F228)," ",REPT(" ",100)),100)),Settings!$B$9)),UPPER(LEFT(TRIM(F228),Settings!$B$9)))))</f>
        <v/>
      </c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15">
        <f>IF(ISBLANK(D228),"",IF(COUNTIFS(Circulation!$B$2:$B$500,A228,Circulation!$H$2:$H$500,"Active")&gt;0,"On Loan","Available"))</f>
        <v/>
      </c>
      <c r="AA228" s="9" t="n"/>
      <c r="AB228" s="9" t="n"/>
      <c r="AC228" s="9" t="n"/>
      <c r="AD228" s="9" t="n"/>
      <c r="AE228" s="9" t="n"/>
      <c r="AF228" s="9" t="n"/>
      <c r="AG228" s="9" t="n"/>
    </row>
    <row r="229">
      <c r="A229" s="13">
        <f>IF(ISBLANK(D229),"",ROW()-1)</f>
        <v/>
      </c>
      <c r="B229" s="14" t="n"/>
      <c r="C229" s="13">
        <f>IF(ISBLANK(D229),"",MID(K229,SEARCH("(",K229)+1,SEARCH(")",K229)-SEARCH("(",K229)-1)&amp;"-"&amp;MID(L229,SEARCH("(",L229)+1,SEARCH(")",L229)-SEARCH("(",L229)-1)&amp;"-"&amp;H229&amp;"-"&amp;TEXT(A229,"000")&amp;IF(ISBLANK(N229),"","-"&amp;SUBSTITUTE(N229," ","")))</f>
        <v/>
      </c>
      <c r="D229" s="9" t="n"/>
      <c r="E229" s="9" t="n"/>
      <c r="F229" s="9" t="n"/>
      <c r="G229" s="9" t="n"/>
      <c r="H229" s="13">
        <f>IF(ISBLANK(F229),"",IF(G229&lt;&gt;"",UPPER(TRIM(G229)),IF(ISNUMBER(SEARCH(" ",TRIM(F229))),UPPER(LEFT(TRIM(RIGHT(SUBSTITUTE(TRIM(F229)," ",REPT(" ",100)),100)),Settings!$B$9)),UPPER(LEFT(TRIM(F229),Settings!$B$9)))))</f>
        <v/>
      </c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15">
        <f>IF(ISBLANK(D229),"",IF(COUNTIFS(Circulation!$B$2:$B$500,A229,Circulation!$H$2:$H$500,"Active")&gt;0,"On Loan","Available"))</f>
        <v/>
      </c>
      <c r="AA229" s="9" t="n"/>
      <c r="AB229" s="9" t="n"/>
      <c r="AC229" s="9" t="n"/>
      <c r="AD229" s="9" t="n"/>
      <c r="AE229" s="9" t="n"/>
      <c r="AF229" s="9" t="n"/>
      <c r="AG229" s="9" t="n"/>
    </row>
    <row r="230">
      <c r="A230" s="13">
        <f>IF(ISBLANK(D230),"",ROW()-1)</f>
        <v/>
      </c>
      <c r="B230" s="14" t="n"/>
      <c r="C230" s="13">
        <f>IF(ISBLANK(D230),"",MID(K230,SEARCH("(",K230)+1,SEARCH(")",K230)-SEARCH("(",K230)-1)&amp;"-"&amp;MID(L230,SEARCH("(",L230)+1,SEARCH(")",L230)-SEARCH("(",L230)-1)&amp;"-"&amp;H230&amp;"-"&amp;TEXT(A230,"000")&amp;IF(ISBLANK(N230),"","-"&amp;SUBSTITUTE(N230," ","")))</f>
        <v/>
      </c>
      <c r="D230" s="9" t="n"/>
      <c r="E230" s="9" t="n"/>
      <c r="F230" s="9" t="n"/>
      <c r="G230" s="9" t="n"/>
      <c r="H230" s="13">
        <f>IF(ISBLANK(F230),"",IF(G230&lt;&gt;"",UPPER(TRIM(G230)),IF(ISNUMBER(SEARCH(" ",TRIM(F230))),UPPER(LEFT(TRIM(RIGHT(SUBSTITUTE(TRIM(F230)," ",REPT(" ",100)),100)),Settings!$B$9)),UPPER(LEFT(TRIM(F230),Settings!$B$9)))))</f>
        <v/>
      </c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15">
        <f>IF(ISBLANK(D230),"",IF(COUNTIFS(Circulation!$B$2:$B$500,A230,Circulation!$H$2:$H$500,"Active")&gt;0,"On Loan","Available"))</f>
        <v/>
      </c>
      <c r="AA230" s="9" t="n"/>
      <c r="AB230" s="9" t="n"/>
      <c r="AC230" s="9" t="n"/>
      <c r="AD230" s="9" t="n"/>
      <c r="AE230" s="9" t="n"/>
      <c r="AF230" s="9" t="n"/>
      <c r="AG230" s="9" t="n"/>
    </row>
    <row r="231">
      <c r="A231" s="13">
        <f>IF(ISBLANK(D231),"",ROW()-1)</f>
        <v/>
      </c>
      <c r="B231" s="14" t="n"/>
      <c r="C231" s="13">
        <f>IF(ISBLANK(D231),"",MID(K231,SEARCH("(",K231)+1,SEARCH(")",K231)-SEARCH("(",K231)-1)&amp;"-"&amp;MID(L231,SEARCH("(",L231)+1,SEARCH(")",L231)-SEARCH("(",L231)-1)&amp;"-"&amp;H231&amp;"-"&amp;TEXT(A231,"000")&amp;IF(ISBLANK(N231),"","-"&amp;SUBSTITUTE(N231," ","")))</f>
        <v/>
      </c>
      <c r="D231" s="9" t="n"/>
      <c r="E231" s="9" t="n"/>
      <c r="F231" s="9" t="n"/>
      <c r="G231" s="9" t="n"/>
      <c r="H231" s="13">
        <f>IF(ISBLANK(F231),"",IF(G231&lt;&gt;"",UPPER(TRIM(G231)),IF(ISNUMBER(SEARCH(" ",TRIM(F231))),UPPER(LEFT(TRIM(RIGHT(SUBSTITUTE(TRIM(F231)," ",REPT(" ",100)),100)),Settings!$B$9)),UPPER(LEFT(TRIM(F231),Settings!$B$9)))))</f>
        <v/>
      </c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15">
        <f>IF(ISBLANK(D231),"",IF(COUNTIFS(Circulation!$B$2:$B$500,A231,Circulation!$H$2:$H$500,"Active")&gt;0,"On Loan","Available"))</f>
        <v/>
      </c>
      <c r="AA231" s="9" t="n"/>
      <c r="AB231" s="9" t="n"/>
      <c r="AC231" s="9" t="n"/>
      <c r="AD231" s="9" t="n"/>
      <c r="AE231" s="9" t="n"/>
      <c r="AF231" s="9" t="n"/>
      <c r="AG231" s="9" t="n"/>
    </row>
    <row r="232">
      <c r="A232" s="13">
        <f>IF(ISBLANK(D232),"",ROW()-1)</f>
        <v/>
      </c>
      <c r="B232" s="14" t="n"/>
      <c r="C232" s="13">
        <f>IF(ISBLANK(D232),"",MID(K232,SEARCH("(",K232)+1,SEARCH(")",K232)-SEARCH("(",K232)-1)&amp;"-"&amp;MID(L232,SEARCH("(",L232)+1,SEARCH(")",L232)-SEARCH("(",L232)-1)&amp;"-"&amp;H232&amp;"-"&amp;TEXT(A232,"000")&amp;IF(ISBLANK(N232),"","-"&amp;SUBSTITUTE(N232," ","")))</f>
        <v/>
      </c>
      <c r="D232" s="9" t="n"/>
      <c r="E232" s="9" t="n"/>
      <c r="F232" s="9" t="n"/>
      <c r="G232" s="9" t="n"/>
      <c r="H232" s="13">
        <f>IF(ISBLANK(F232),"",IF(G232&lt;&gt;"",UPPER(TRIM(G232)),IF(ISNUMBER(SEARCH(" ",TRIM(F232))),UPPER(LEFT(TRIM(RIGHT(SUBSTITUTE(TRIM(F232)," ",REPT(" ",100)),100)),Settings!$B$9)),UPPER(LEFT(TRIM(F232),Settings!$B$9)))))</f>
        <v/>
      </c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15">
        <f>IF(ISBLANK(D232),"",IF(COUNTIFS(Circulation!$B$2:$B$500,A232,Circulation!$H$2:$H$500,"Active")&gt;0,"On Loan","Available"))</f>
        <v/>
      </c>
      <c r="AA232" s="9" t="n"/>
      <c r="AB232" s="9" t="n"/>
      <c r="AC232" s="9" t="n"/>
      <c r="AD232" s="9" t="n"/>
      <c r="AE232" s="9" t="n"/>
      <c r="AF232" s="9" t="n"/>
      <c r="AG232" s="9" t="n"/>
    </row>
    <row r="233">
      <c r="A233" s="13">
        <f>IF(ISBLANK(D233),"",ROW()-1)</f>
        <v/>
      </c>
      <c r="B233" s="14" t="n"/>
      <c r="C233" s="13">
        <f>IF(ISBLANK(D233),"",MID(K233,SEARCH("(",K233)+1,SEARCH(")",K233)-SEARCH("(",K233)-1)&amp;"-"&amp;MID(L233,SEARCH("(",L233)+1,SEARCH(")",L233)-SEARCH("(",L233)-1)&amp;"-"&amp;H233&amp;"-"&amp;TEXT(A233,"000")&amp;IF(ISBLANK(N233),"","-"&amp;SUBSTITUTE(N233," ","")))</f>
        <v/>
      </c>
      <c r="D233" s="9" t="n"/>
      <c r="E233" s="9" t="n"/>
      <c r="F233" s="9" t="n"/>
      <c r="G233" s="9" t="n"/>
      <c r="H233" s="13">
        <f>IF(ISBLANK(F233),"",IF(G233&lt;&gt;"",UPPER(TRIM(G233)),IF(ISNUMBER(SEARCH(" ",TRIM(F233))),UPPER(LEFT(TRIM(RIGHT(SUBSTITUTE(TRIM(F233)," ",REPT(" ",100)),100)),Settings!$B$9)),UPPER(LEFT(TRIM(F233),Settings!$B$9)))))</f>
        <v/>
      </c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15">
        <f>IF(ISBLANK(D233),"",IF(COUNTIFS(Circulation!$B$2:$B$500,A233,Circulation!$H$2:$H$500,"Active")&gt;0,"On Loan","Available"))</f>
        <v/>
      </c>
      <c r="AA233" s="9" t="n"/>
      <c r="AB233" s="9" t="n"/>
      <c r="AC233" s="9" t="n"/>
      <c r="AD233" s="9" t="n"/>
      <c r="AE233" s="9" t="n"/>
      <c r="AF233" s="9" t="n"/>
      <c r="AG233" s="9" t="n"/>
    </row>
    <row r="234">
      <c r="A234" s="13">
        <f>IF(ISBLANK(D234),"",ROW()-1)</f>
        <v/>
      </c>
      <c r="B234" s="14" t="n"/>
      <c r="C234" s="13">
        <f>IF(ISBLANK(D234),"",MID(K234,SEARCH("(",K234)+1,SEARCH(")",K234)-SEARCH("(",K234)-1)&amp;"-"&amp;MID(L234,SEARCH("(",L234)+1,SEARCH(")",L234)-SEARCH("(",L234)-1)&amp;"-"&amp;H234&amp;"-"&amp;TEXT(A234,"000")&amp;IF(ISBLANK(N234),"","-"&amp;SUBSTITUTE(N234," ","")))</f>
        <v/>
      </c>
      <c r="D234" s="9" t="n"/>
      <c r="E234" s="9" t="n"/>
      <c r="F234" s="9" t="n"/>
      <c r="G234" s="9" t="n"/>
      <c r="H234" s="13">
        <f>IF(ISBLANK(F234),"",IF(G234&lt;&gt;"",UPPER(TRIM(G234)),IF(ISNUMBER(SEARCH(" ",TRIM(F234))),UPPER(LEFT(TRIM(RIGHT(SUBSTITUTE(TRIM(F234)," ",REPT(" ",100)),100)),Settings!$B$9)),UPPER(LEFT(TRIM(F234),Settings!$B$9)))))</f>
        <v/>
      </c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15">
        <f>IF(ISBLANK(D234),"",IF(COUNTIFS(Circulation!$B$2:$B$500,A234,Circulation!$H$2:$H$500,"Active")&gt;0,"On Loan","Available"))</f>
        <v/>
      </c>
      <c r="AA234" s="9" t="n"/>
      <c r="AB234" s="9" t="n"/>
      <c r="AC234" s="9" t="n"/>
      <c r="AD234" s="9" t="n"/>
      <c r="AE234" s="9" t="n"/>
      <c r="AF234" s="9" t="n"/>
      <c r="AG234" s="9" t="n"/>
    </row>
    <row r="235">
      <c r="A235" s="13">
        <f>IF(ISBLANK(D235),"",ROW()-1)</f>
        <v/>
      </c>
      <c r="B235" s="14" t="n"/>
      <c r="C235" s="13">
        <f>IF(ISBLANK(D235),"",MID(K235,SEARCH("(",K235)+1,SEARCH(")",K235)-SEARCH("(",K235)-1)&amp;"-"&amp;MID(L235,SEARCH("(",L235)+1,SEARCH(")",L235)-SEARCH("(",L235)-1)&amp;"-"&amp;H235&amp;"-"&amp;TEXT(A235,"000")&amp;IF(ISBLANK(N235),"","-"&amp;SUBSTITUTE(N235," ","")))</f>
        <v/>
      </c>
      <c r="D235" s="9" t="n"/>
      <c r="E235" s="9" t="n"/>
      <c r="F235" s="9" t="n"/>
      <c r="G235" s="9" t="n"/>
      <c r="H235" s="13">
        <f>IF(ISBLANK(F235),"",IF(G235&lt;&gt;"",UPPER(TRIM(G235)),IF(ISNUMBER(SEARCH(" ",TRIM(F235))),UPPER(LEFT(TRIM(RIGHT(SUBSTITUTE(TRIM(F235)," ",REPT(" ",100)),100)),Settings!$B$9)),UPPER(LEFT(TRIM(F235),Settings!$B$9)))))</f>
        <v/>
      </c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15">
        <f>IF(ISBLANK(D235),"",IF(COUNTIFS(Circulation!$B$2:$B$500,A235,Circulation!$H$2:$H$500,"Active")&gt;0,"On Loan","Available"))</f>
        <v/>
      </c>
      <c r="AA235" s="9" t="n"/>
      <c r="AB235" s="9" t="n"/>
      <c r="AC235" s="9" t="n"/>
      <c r="AD235" s="9" t="n"/>
      <c r="AE235" s="9" t="n"/>
      <c r="AF235" s="9" t="n"/>
      <c r="AG235" s="9" t="n"/>
    </row>
    <row r="236">
      <c r="A236" s="13">
        <f>IF(ISBLANK(D236),"",ROW()-1)</f>
        <v/>
      </c>
      <c r="B236" s="14" t="n"/>
      <c r="C236" s="13">
        <f>IF(ISBLANK(D236),"",MID(K236,SEARCH("(",K236)+1,SEARCH(")",K236)-SEARCH("(",K236)-1)&amp;"-"&amp;MID(L236,SEARCH("(",L236)+1,SEARCH(")",L236)-SEARCH("(",L236)-1)&amp;"-"&amp;H236&amp;"-"&amp;TEXT(A236,"000")&amp;IF(ISBLANK(N236),"","-"&amp;SUBSTITUTE(N236," ","")))</f>
        <v/>
      </c>
      <c r="D236" s="9" t="n"/>
      <c r="E236" s="9" t="n"/>
      <c r="F236" s="9" t="n"/>
      <c r="G236" s="9" t="n"/>
      <c r="H236" s="13">
        <f>IF(ISBLANK(F236),"",IF(G236&lt;&gt;"",UPPER(TRIM(G236)),IF(ISNUMBER(SEARCH(" ",TRIM(F236))),UPPER(LEFT(TRIM(RIGHT(SUBSTITUTE(TRIM(F236)," ",REPT(" ",100)),100)),Settings!$B$9)),UPPER(LEFT(TRIM(F236),Settings!$B$9)))))</f>
        <v/>
      </c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15">
        <f>IF(ISBLANK(D236),"",IF(COUNTIFS(Circulation!$B$2:$B$500,A236,Circulation!$H$2:$H$500,"Active")&gt;0,"On Loan","Available"))</f>
        <v/>
      </c>
      <c r="AA236" s="9" t="n"/>
      <c r="AB236" s="9" t="n"/>
      <c r="AC236" s="9" t="n"/>
      <c r="AD236" s="9" t="n"/>
      <c r="AE236" s="9" t="n"/>
      <c r="AF236" s="9" t="n"/>
      <c r="AG236" s="9" t="n"/>
    </row>
    <row r="237">
      <c r="A237" s="13">
        <f>IF(ISBLANK(D237),"",ROW()-1)</f>
        <v/>
      </c>
      <c r="B237" s="14" t="n"/>
      <c r="C237" s="13">
        <f>IF(ISBLANK(D237),"",MID(K237,SEARCH("(",K237)+1,SEARCH(")",K237)-SEARCH("(",K237)-1)&amp;"-"&amp;MID(L237,SEARCH("(",L237)+1,SEARCH(")",L237)-SEARCH("(",L237)-1)&amp;"-"&amp;H237&amp;"-"&amp;TEXT(A237,"000")&amp;IF(ISBLANK(N237),"","-"&amp;SUBSTITUTE(N237," ","")))</f>
        <v/>
      </c>
      <c r="D237" s="9" t="n"/>
      <c r="E237" s="9" t="n"/>
      <c r="F237" s="9" t="n"/>
      <c r="G237" s="9" t="n"/>
      <c r="H237" s="13">
        <f>IF(ISBLANK(F237),"",IF(G237&lt;&gt;"",UPPER(TRIM(G237)),IF(ISNUMBER(SEARCH(" ",TRIM(F237))),UPPER(LEFT(TRIM(RIGHT(SUBSTITUTE(TRIM(F237)," ",REPT(" ",100)),100)),Settings!$B$9)),UPPER(LEFT(TRIM(F237),Settings!$B$9)))))</f>
        <v/>
      </c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15">
        <f>IF(ISBLANK(D237),"",IF(COUNTIFS(Circulation!$B$2:$B$500,A237,Circulation!$H$2:$H$500,"Active")&gt;0,"On Loan","Available"))</f>
        <v/>
      </c>
      <c r="AA237" s="9" t="n"/>
      <c r="AB237" s="9" t="n"/>
      <c r="AC237" s="9" t="n"/>
      <c r="AD237" s="9" t="n"/>
      <c r="AE237" s="9" t="n"/>
      <c r="AF237" s="9" t="n"/>
      <c r="AG237" s="9" t="n"/>
    </row>
    <row r="238">
      <c r="A238" s="13">
        <f>IF(ISBLANK(D238),"",ROW()-1)</f>
        <v/>
      </c>
      <c r="B238" s="14" t="n"/>
      <c r="C238" s="13">
        <f>IF(ISBLANK(D238),"",MID(K238,SEARCH("(",K238)+1,SEARCH(")",K238)-SEARCH("(",K238)-1)&amp;"-"&amp;MID(L238,SEARCH("(",L238)+1,SEARCH(")",L238)-SEARCH("(",L238)-1)&amp;"-"&amp;H238&amp;"-"&amp;TEXT(A238,"000")&amp;IF(ISBLANK(N238),"","-"&amp;SUBSTITUTE(N238," ","")))</f>
        <v/>
      </c>
      <c r="D238" s="9" t="n"/>
      <c r="E238" s="9" t="n"/>
      <c r="F238" s="9" t="n"/>
      <c r="G238" s="9" t="n"/>
      <c r="H238" s="13">
        <f>IF(ISBLANK(F238),"",IF(G238&lt;&gt;"",UPPER(TRIM(G238)),IF(ISNUMBER(SEARCH(" ",TRIM(F238))),UPPER(LEFT(TRIM(RIGHT(SUBSTITUTE(TRIM(F238)," ",REPT(" ",100)),100)),Settings!$B$9)),UPPER(LEFT(TRIM(F238),Settings!$B$9)))))</f>
        <v/>
      </c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15">
        <f>IF(ISBLANK(D238),"",IF(COUNTIFS(Circulation!$B$2:$B$500,A238,Circulation!$H$2:$H$500,"Active")&gt;0,"On Loan","Available"))</f>
        <v/>
      </c>
      <c r="AA238" s="9" t="n"/>
      <c r="AB238" s="9" t="n"/>
      <c r="AC238" s="9" t="n"/>
      <c r="AD238" s="9" t="n"/>
      <c r="AE238" s="9" t="n"/>
      <c r="AF238" s="9" t="n"/>
      <c r="AG238" s="9" t="n"/>
    </row>
    <row r="239">
      <c r="A239" s="13">
        <f>IF(ISBLANK(D239),"",ROW()-1)</f>
        <v/>
      </c>
      <c r="B239" s="14" t="n"/>
      <c r="C239" s="13">
        <f>IF(ISBLANK(D239),"",MID(K239,SEARCH("(",K239)+1,SEARCH(")",K239)-SEARCH("(",K239)-1)&amp;"-"&amp;MID(L239,SEARCH("(",L239)+1,SEARCH(")",L239)-SEARCH("(",L239)-1)&amp;"-"&amp;H239&amp;"-"&amp;TEXT(A239,"000")&amp;IF(ISBLANK(N239),"","-"&amp;SUBSTITUTE(N239," ","")))</f>
        <v/>
      </c>
      <c r="D239" s="9" t="n"/>
      <c r="E239" s="9" t="n"/>
      <c r="F239" s="9" t="n"/>
      <c r="G239" s="9" t="n"/>
      <c r="H239" s="13">
        <f>IF(ISBLANK(F239),"",IF(G239&lt;&gt;"",UPPER(TRIM(G239)),IF(ISNUMBER(SEARCH(" ",TRIM(F239))),UPPER(LEFT(TRIM(RIGHT(SUBSTITUTE(TRIM(F239)," ",REPT(" ",100)),100)),Settings!$B$9)),UPPER(LEFT(TRIM(F239),Settings!$B$9)))))</f>
        <v/>
      </c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15">
        <f>IF(ISBLANK(D239),"",IF(COUNTIFS(Circulation!$B$2:$B$500,A239,Circulation!$H$2:$H$500,"Active")&gt;0,"On Loan","Available"))</f>
        <v/>
      </c>
      <c r="AA239" s="9" t="n"/>
      <c r="AB239" s="9" t="n"/>
      <c r="AC239" s="9" t="n"/>
      <c r="AD239" s="9" t="n"/>
      <c r="AE239" s="9" t="n"/>
      <c r="AF239" s="9" t="n"/>
      <c r="AG239" s="9" t="n"/>
    </row>
    <row r="240">
      <c r="A240" s="13">
        <f>IF(ISBLANK(D240),"",ROW()-1)</f>
        <v/>
      </c>
      <c r="B240" s="14" t="n"/>
      <c r="C240" s="13">
        <f>IF(ISBLANK(D240),"",MID(K240,SEARCH("(",K240)+1,SEARCH(")",K240)-SEARCH("(",K240)-1)&amp;"-"&amp;MID(L240,SEARCH("(",L240)+1,SEARCH(")",L240)-SEARCH("(",L240)-1)&amp;"-"&amp;H240&amp;"-"&amp;TEXT(A240,"000")&amp;IF(ISBLANK(N240),"","-"&amp;SUBSTITUTE(N240," ","")))</f>
        <v/>
      </c>
      <c r="D240" s="9" t="n"/>
      <c r="E240" s="9" t="n"/>
      <c r="F240" s="9" t="n"/>
      <c r="G240" s="9" t="n"/>
      <c r="H240" s="13">
        <f>IF(ISBLANK(F240),"",IF(G240&lt;&gt;"",UPPER(TRIM(G240)),IF(ISNUMBER(SEARCH(" ",TRIM(F240))),UPPER(LEFT(TRIM(RIGHT(SUBSTITUTE(TRIM(F240)," ",REPT(" ",100)),100)),Settings!$B$9)),UPPER(LEFT(TRIM(F240),Settings!$B$9)))))</f>
        <v/>
      </c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15">
        <f>IF(ISBLANK(D240),"",IF(COUNTIFS(Circulation!$B$2:$B$500,A240,Circulation!$H$2:$H$500,"Active")&gt;0,"On Loan","Available"))</f>
        <v/>
      </c>
      <c r="AA240" s="9" t="n"/>
      <c r="AB240" s="9" t="n"/>
      <c r="AC240" s="9" t="n"/>
      <c r="AD240" s="9" t="n"/>
      <c r="AE240" s="9" t="n"/>
      <c r="AF240" s="9" t="n"/>
      <c r="AG240" s="9" t="n"/>
    </row>
    <row r="241">
      <c r="A241" s="13">
        <f>IF(ISBLANK(D241),"",ROW()-1)</f>
        <v/>
      </c>
      <c r="B241" s="14" t="n"/>
      <c r="C241" s="13">
        <f>IF(ISBLANK(D241),"",MID(K241,SEARCH("(",K241)+1,SEARCH(")",K241)-SEARCH("(",K241)-1)&amp;"-"&amp;MID(L241,SEARCH("(",L241)+1,SEARCH(")",L241)-SEARCH("(",L241)-1)&amp;"-"&amp;H241&amp;"-"&amp;TEXT(A241,"000")&amp;IF(ISBLANK(N241),"","-"&amp;SUBSTITUTE(N241," ","")))</f>
        <v/>
      </c>
      <c r="D241" s="9" t="n"/>
      <c r="E241" s="9" t="n"/>
      <c r="F241" s="9" t="n"/>
      <c r="G241" s="9" t="n"/>
      <c r="H241" s="13">
        <f>IF(ISBLANK(F241),"",IF(G241&lt;&gt;"",UPPER(TRIM(G241)),IF(ISNUMBER(SEARCH(" ",TRIM(F241))),UPPER(LEFT(TRIM(RIGHT(SUBSTITUTE(TRIM(F241)," ",REPT(" ",100)),100)),Settings!$B$9)),UPPER(LEFT(TRIM(F241),Settings!$B$9)))))</f>
        <v/>
      </c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15">
        <f>IF(ISBLANK(D241),"",IF(COUNTIFS(Circulation!$B$2:$B$500,A241,Circulation!$H$2:$H$500,"Active")&gt;0,"On Loan","Available"))</f>
        <v/>
      </c>
      <c r="AA241" s="9" t="n"/>
      <c r="AB241" s="9" t="n"/>
      <c r="AC241" s="9" t="n"/>
      <c r="AD241" s="9" t="n"/>
      <c r="AE241" s="9" t="n"/>
      <c r="AF241" s="9" t="n"/>
      <c r="AG241" s="9" t="n"/>
    </row>
    <row r="242">
      <c r="A242" s="13">
        <f>IF(ISBLANK(D242),"",ROW()-1)</f>
        <v/>
      </c>
      <c r="B242" s="14" t="n"/>
      <c r="C242" s="13">
        <f>IF(ISBLANK(D242),"",MID(K242,SEARCH("(",K242)+1,SEARCH(")",K242)-SEARCH("(",K242)-1)&amp;"-"&amp;MID(L242,SEARCH("(",L242)+1,SEARCH(")",L242)-SEARCH("(",L242)-1)&amp;"-"&amp;H242&amp;"-"&amp;TEXT(A242,"000")&amp;IF(ISBLANK(N242),"","-"&amp;SUBSTITUTE(N242," ","")))</f>
        <v/>
      </c>
      <c r="D242" s="9" t="n"/>
      <c r="E242" s="9" t="n"/>
      <c r="F242" s="9" t="n"/>
      <c r="G242" s="9" t="n"/>
      <c r="H242" s="13">
        <f>IF(ISBLANK(F242),"",IF(G242&lt;&gt;"",UPPER(TRIM(G242)),IF(ISNUMBER(SEARCH(" ",TRIM(F242))),UPPER(LEFT(TRIM(RIGHT(SUBSTITUTE(TRIM(F242)," ",REPT(" ",100)),100)),Settings!$B$9)),UPPER(LEFT(TRIM(F242),Settings!$B$9)))))</f>
        <v/>
      </c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15">
        <f>IF(ISBLANK(D242),"",IF(COUNTIFS(Circulation!$B$2:$B$500,A242,Circulation!$H$2:$H$500,"Active")&gt;0,"On Loan","Available"))</f>
        <v/>
      </c>
      <c r="AA242" s="9" t="n"/>
      <c r="AB242" s="9" t="n"/>
      <c r="AC242" s="9" t="n"/>
      <c r="AD242" s="9" t="n"/>
      <c r="AE242" s="9" t="n"/>
      <c r="AF242" s="9" t="n"/>
      <c r="AG242" s="9" t="n"/>
    </row>
    <row r="243">
      <c r="A243" s="13">
        <f>IF(ISBLANK(D243),"",ROW()-1)</f>
        <v/>
      </c>
      <c r="B243" s="14" t="n"/>
      <c r="C243" s="13">
        <f>IF(ISBLANK(D243),"",MID(K243,SEARCH("(",K243)+1,SEARCH(")",K243)-SEARCH("(",K243)-1)&amp;"-"&amp;MID(L243,SEARCH("(",L243)+1,SEARCH(")",L243)-SEARCH("(",L243)-1)&amp;"-"&amp;H243&amp;"-"&amp;TEXT(A243,"000")&amp;IF(ISBLANK(N243),"","-"&amp;SUBSTITUTE(N243," ","")))</f>
        <v/>
      </c>
      <c r="D243" s="9" t="n"/>
      <c r="E243" s="9" t="n"/>
      <c r="F243" s="9" t="n"/>
      <c r="G243" s="9" t="n"/>
      <c r="H243" s="13">
        <f>IF(ISBLANK(F243),"",IF(G243&lt;&gt;"",UPPER(TRIM(G243)),IF(ISNUMBER(SEARCH(" ",TRIM(F243))),UPPER(LEFT(TRIM(RIGHT(SUBSTITUTE(TRIM(F243)," ",REPT(" ",100)),100)),Settings!$B$9)),UPPER(LEFT(TRIM(F243),Settings!$B$9)))))</f>
        <v/>
      </c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15">
        <f>IF(ISBLANK(D243),"",IF(COUNTIFS(Circulation!$B$2:$B$500,A243,Circulation!$H$2:$H$500,"Active")&gt;0,"On Loan","Available"))</f>
        <v/>
      </c>
      <c r="AA243" s="9" t="n"/>
      <c r="AB243" s="9" t="n"/>
      <c r="AC243" s="9" t="n"/>
      <c r="AD243" s="9" t="n"/>
      <c r="AE243" s="9" t="n"/>
      <c r="AF243" s="9" t="n"/>
      <c r="AG243" s="9" t="n"/>
    </row>
    <row r="244">
      <c r="A244" s="13">
        <f>IF(ISBLANK(D244),"",ROW()-1)</f>
        <v/>
      </c>
      <c r="B244" s="14" t="n"/>
      <c r="C244" s="13">
        <f>IF(ISBLANK(D244),"",MID(K244,SEARCH("(",K244)+1,SEARCH(")",K244)-SEARCH("(",K244)-1)&amp;"-"&amp;MID(L244,SEARCH("(",L244)+1,SEARCH(")",L244)-SEARCH("(",L244)-1)&amp;"-"&amp;H244&amp;"-"&amp;TEXT(A244,"000")&amp;IF(ISBLANK(N244),"","-"&amp;SUBSTITUTE(N244," ","")))</f>
        <v/>
      </c>
      <c r="D244" s="9" t="n"/>
      <c r="E244" s="9" t="n"/>
      <c r="F244" s="9" t="n"/>
      <c r="G244" s="9" t="n"/>
      <c r="H244" s="13">
        <f>IF(ISBLANK(F244),"",IF(G244&lt;&gt;"",UPPER(TRIM(G244)),IF(ISNUMBER(SEARCH(" ",TRIM(F244))),UPPER(LEFT(TRIM(RIGHT(SUBSTITUTE(TRIM(F244)," ",REPT(" ",100)),100)),Settings!$B$9)),UPPER(LEFT(TRIM(F244),Settings!$B$9)))))</f>
        <v/>
      </c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15">
        <f>IF(ISBLANK(D244),"",IF(COUNTIFS(Circulation!$B$2:$B$500,A244,Circulation!$H$2:$H$500,"Active")&gt;0,"On Loan","Available"))</f>
        <v/>
      </c>
      <c r="AA244" s="9" t="n"/>
      <c r="AB244" s="9" t="n"/>
      <c r="AC244" s="9" t="n"/>
      <c r="AD244" s="9" t="n"/>
      <c r="AE244" s="9" t="n"/>
      <c r="AF244" s="9" t="n"/>
      <c r="AG244" s="9" t="n"/>
    </row>
    <row r="245">
      <c r="A245" s="13">
        <f>IF(ISBLANK(D245),"",ROW()-1)</f>
        <v/>
      </c>
      <c r="B245" s="14" t="n"/>
      <c r="C245" s="13">
        <f>IF(ISBLANK(D245),"",MID(K245,SEARCH("(",K245)+1,SEARCH(")",K245)-SEARCH("(",K245)-1)&amp;"-"&amp;MID(L245,SEARCH("(",L245)+1,SEARCH(")",L245)-SEARCH("(",L245)-1)&amp;"-"&amp;H245&amp;"-"&amp;TEXT(A245,"000")&amp;IF(ISBLANK(N245),"","-"&amp;SUBSTITUTE(N245," ","")))</f>
        <v/>
      </c>
      <c r="D245" s="9" t="n"/>
      <c r="E245" s="9" t="n"/>
      <c r="F245" s="9" t="n"/>
      <c r="G245" s="9" t="n"/>
      <c r="H245" s="13">
        <f>IF(ISBLANK(F245),"",IF(G245&lt;&gt;"",UPPER(TRIM(G245)),IF(ISNUMBER(SEARCH(" ",TRIM(F245))),UPPER(LEFT(TRIM(RIGHT(SUBSTITUTE(TRIM(F245)," ",REPT(" ",100)),100)),Settings!$B$9)),UPPER(LEFT(TRIM(F245),Settings!$B$9)))))</f>
        <v/>
      </c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15">
        <f>IF(ISBLANK(D245),"",IF(COUNTIFS(Circulation!$B$2:$B$500,A245,Circulation!$H$2:$H$500,"Active")&gt;0,"On Loan","Available"))</f>
        <v/>
      </c>
      <c r="AA245" s="9" t="n"/>
      <c r="AB245" s="9" t="n"/>
      <c r="AC245" s="9" t="n"/>
      <c r="AD245" s="9" t="n"/>
      <c r="AE245" s="9" t="n"/>
      <c r="AF245" s="9" t="n"/>
      <c r="AG245" s="9" t="n"/>
    </row>
    <row r="246">
      <c r="A246" s="13">
        <f>IF(ISBLANK(D246),"",ROW()-1)</f>
        <v/>
      </c>
      <c r="B246" s="14" t="n"/>
      <c r="C246" s="13">
        <f>IF(ISBLANK(D246),"",MID(K246,SEARCH("(",K246)+1,SEARCH(")",K246)-SEARCH("(",K246)-1)&amp;"-"&amp;MID(L246,SEARCH("(",L246)+1,SEARCH(")",L246)-SEARCH("(",L246)-1)&amp;"-"&amp;H246&amp;"-"&amp;TEXT(A246,"000")&amp;IF(ISBLANK(N246),"","-"&amp;SUBSTITUTE(N246," ","")))</f>
        <v/>
      </c>
      <c r="D246" s="9" t="n"/>
      <c r="E246" s="9" t="n"/>
      <c r="F246" s="9" t="n"/>
      <c r="G246" s="9" t="n"/>
      <c r="H246" s="13">
        <f>IF(ISBLANK(F246),"",IF(G246&lt;&gt;"",UPPER(TRIM(G246)),IF(ISNUMBER(SEARCH(" ",TRIM(F246))),UPPER(LEFT(TRIM(RIGHT(SUBSTITUTE(TRIM(F246)," ",REPT(" ",100)),100)),Settings!$B$9)),UPPER(LEFT(TRIM(F246),Settings!$B$9)))))</f>
        <v/>
      </c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15">
        <f>IF(ISBLANK(D246),"",IF(COUNTIFS(Circulation!$B$2:$B$500,A246,Circulation!$H$2:$H$500,"Active")&gt;0,"On Loan","Available"))</f>
        <v/>
      </c>
      <c r="AA246" s="9" t="n"/>
      <c r="AB246" s="9" t="n"/>
      <c r="AC246" s="9" t="n"/>
      <c r="AD246" s="9" t="n"/>
      <c r="AE246" s="9" t="n"/>
      <c r="AF246" s="9" t="n"/>
      <c r="AG246" s="9" t="n"/>
    </row>
    <row r="247">
      <c r="A247" s="13">
        <f>IF(ISBLANK(D247),"",ROW()-1)</f>
        <v/>
      </c>
      <c r="B247" s="14" t="n"/>
      <c r="C247" s="13">
        <f>IF(ISBLANK(D247),"",MID(K247,SEARCH("(",K247)+1,SEARCH(")",K247)-SEARCH("(",K247)-1)&amp;"-"&amp;MID(L247,SEARCH("(",L247)+1,SEARCH(")",L247)-SEARCH("(",L247)-1)&amp;"-"&amp;H247&amp;"-"&amp;TEXT(A247,"000")&amp;IF(ISBLANK(N247),"","-"&amp;SUBSTITUTE(N247," ","")))</f>
        <v/>
      </c>
      <c r="D247" s="9" t="n"/>
      <c r="E247" s="9" t="n"/>
      <c r="F247" s="9" t="n"/>
      <c r="G247" s="9" t="n"/>
      <c r="H247" s="13">
        <f>IF(ISBLANK(F247),"",IF(G247&lt;&gt;"",UPPER(TRIM(G247)),IF(ISNUMBER(SEARCH(" ",TRIM(F247))),UPPER(LEFT(TRIM(RIGHT(SUBSTITUTE(TRIM(F247)," ",REPT(" ",100)),100)),Settings!$B$9)),UPPER(LEFT(TRIM(F247),Settings!$B$9)))))</f>
        <v/>
      </c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15">
        <f>IF(ISBLANK(D247),"",IF(COUNTIFS(Circulation!$B$2:$B$500,A247,Circulation!$H$2:$H$500,"Active")&gt;0,"On Loan","Available"))</f>
        <v/>
      </c>
      <c r="AA247" s="9" t="n"/>
      <c r="AB247" s="9" t="n"/>
      <c r="AC247" s="9" t="n"/>
      <c r="AD247" s="9" t="n"/>
      <c r="AE247" s="9" t="n"/>
      <c r="AF247" s="9" t="n"/>
      <c r="AG247" s="9" t="n"/>
    </row>
    <row r="248">
      <c r="A248" s="13">
        <f>IF(ISBLANK(D248),"",ROW()-1)</f>
        <v/>
      </c>
      <c r="B248" s="14" t="n"/>
      <c r="C248" s="13">
        <f>IF(ISBLANK(D248),"",MID(K248,SEARCH("(",K248)+1,SEARCH(")",K248)-SEARCH("(",K248)-1)&amp;"-"&amp;MID(L248,SEARCH("(",L248)+1,SEARCH(")",L248)-SEARCH("(",L248)-1)&amp;"-"&amp;H248&amp;"-"&amp;TEXT(A248,"000")&amp;IF(ISBLANK(N248),"","-"&amp;SUBSTITUTE(N248," ","")))</f>
        <v/>
      </c>
      <c r="D248" s="9" t="n"/>
      <c r="E248" s="9" t="n"/>
      <c r="F248" s="9" t="n"/>
      <c r="G248" s="9" t="n"/>
      <c r="H248" s="13">
        <f>IF(ISBLANK(F248),"",IF(G248&lt;&gt;"",UPPER(TRIM(G248)),IF(ISNUMBER(SEARCH(" ",TRIM(F248))),UPPER(LEFT(TRIM(RIGHT(SUBSTITUTE(TRIM(F248)," ",REPT(" ",100)),100)),Settings!$B$9)),UPPER(LEFT(TRIM(F248),Settings!$B$9)))))</f>
        <v/>
      </c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15">
        <f>IF(ISBLANK(D248),"",IF(COUNTIFS(Circulation!$B$2:$B$500,A248,Circulation!$H$2:$H$500,"Active")&gt;0,"On Loan","Available"))</f>
        <v/>
      </c>
      <c r="AA248" s="9" t="n"/>
      <c r="AB248" s="9" t="n"/>
      <c r="AC248" s="9" t="n"/>
      <c r="AD248" s="9" t="n"/>
      <c r="AE248" s="9" t="n"/>
      <c r="AF248" s="9" t="n"/>
      <c r="AG248" s="9" t="n"/>
    </row>
    <row r="249">
      <c r="A249" s="13">
        <f>IF(ISBLANK(D249),"",ROW()-1)</f>
        <v/>
      </c>
      <c r="B249" s="14" t="n"/>
      <c r="C249" s="13">
        <f>IF(ISBLANK(D249),"",MID(K249,SEARCH("(",K249)+1,SEARCH(")",K249)-SEARCH("(",K249)-1)&amp;"-"&amp;MID(L249,SEARCH("(",L249)+1,SEARCH(")",L249)-SEARCH("(",L249)-1)&amp;"-"&amp;H249&amp;"-"&amp;TEXT(A249,"000")&amp;IF(ISBLANK(N249),"","-"&amp;SUBSTITUTE(N249," ","")))</f>
        <v/>
      </c>
      <c r="D249" s="9" t="n"/>
      <c r="E249" s="9" t="n"/>
      <c r="F249" s="9" t="n"/>
      <c r="G249" s="9" t="n"/>
      <c r="H249" s="13">
        <f>IF(ISBLANK(F249),"",IF(G249&lt;&gt;"",UPPER(TRIM(G249)),IF(ISNUMBER(SEARCH(" ",TRIM(F249))),UPPER(LEFT(TRIM(RIGHT(SUBSTITUTE(TRIM(F249)," ",REPT(" ",100)),100)),Settings!$B$9)),UPPER(LEFT(TRIM(F249),Settings!$B$9)))))</f>
        <v/>
      </c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15">
        <f>IF(ISBLANK(D249),"",IF(COUNTIFS(Circulation!$B$2:$B$500,A249,Circulation!$H$2:$H$500,"Active")&gt;0,"On Loan","Available"))</f>
        <v/>
      </c>
      <c r="AA249" s="9" t="n"/>
      <c r="AB249" s="9" t="n"/>
      <c r="AC249" s="9" t="n"/>
      <c r="AD249" s="9" t="n"/>
      <c r="AE249" s="9" t="n"/>
      <c r="AF249" s="9" t="n"/>
      <c r="AG249" s="9" t="n"/>
    </row>
    <row r="250">
      <c r="A250" s="13">
        <f>IF(ISBLANK(D250),"",ROW()-1)</f>
        <v/>
      </c>
      <c r="B250" s="14" t="n"/>
      <c r="C250" s="13">
        <f>IF(ISBLANK(D250),"",MID(K250,SEARCH("(",K250)+1,SEARCH(")",K250)-SEARCH("(",K250)-1)&amp;"-"&amp;MID(L250,SEARCH("(",L250)+1,SEARCH(")",L250)-SEARCH("(",L250)-1)&amp;"-"&amp;H250&amp;"-"&amp;TEXT(A250,"000")&amp;IF(ISBLANK(N250),"","-"&amp;SUBSTITUTE(N250," ","")))</f>
        <v/>
      </c>
      <c r="D250" s="9" t="n"/>
      <c r="E250" s="9" t="n"/>
      <c r="F250" s="9" t="n"/>
      <c r="G250" s="9" t="n"/>
      <c r="H250" s="13">
        <f>IF(ISBLANK(F250),"",IF(G250&lt;&gt;"",UPPER(TRIM(G250)),IF(ISNUMBER(SEARCH(" ",TRIM(F250))),UPPER(LEFT(TRIM(RIGHT(SUBSTITUTE(TRIM(F250)," ",REPT(" ",100)),100)),Settings!$B$9)),UPPER(LEFT(TRIM(F250),Settings!$B$9)))))</f>
        <v/>
      </c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15">
        <f>IF(ISBLANK(D250),"",IF(COUNTIFS(Circulation!$B$2:$B$500,A250,Circulation!$H$2:$H$500,"Active")&gt;0,"On Loan","Available"))</f>
        <v/>
      </c>
      <c r="AA250" s="9" t="n"/>
      <c r="AB250" s="9" t="n"/>
      <c r="AC250" s="9" t="n"/>
      <c r="AD250" s="9" t="n"/>
      <c r="AE250" s="9" t="n"/>
      <c r="AF250" s="9" t="n"/>
      <c r="AG250" s="9" t="n"/>
    </row>
    <row r="251">
      <c r="A251" s="13">
        <f>IF(ISBLANK(D251),"",ROW()-1)</f>
        <v/>
      </c>
      <c r="B251" s="14" t="n"/>
      <c r="C251" s="13">
        <f>IF(ISBLANK(D251),"",MID(K251,SEARCH("(",K251)+1,SEARCH(")",K251)-SEARCH("(",K251)-1)&amp;"-"&amp;MID(L251,SEARCH("(",L251)+1,SEARCH(")",L251)-SEARCH("(",L251)-1)&amp;"-"&amp;H251&amp;"-"&amp;TEXT(A251,"000")&amp;IF(ISBLANK(N251),"","-"&amp;SUBSTITUTE(N251," ","")))</f>
        <v/>
      </c>
      <c r="D251" s="9" t="n"/>
      <c r="E251" s="9" t="n"/>
      <c r="F251" s="9" t="n"/>
      <c r="G251" s="9" t="n"/>
      <c r="H251" s="13">
        <f>IF(ISBLANK(F251),"",IF(G251&lt;&gt;"",UPPER(TRIM(G251)),IF(ISNUMBER(SEARCH(" ",TRIM(F251))),UPPER(LEFT(TRIM(RIGHT(SUBSTITUTE(TRIM(F251)," ",REPT(" ",100)),100)),Settings!$B$9)),UPPER(LEFT(TRIM(F251),Settings!$B$9)))))</f>
        <v/>
      </c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15">
        <f>IF(ISBLANK(D251),"",IF(COUNTIFS(Circulation!$B$2:$B$500,A251,Circulation!$H$2:$H$500,"Active")&gt;0,"On Loan","Available"))</f>
        <v/>
      </c>
      <c r="AA251" s="9" t="n"/>
      <c r="AB251" s="9" t="n"/>
      <c r="AC251" s="9" t="n"/>
      <c r="AD251" s="9" t="n"/>
      <c r="AE251" s="9" t="n"/>
      <c r="AF251" s="9" t="n"/>
      <c r="AG251" s="9" t="n"/>
    </row>
    <row r="252">
      <c r="A252" s="13">
        <f>IF(ISBLANK(D252),"",ROW()-1)</f>
        <v/>
      </c>
      <c r="B252" s="14" t="n"/>
      <c r="C252" s="13">
        <f>IF(ISBLANK(D252),"",MID(K252,SEARCH("(",K252)+1,SEARCH(")",K252)-SEARCH("(",K252)-1)&amp;"-"&amp;MID(L252,SEARCH("(",L252)+1,SEARCH(")",L252)-SEARCH("(",L252)-1)&amp;"-"&amp;H252&amp;"-"&amp;TEXT(A252,"000")&amp;IF(ISBLANK(N252),"","-"&amp;SUBSTITUTE(N252," ","")))</f>
        <v/>
      </c>
      <c r="D252" s="9" t="n"/>
      <c r="E252" s="9" t="n"/>
      <c r="F252" s="9" t="n"/>
      <c r="G252" s="9" t="n"/>
      <c r="H252" s="13">
        <f>IF(ISBLANK(F252),"",IF(G252&lt;&gt;"",UPPER(TRIM(G252)),IF(ISNUMBER(SEARCH(" ",TRIM(F252))),UPPER(LEFT(TRIM(RIGHT(SUBSTITUTE(TRIM(F252)," ",REPT(" ",100)),100)),Settings!$B$9)),UPPER(LEFT(TRIM(F252),Settings!$B$9)))))</f>
        <v/>
      </c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15">
        <f>IF(ISBLANK(D252),"",IF(COUNTIFS(Circulation!$B$2:$B$500,A252,Circulation!$H$2:$H$500,"Active")&gt;0,"On Loan","Available"))</f>
        <v/>
      </c>
      <c r="AA252" s="9" t="n"/>
      <c r="AB252" s="9" t="n"/>
      <c r="AC252" s="9" t="n"/>
      <c r="AD252" s="9" t="n"/>
      <c r="AE252" s="9" t="n"/>
      <c r="AF252" s="9" t="n"/>
      <c r="AG252" s="9" t="n"/>
    </row>
    <row r="253">
      <c r="A253" s="13">
        <f>IF(ISBLANK(D253),"",ROW()-1)</f>
        <v/>
      </c>
      <c r="B253" s="14" t="n"/>
      <c r="C253" s="13">
        <f>IF(ISBLANK(D253),"",MID(K253,SEARCH("(",K253)+1,SEARCH(")",K253)-SEARCH("(",K253)-1)&amp;"-"&amp;MID(L253,SEARCH("(",L253)+1,SEARCH(")",L253)-SEARCH("(",L253)-1)&amp;"-"&amp;H253&amp;"-"&amp;TEXT(A253,"000")&amp;IF(ISBLANK(N253),"","-"&amp;SUBSTITUTE(N253," ","")))</f>
        <v/>
      </c>
      <c r="D253" s="9" t="n"/>
      <c r="E253" s="9" t="n"/>
      <c r="F253" s="9" t="n"/>
      <c r="G253" s="9" t="n"/>
      <c r="H253" s="13">
        <f>IF(ISBLANK(F253),"",IF(G253&lt;&gt;"",UPPER(TRIM(G253)),IF(ISNUMBER(SEARCH(" ",TRIM(F253))),UPPER(LEFT(TRIM(RIGHT(SUBSTITUTE(TRIM(F253)," ",REPT(" ",100)),100)),Settings!$B$9)),UPPER(LEFT(TRIM(F253),Settings!$B$9)))))</f>
        <v/>
      </c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15">
        <f>IF(ISBLANK(D253),"",IF(COUNTIFS(Circulation!$B$2:$B$500,A253,Circulation!$H$2:$H$500,"Active")&gt;0,"On Loan","Available"))</f>
        <v/>
      </c>
      <c r="AA253" s="9" t="n"/>
      <c r="AB253" s="9" t="n"/>
      <c r="AC253" s="9" t="n"/>
      <c r="AD253" s="9" t="n"/>
      <c r="AE253" s="9" t="n"/>
      <c r="AF253" s="9" t="n"/>
      <c r="AG253" s="9" t="n"/>
    </row>
    <row r="254">
      <c r="A254" s="13">
        <f>IF(ISBLANK(D254),"",ROW()-1)</f>
        <v/>
      </c>
      <c r="B254" s="14" t="n"/>
      <c r="C254" s="13">
        <f>IF(ISBLANK(D254),"",MID(K254,SEARCH("(",K254)+1,SEARCH(")",K254)-SEARCH("(",K254)-1)&amp;"-"&amp;MID(L254,SEARCH("(",L254)+1,SEARCH(")",L254)-SEARCH("(",L254)-1)&amp;"-"&amp;H254&amp;"-"&amp;TEXT(A254,"000")&amp;IF(ISBLANK(N254),"","-"&amp;SUBSTITUTE(N254," ","")))</f>
        <v/>
      </c>
      <c r="D254" s="9" t="n"/>
      <c r="E254" s="9" t="n"/>
      <c r="F254" s="9" t="n"/>
      <c r="G254" s="9" t="n"/>
      <c r="H254" s="13">
        <f>IF(ISBLANK(F254),"",IF(G254&lt;&gt;"",UPPER(TRIM(G254)),IF(ISNUMBER(SEARCH(" ",TRIM(F254))),UPPER(LEFT(TRIM(RIGHT(SUBSTITUTE(TRIM(F254)," ",REPT(" ",100)),100)),Settings!$B$9)),UPPER(LEFT(TRIM(F254),Settings!$B$9)))))</f>
        <v/>
      </c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15">
        <f>IF(ISBLANK(D254),"",IF(COUNTIFS(Circulation!$B$2:$B$500,A254,Circulation!$H$2:$H$500,"Active")&gt;0,"On Loan","Available"))</f>
        <v/>
      </c>
      <c r="AA254" s="9" t="n"/>
      <c r="AB254" s="9" t="n"/>
      <c r="AC254" s="9" t="n"/>
      <c r="AD254" s="9" t="n"/>
      <c r="AE254" s="9" t="n"/>
      <c r="AF254" s="9" t="n"/>
      <c r="AG254" s="9" t="n"/>
    </row>
    <row r="255">
      <c r="A255" s="13">
        <f>IF(ISBLANK(D255),"",ROW()-1)</f>
        <v/>
      </c>
      <c r="B255" s="14" t="n"/>
      <c r="C255" s="13">
        <f>IF(ISBLANK(D255),"",MID(K255,SEARCH("(",K255)+1,SEARCH(")",K255)-SEARCH("(",K255)-1)&amp;"-"&amp;MID(L255,SEARCH("(",L255)+1,SEARCH(")",L255)-SEARCH("(",L255)-1)&amp;"-"&amp;H255&amp;"-"&amp;TEXT(A255,"000")&amp;IF(ISBLANK(N255),"","-"&amp;SUBSTITUTE(N255," ","")))</f>
        <v/>
      </c>
      <c r="D255" s="9" t="n"/>
      <c r="E255" s="9" t="n"/>
      <c r="F255" s="9" t="n"/>
      <c r="G255" s="9" t="n"/>
      <c r="H255" s="13">
        <f>IF(ISBLANK(F255),"",IF(G255&lt;&gt;"",UPPER(TRIM(G255)),IF(ISNUMBER(SEARCH(" ",TRIM(F255))),UPPER(LEFT(TRIM(RIGHT(SUBSTITUTE(TRIM(F255)," ",REPT(" ",100)),100)),Settings!$B$9)),UPPER(LEFT(TRIM(F255),Settings!$B$9)))))</f>
        <v/>
      </c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15">
        <f>IF(ISBLANK(D255),"",IF(COUNTIFS(Circulation!$B$2:$B$500,A255,Circulation!$H$2:$H$500,"Active")&gt;0,"On Loan","Available"))</f>
        <v/>
      </c>
      <c r="AA255" s="9" t="n"/>
      <c r="AB255" s="9" t="n"/>
      <c r="AC255" s="9" t="n"/>
      <c r="AD255" s="9" t="n"/>
      <c r="AE255" s="9" t="n"/>
      <c r="AF255" s="9" t="n"/>
      <c r="AG255" s="9" t="n"/>
    </row>
    <row r="256">
      <c r="A256" s="13">
        <f>IF(ISBLANK(D256),"",ROW()-1)</f>
        <v/>
      </c>
      <c r="B256" s="14" t="n"/>
      <c r="C256" s="13">
        <f>IF(ISBLANK(D256),"",MID(K256,SEARCH("(",K256)+1,SEARCH(")",K256)-SEARCH("(",K256)-1)&amp;"-"&amp;MID(L256,SEARCH("(",L256)+1,SEARCH(")",L256)-SEARCH("(",L256)-1)&amp;"-"&amp;H256&amp;"-"&amp;TEXT(A256,"000")&amp;IF(ISBLANK(N256),"","-"&amp;SUBSTITUTE(N256," ","")))</f>
        <v/>
      </c>
      <c r="D256" s="9" t="n"/>
      <c r="E256" s="9" t="n"/>
      <c r="F256" s="9" t="n"/>
      <c r="G256" s="9" t="n"/>
      <c r="H256" s="13">
        <f>IF(ISBLANK(F256),"",IF(G256&lt;&gt;"",UPPER(TRIM(G256)),IF(ISNUMBER(SEARCH(" ",TRIM(F256))),UPPER(LEFT(TRIM(RIGHT(SUBSTITUTE(TRIM(F256)," ",REPT(" ",100)),100)),Settings!$B$9)),UPPER(LEFT(TRIM(F256),Settings!$B$9)))))</f>
        <v/>
      </c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15">
        <f>IF(ISBLANK(D256),"",IF(COUNTIFS(Circulation!$B$2:$B$500,A256,Circulation!$H$2:$H$500,"Active")&gt;0,"On Loan","Available"))</f>
        <v/>
      </c>
      <c r="AA256" s="9" t="n"/>
      <c r="AB256" s="9" t="n"/>
      <c r="AC256" s="9" t="n"/>
      <c r="AD256" s="9" t="n"/>
      <c r="AE256" s="9" t="n"/>
      <c r="AF256" s="9" t="n"/>
      <c r="AG256" s="9" t="n"/>
    </row>
    <row r="257">
      <c r="A257" s="13">
        <f>IF(ISBLANK(D257),"",ROW()-1)</f>
        <v/>
      </c>
      <c r="B257" s="14" t="n"/>
      <c r="C257" s="13">
        <f>IF(ISBLANK(D257),"",MID(K257,SEARCH("(",K257)+1,SEARCH(")",K257)-SEARCH("(",K257)-1)&amp;"-"&amp;MID(L257,SEARCH("(",L257)+1,SEARCH(")",L257)-SEARCH("(",L257)-1)&amp;"-"&amp;H257&amp;"-"&amp;TEXT(A257,"000")&amp;IF(ISBLANK(N257),"","-"&amp;SUBSTITUTE(N257," ","")))</f>
        <v/>
      </c>
      <c r="D257" s="9" t="n"/>
      <c r="E257" s="9" t="n"/>
      <c r="F257" s="9" t="n"/>
      <c r="G257" s="9" t="n"/>
      <c r="H257" s="13">
        <f>IF(ISBLANK(F257),"",IF(G257&lt;&gt;"",UPPER(TRIM(G257)),IF(ISNUMBER(SEARCH(" ",TRIM(F257))),UPPER(LEFT(TRIM(RIGHT(SUBSTITUTE(TRIM(F257)," ",REPT(" ",100)),100)),Settings!$B$9)),UPPER(LEFT(TRIM(F257),Settings!$B$9)))))</f>
        <v/>
      </c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15">
        <f>IF(ISBLANK(D257),"",IF(COUNTIFS(Circulation!$B$2:$B$500,A257,Circulation!$H$2:$H$500,"Active")&gt;0,"On Loan","Available"))</f>
        <v/>
      </c>
      <c r="AA257" s="9" t="n"/>
      <c r="AB257" s="9" t="n"/>
      <c r="AC257" s="9" t="n"/>
      <c r="AD257" s="9" t="n"/>
      <c r="AE257" s="9" t="n"/>
      <c r="AF257" s="9" t="n"/>
      <c r="AG257" s="9" t="n"/>
    </row>
    <row r="258">
      <c r="A258" s="13">
        <f>IF(ISBLANK(D258),"",ROW()-1)</f>
        <v/>
      </c>
      <c r="B258" s="14" t="n"/>
      <c r="C258" s="13">
        <f>IF(ISBLANK(D258),"",MID(K258,SEARCH("(",K258)+1,SEARCH(")",K258)-SEARCH("(",K258)-1)&amp;"-"&amp;MID(L258,SEARCH("(",L258)+1,SEARCH(")",L258)-SEARCH("(",L258)-1)&amp;"-"&amp;H258&amp;"-"&amp;TEXT(A258,"000")&amp;IF(ISBLANK(N258),"","-"&amp;SUBSTITUTE(N258," ","")))</f>
        <v/>
      </c>
      <c r="D258" s="9" t="n"/>
      <c r="E258" s="9" t="n"/>
      <c r="F258" s="9" t="n"/>
      <c r="G258" s="9" t="n"/>
      <c r="H258" s="13">
        <f>IF(ISBLANK(F258),"",IF(G258&lt;&gt;"",UPPER(TRIM(G258)),IF(ISNUMBER(SEARCH(" ",TRIM(F258))),UPPER(LEFT(TRIM(RIGHT(SUBSTITUTE(TRIM(F258)," ",REPT(" ",100)),100)),Settings!$B$9)),UPPER(LEFT(TRIM(F258),Settings!$B$9)))))</f>
        <v/>
      </c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15">
        <f>IF(ISBLANK(D258),"",IF(COUNTIFS(Circulation!$B$2:$B$500,A258,Circulation!$H$2:$H$500,"Active")&gt;0,"On Loan","Available"))</f>
        <v/>
      </c>
      <c r="AA258" s="9" t="n"/>
      <c r="AB258" s="9" t="n"/>
      <c r="AC258" s="9" t="n"/>
      <c r="AD258" s="9" t="n"/>
      <c r="AE258" s="9" t="n"/>
      <c r="AF258" s="9" t="n"/>
      <c r="AG258" s="9" t="n"/>
    </row>
    <row r="259">
      <c r="A259" s="13">
        <f>IF(ISBLANK(D259),"",ROW()-1)</f>
        <v/>
      </c>
      <c r="B259" s="14" t="n"/>
      <c r="C259" s="13">
        <f>IF(ISBLANK(D259),"",MID(K259,SEARCH("(",K259)+1,SEARCH(")",K259)-SEARCH("(",K259)-1)&amp;"-"&amp;MID(L259,SEARCH("(",L259)+1,SEARCH(")",L259)-SEARCH("(",L259)-1)&amp;"-"&amp;H259&amp;"-"&amp;TEXT(A259,"000")&amp;IF(ISBLANK(N259),"","-"&amp;SUBSTITUTE(N259," ","")))</f>
        <v/>
      </c>
      <c r="D259" s="9" t="n"/>
      <c r="E259" s="9" t="n"/>
      <c r="F259" s="9" t="n"/>
      <c r="G259" s="9" t="n"/>
      <c r="H259" s="13">
        <f>IF(ISBLANK(F259),"",IF(G259&lt;&gt;"",UPPER(TRIM(G259)),IF(ISNUMBER(SEARCH(" ",TRIM(F259))),UPPER(LEFT(TRIM(RIGHT(SUBSTITUTE(TRIM(F259)," ",REPT(" ",100)),100)),Settings!$B$9)),UPPER(LEFT(TRIM(F259),Settings!$B$9)))))</f>
        <v/>
      </c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15">
        <f>IF(ISBLANK(D259),"",IF(COUNTIFS(Circulation!$B$2:$B$500,A259,Circulation!$H$2:$H$500,"Active")&gt;0,"On Loan","Available"))</f>
        <v/>
      </c>
      <c r="AA259" s="9" t="n"/>
      <c r="AB259" s="9" t="n"/>
      <c r="AC259" s="9" t="n"/>
      <c r="AD259" s="9" t="n"/>
      <c r="AE259" s="9" t="n"/>
      <c r="AF259" s="9" t="n"/>
      <c r="AG259" s="9" t="n"/>
    </row>
    <row r="260">
      <c r="A260" s="13">
        <f>IF(ISBLANK(D260),"",ROW()-1)</f>
        <v/>
      </c>
      <c r="B260" s="14" t="n"/>
      <c r="C260" s="13">
        <f>IF(ISBLANK(D260),"",MID(K260,SEARCH("(",K260)+1,SEARCH(")",K260)-SEARCH("(",K260)-1)&amp;"-"&amp;MID(L260,SEARCH("(",L260)+1,SEARCH(")",L260)-SEARCH("(",L260)-1)&amp;"-"&amp;H260&amp;"-"&amp;TEXT(A260,"000")&amp;IF(ISBLANK(N260),"","-"&amp;SUBSTITUTE(N260," ","")))</f>
        <v/>
      </c>
      <c r="D260" s="9" t="n"/>
      <c r="E260" s="9" t="n"/>
      <c r="F260" s="9" t="n"/>
      <c r="G260" s="9" t="n"/>
      <c r="H260" s="13">
        <f>IF(ISBLANK(F260),"",IF(G260&lt;&gt;"",UPPER(TRIM(G260)),IF(ISNUMBER(SEARCH(" ",TRIM(F260))),UPPER(LEFT(TRIM(RIGHT(SUBSTITUTE(TRIM(F260)," ",REPT(" ",100)),100)),Settings!$B$9)),UPPER(LEFT(TRIM(F260),Settings!$B$9)))))</f>
        <v/>
      </c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15">
        <f>IF(ISBLANK(D260),"",IF(COUNTIFS(Circulation!$B$2:$B$500,A260,Circulation!$H$2:$H$500,"Active")&gt;0,"On Loan","Available"))</f>
        <v/>
      </c>
      <c r="AA260" s="9" t="n"/>
      <c r="AB260" s="9" t="n"/>
      <c r="AC260" s="9" t="n"/>
      <c r="AD260" s="9" t="n"/>
      <c r="AE260" s="9" t="n"/>
      <c r="AF260" s="9" t="n"/>
      <c r="AG260" s="9" t="n"/>
    </row>
    <row r="261">
      <c r="A261" s="13">
        <f>IF(ISBLANK(D261),"",ROW()-1)</f>
        <v/>
      </c>
      <c r="B261" s="14" t="n"/>
      <c r="C261" s="13">
        <f>IF(ISBLANK(D261),"",MID(K261,SEARCH("(",K261)+1,SEARCH(")",K261)-SEARCH("(",K261)-1)&amp;"-"&amp;MID(L261,SEARCH("(",L261)+1,SEARCH(")",L261)-SEARCH("(",L261)-1)&amp;"-"&amp;H261&amp;"-"&amp;TEXT(A261,"000")&amp;IF(ISBLANK(N261),"","-"&amp;SUBSTITUTE(N261," ","")))</f>
        <v/>
      </c>
      <c r="D261" s="9" t="n"/>
      <c r="E261" s="9" t="n"/>
      <c r="F261" s="9" t="n"/>
      <c r="G261" s="9" t="n"/>
      <c r="H261" s="13">
        <f>IF(ISBLANK(F261),"",IF(G261&lt;&gt;"",UPPER(TRIM(G261)),IF(ISNUMBER(SEARCH(" ",TRIM(F261))),UPPER(LEFT(TRIM(RIGHT(SUBSTITUTE(TRIM(F261)," ",REPT(" ",100)),100)),Settings!$B$9)),UPPER(LEFT(TRIM(F261),Settings!$B$9)))))</f>
        <v/>
      </c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15">
        <f>IF(ISBLANK(D261),"",IF(COUNTIFS(Circulation!$B$2:$B$500,A261,Circulation!$H$2:$H$500,"Active")&gt;0,"On Loan","Available"))</f>
        <v/>
      </c>
      <c r="AA261" s="9" t="n"/>
      <c r="AB261" s="9" t="n"/>
      <c r="AC261" s="9" t="n"/>
      <c r="AD261" s="9" t="n"/>
      <c r="AE261" s="9" t="n"/>
      <c r="AF261" s="9" t="n"/>
      <c r="AG261" s="9" t="n"/>
    </row>
    <row r="262">
      <c r="A262" s="13">
        <f>IF(ISBLANK(D262),"",ROW()-1)</f>
        <v/>
      </c>
      <c r="B262" s="14" t="n"/>
      <c r="C262" s="13">
        <f>IF(ISBLANK(D262),"",MID(K262,SEARCH("(",K262)+1,SEARCH(")",K262)-SEARCH("(",K262)-1)&amp;"-"&amp;MID(L262,SEARCH("(",L262)+1,SEARCH(")",L262)-SEARCH("(",L262)-1)&amp;"-"&amp;H262&amp;"-"&amp;TEXT(A262,"000")&amp;IF(ISBLANK(N262),"","-"&amp;SUBSTITUTE(N262," ","")))</f>
        <v/>
      </c>
      <c r="D262" s="9" t="n"/>
      <c r="E262" s="9" t="n"/>
      <c r="F262" s="9" t="n"/>
      <c r="G262" s="9" t="n"/>
      <c r="H262" s="13">
        <f>IF(ISBLANK(F262),"",IF(G262&lt;&gt;"",UPPER(TRIM(G262)),IF(ISNUMBER(SEARCH(" ",TRIM(F262))),UPPER(LEFT(TRIM(RIGHT(SUBSTITUTE(TRIM(F262)," ",REPT(" ",100)),100)),Settings!$B$9)),UPPER(LEFT(TRIM(F262),Settings!$B$9)))))</f>
        <v/>
      </c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15">
        <f>IF(ISBLANK(D262),"",IF(COUNTIFS(Circulation!$B$2:$B$500,A262,Circulation!$H$2:$H$500,"Active")&gt;0,"On Loan","Available"))</f>
        <v/>
      </c>
      <c r="AA262" s="9" t="n"/>
      <c r="AB262" s="9" t="n"/>
      <c r="AC262" s="9" t="n"/>
      <c r="AD262" s="9" t="n"/>
      <c r="AE262" s="9" t="n"/>
      <c r="AF262" s="9" t="n"/>
      <c r="AG262" s="9" t="n"/>
    </row>
    <row r="263">
      <c r="A263" s="13">
        <f>IF(ISBLANK(D263),"",ROW()-1)</f>
        <v/>
      </c>
      <c r="B263" s="14" t="n"/>
      <c r="C263" s="13">
        <f>IF(ISBLANK(D263),"",MID(K263,SEARCH("(",K263)+1,SEARCH(")",K263)-SEARCH("(",K263)-1)&amp;"-"&amp;MID(L263,SEARCH("(",L263)+1,SEARCH(")",L263)-SEARCH("(",L263)-1)&amp;"-"&amp;H263&amp;"-"&amp;TEXT(A263,"000")&amp;IF(ISBLANK(N263),"","-"&amp;SUBSTITUTE(N263," ","")))</f>
        <v/>
      </c>
      <c r="D263" s="9" t="n"/>
      <c r="E263" s="9" t="n"/>
      <c r="F263" s="9" t="n"/>
      <c r="G263" s="9" t="n"/>
      <c r="H263" s="13">
        <f>IF(ISBLANK(F263),"",IF(G263&lt;&gt;"",UPPER(TRIM(G263)),IF(ISNUMBER(SEARCH(" ",TRIM(F263))),UPPER(LEFT(TRIM(RIGHT(SUBSTITUTE(TRIM(F263)," ",REPT(" ",100)),100)),Settings!$B$9)),UPPER(LEFT(TRIM(F263),Settings!$B$9)))))</f>
        <v/>
      </c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15">
        <f>IF(ISBLANK(D263),"",IF(COUNTIFS(Circulation!$B$2:$B$500,A263,Circulation!$H$2:$H$500,"Active")&gt;0,"On Loan","Available"))</f>
        <v/>
      </c>
      <c r="AA263" s="9" t="n"/>
      <c r="AB263" s="9" t="n"/>
      <c r="AC263" s="9" t="n"/>
      <c r="AD263" s="9" t="n"/>
      <c r="AE263" s="9" t="n"/>
      <c r="AF263" s="9" t="n"/>
      <c r="AG263" s="9" t="n"/>
    </row>
    <row r="264">
      <c r="A264" s="13">
        <f>IF(ISBLANK(D264),"",ROW()-1)</f>
        <v/>
      </c>
      <c r="B264" s="14" t="n"/>
      <c r="C264" s="13">
        <f>IF(ISBLANK(D264),"",MID(K264,SEARCH("(",K264)+1,SEARCH(")",K264)-SEARCH("(",K264)-1)&amp;"-"&amp;MID(L264,SEARCH("(",L264)+1,SEARCH(")",L264)-SEARCH("(",L264)-1)&amp;"-"&amp;H264&amp;"-"&amp;TEXT(A264,"000")&amp;IF(ISBLANK(N264),"","-"&amp;SUBSTITUTE(N264," ","")))</f>
        <v/>
      </c>
      <c r="D264" s="9" t="n"/>
      <c r="E264" s="9" t="n"/>
      <c r="F264" s="9" t="n"/>
      <c r="G264" s="9" t="n"/>
      <c r="H264" s="13">
        <f>IF(ISBLANK(F264),"",IF(G264&lt;&gt;"",UPPER(TRIM(G264)),IF(ISNUMBER(SEARCH(" ",TRIM(F264))),UPPER(LEFT(TRIM(RIGHT(SUBSTITUTE(TRIM(F264)," ",REPT(" ",100)),100)),Settings!$B$9)),UPPER(LEFT(TRIM(F264),Settings!$B$9)))))</f>
        <v/>
      </c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15">
        <f>IF(ISBLANK(D264),"",IF(COUNTIFS(Circulation!$B$2:$B$500,A264,Circulation!$H$2:$H$500,"Active")&gt;0,"On Loan","Available"))</f>
        <v/>
      </c>
      <c r="AA264" s="9" t="n"/>
      <c r="AB264" s="9" t="n"/>
      <c r="AC264" s="9" t="n"/>
      <c r="AD264" s="9" t="n"/>
      <c r="AE264" s="9" t="n"/>
      <c r="AF264" s="9" t="n"/>
      <c r="AG264" s="9" t="n"/>
    </row>
    <row r="265">
      <c r="A265" s="13">
        <f>IF(ISBLANK(D265),"",ROW()-1)</f>
        <v/>
      </c>
      <c r="B265" s="14" t="n"/>
      <c r="C265" s="13">
        <f>IF(ISBLANK(D265),"",MID(K265,SEARCH("(",K265)+1,SEARCH(")",K265)-SEARCH("(",K265)-1)&amp;"-"&amp;MID(L265,SEARCH("(",L265)+1,SEARCH(")",L265)-SEARCH("(",L265)-1)&amp;"-"&amp;H265&amp;"-"&amp;TEXT(A265,"000")&amp;IF(ISBLANK(N265),"","-"&amp;SUBSTITUTE(N265," ","")))</f>
        <v/>
      </c>
      <c r="D265" s="9" t="n"/>
      <c r="E265" s="9" t="n"/>
      <c r="F265" s="9" t="n"/>
      <c r="G265" s="9" t="n"/>
      <c r="H265" s="13">
        <f>IF(ISBLANK(F265),"",IF(G265&lt;&gt;"",UPPER(TRIM(G265)),IF(ISNUMBER(SEARCH(" ",TRIM(F265))),UPPER(LEFT(TRIM(RIGHT(SUBSTITUTE(TRIM(F265)," ",REPT(" ",100)),100)),Settings!$B$9)),UPPER(LEFT(TRIM(F265),Settings!$B$9)))))</f>
        <v/>
      </c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15">
        <f>IF(ISBLANK(D265),"",IF(COUNTIFS(Circulation!$B$2:$B$500,A265,Circulation!$H$2:$H$500,"Active")&gt;0,"On Loan","Available"))</f>
        <v/>
      </c>
      <c r="AA265" s="9" t="n"/>
      <c r="AB265" s="9" t="n"/>
      <c r="AC265" s="9" t="n"/>
      <c r="AD265" s="9" t="n"/>
      <c r="AE265" s="9" t="n"/>
      <c r="AF265" s="9" t="n"/>
      <c r="AG265" s="9" t="n"/>
    </row>
    <row r="266">
      <c r="A266" s="13">
        <f>IF(ISBLANK(D266),"",ROW()-1)</f>
        <v/>
      </c>
      <c r="B266" s="14" t="n"/>
      <c r="C266" s="13">
        <f>IF(ISBLANK(D266),"",MID(K266,SEARCH("(",K266)+1,SEARCH(")",K266)-SEARCH("(",K266)-1)&amp;"-"&amp;MID(L266,SEARCH("(",L266)+1,SEARCH(")",L266)-SEARCH("(",L266)-1)&amp;"-"&amp;H266&amp;"-"&amp;TEXT(A266,"000")&amp;IF(ISBLANK(N266),"","-"&amp;SUBSTITUTE(N266," ","")))</f>
        <v/>
      </c>
      <c r="D266" s="9" t="n"/>
      <c r="E266" s="9" t="n"/>
      <c r="F266" s="9" t="n"/>
      <c r="G266" s="9" t="n"/>
      <c r="H266" s="13">
        <f>IF(ISBLANK(F266),"",IF(G266&lt;&gt;"",UPPER(TRIM(G266)),IF(ISNUMBER(SEARCH(" ",TRIM(F266))),UPPER(LEFT(TRIM(RIGHT(SUBSTITUTE(TRIM(F266)," ",REPT(" ",100)),100)),Settings!$B$9)),UPPER(LEFT(TRIM(F266),Settings!$B$9)))))</f>
        <v/>
      </c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15">
        <f>IF(ISBLANK(D266),"",IF(COUNTIFS(Circulation!$B$2:$B$500,A266,Circulation!$H$2:$H$500,"Active")&gt;0,"On Loan","Available"))</f>
        <v/>
      </c>
      <c r="AA266" s="9" t="n"/>
      <c r="AB266" s="9" t="n"/>
      <c r="AC266" s="9" t="n"/>
      <c r="AD266" s="9" t="n"/>
      <c r="AE266" s="9" t="n"/>
      <c r="AF266" s="9" t="n"/>
      <c r="AG266" s="9" t="n"/>
    </row>
    <row r="267">
      <c r="A267" s="13">
        <f>IF(ISBLANK(D267),"",ROW()-1)</f>
        <v/>
      </c>
      <c r="B267" s="14" t="n"/>
      <c r="C267" s="13">
        <f>IF(ISBLANK(D267),"",MID(K267,SEARCH("(",K267)+1,SEARCH(")",K267)-SEARCH("(",K267)-1)&amp;"-"&amp;MID(L267,SEARCH("(",L267)+1,SEARCH(")",L267)-SEARCH("(",L267)-1)&amp;"-"&amp;H267&amp;"-"&amp;TEXT(A267,"000")&amp;IF(ISBLANK(N267),"","-"&amp;SUBSTITUTE(N267," ","")))</f>
        <v/>
      </c>
      <c r="D267" s="9" t="n"/>
      <c r="E267" s="9" t="n"/>
      <c r="F267" s="9" t="n"/>
      <c r="G267" s="9" t="n"/>
      <c r="H267" s="13">
        <f>IF(ISBLANK(F267),"",IF(G267&lt;&gt;"",UPPER(TRIM(G267)),IF(ISNUMBER(SEARCH(" ",TRIM(F267))),UPPER(LEFT(TRIM(RIGHT(SUBSTITUTE(TRIM(F267)," ",REPT(" ",100)),100)),Settings!$B$9)),UPPER(LEFT(TRIM(F267),Settings!$B$9)))))</f>
        <v/>
      </c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15">
        <f>IF(ISBLANK(D267),"",IF(COUNTIFS(Circulation!$B$2:$B$500,A267,Circulation!$H$2:$H$500,"Active")&gt;0,"On Loan","Available"))</f>
        <v/>
      </c>
      <c r="AA267" s="9" t="n"/>
      <c r="AB267" s="9" t="n"/>
      <c r="AC267" s="9" t="n"/>
      <c r="AD267" s="9" t="n"/>
      <c r="AE267" s="9" t="n"/>
      <c r="AF267" s="9" t="n"/>
      <c r="AG267" s="9" t="n"/>
    </row>
    <row r="268">
      <c r="A268" s="13">
        <f>IF(ISBLANK(D268),"",ROW()-1)</f>
        <v/>
      </c>
      <c r="B268" s="14" t="n"/>
      <c r="C268" s="13">
        <f>IF(ISBLANK(D268),"",MID(K268,SEARCH("(",K268)+1,SEARCH(")",K268)-SEARCH("(",K268)-1)&amp;"-"&amp;MID(L268,SEARCH("(",L268)+1,SEARCH(")",L268)-SEARCH("(",L268)-1)&amp;"-"&amp;H268&amp;"-"&amp;TEXT(A268,"000")&amp;IF(ISBLANK(N268),"","-"&amp;SUBSTITUTE(N268," ","")))</f>
        <v/>
      </c>
      <c r="D268" s="9" t="n"/>
      <c r="E268" s="9" t="n"/>
      <c r="F268" s="9" t="n"/>
      <c r="G268" s="9" t="n"/>
      <c r="H268" s="13">
        <f>IF(ISBLANK(F268),"",IF(G268&lt;&gt;"",UPPER(TRIM(G268)),IF(ISNUMBER(SEARCH(" ",TRIM(F268))),UPPER(LEFT(TRIM(RIGHT(SUBSTITUTE(TRIM(F268)," ",REPT(" ",100)),100)),Settings!$B$9)),UPPER(LEFT(TRIM(F268),Settings!$B$9)))))</f>
        <v/>
      </c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15">
        <f>IF(ISBLANK(D268),"",IF(COUNTIFS(Circulation!$B$2:$B$500,A268,Circulation!$H$2:$H$500,"Active")&gt;0,"On Loan","Available"))</f>
        <v/>
      </c>
      <c r="AA268" s="9" t="n"/>
      <c r="AB268" s="9" t="n"/>
      <c r="AC268" s="9" t="n"/>
      <c r="AD268" s="9" t="n"/>
      <c r="AE268" s="9" t="n"/>
      <c r="AF268" s="9" t="n"/>
      <c r="AG268" s="9" t="n"/>
    </row>
    <row r="269">
      <c r="A269" s="13">
        <f>IF(ISBLANK(D269),"",ROW()-1)</f>
        <v/>
      </c>
      <c r="B269" s="14" t="n"/>
      <c r="C269" s="13">
        <f>IF(ISBLANK(D269),"",MID(K269,SEARCH("(",K269)+1,SEARCH(")",K269)-SEARCH("(",K269)-1)&amp;"-"&amp;MID(L269,SEARCH("(",L269)+1,SEARCH(")",L269)-SEARCH("(",L269)-1)&amp;"-"&amp;H269&amp;"-"&amp;TEXT(A269,"000")&amp;IF(ISBLANK(N269),"","-"&amp;SUBSTITUTE(N269," ","")))</f>
        <v/>
      </c>
      <c r="D269" s="9" t="n"/>
      <c r="E269" s="9" t="n"/>
      <c r="F269" s="9" t="n"/>
      <c r="G269" s="9" t="n"/>
      <c r="H269" s="13">
        <f>IF(ISBLANK(F269),"",IF(G269&lt;&gt;"",UPPER(TRIM(G269)),IF(ISNUMBER(SEARCH(" ",TRIM(F269))),UPPER(LEFT(TRIM(RIGHT(SUBSTITUTE(TRIM(F269)," ",REPT(" ",100)),100)),Settings!$B$9)),UPPER(LEFT(TRIM(F269),Settings!$B$9)))))</f>
        <v/>
      </c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15">
        <f>IF(ISBLANK(D269),"",IF(COUNTIFS(Circulation!$B$2:$B$500,A269,Circulation!$H$2:$H$500,"Active")&gt;0,"On Loan","Available"))</f>
        <v/>
      </c>
      <c r="AA269" s="9" t="n"/>
      <c r="AB269" s="9" t="n"/>
      <c r="AC269" s="9" t="n"/>
      <c r="AD269" s="9" t="n"/>
      <c r="AE269" s="9" t="n"/>
      <c r="AF269" s="9" t="n"/>
      <c r="AG269" s="9" t="n"/>
    </row>
    <row r="270">
      <c r="A270" s="13">
        <f>IF(ISBLANK(D270),"",ROW()-1)</f>
        <v/>
      </c>
      <c r="B270" s="14" t="n"/>
      <c r="C270" s="13">
        <f>IF(ISBLANK(D270),"",MID(K270,SEARCH("(",K270)+1,SEARCH(")",K270)-SEARCH("(",K270)-1)&amp;"-"&amp;MID(L270,SEARCH("(",L270)+1,SEARCH(")",L270)-SEARCH("(",L270)-1)&amp;"-"&amp;H270&amp;"-"&amp;TEXT(A270,"000")&amp;IF(ISBLANK(N270),"","-"&amp;SUBSTITUTE(N270," ","")))</f>
        <v/>
      </c>
      <c r="D270" s="9" t="n"/>
      <c r="E270" s="9" t="n"/>
      <c r="F270" s="9" t="n"/>
      <c r="G270" s="9" t="n"/>
      <c r="H270" s="13">
        <f>IF(ISBLANK(F270),"",IF(G270&lt;&gt;"",UPPER(TRIM(G270)),IF(ISNUMBER(SEARCH(" ",TRIM(F270))),UPPER(LEFT(TRIM(RIGHT(SUBSTITUTE(TRIM(F270)," ",REPT(" ",100)),100)),Settings!$B$9)),UPPER(LEFT(TRIM(F270),Settings!$B$9)))))</f>
        <v/>
      </c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15">
        <f>IF(ISBLANK(D270),"",IF(COUNTIFS(Circulation!$B$2:$B$500,A270,Circulation!$H$2:$H$500,"Active")&gt;0,"On Loan","Available"))</f>
        <v/>
      </c>
      <c r="AA270" s="9" t="n"/>
      <c r="AB270" s="9" t="n"/>
      <c r="AC270" s="9" t="n"/>
      <c r="AD270" s="9" t="n"/>
      <c r="AE270" s="9" t="n"/>
      <c r="AF270" s="9" t="n"/>
      <c r="AG270" s="9" t="n"/>
    </row>
    <row r="271">
      <c r="A271" s="13">
        <f>IF(ISBLANK(D271),"",ROW()-1)</f>
        <v/>
      </c>
      <c r="B271" s="14" t="n"/>
      <c r="C271" s="13">
        <f>IF(ISBLANK(D271),"",MID(K271,SEARCH("(",K271)+1,SEARCH(")",K271)-SEARCH("(",K271)-1)&amp;"-"&amp;MID(L271,SEARCH("(",L271)+1,SEARCH(")",L271)-SEARCH("(",L271)-1)&amp;"-"&amp;H271&amp;"-"&amp;TEXT(A271,"000")&amp;IF(ISBLANK(N271),"","-"&amp;SUBSTITUTE(N271," ","")))</f>
        <v/>
      </c>
      <c r="D271" s="9" t="n"/>
      <c r="E271" s="9" t="n"/>
      <c r="F271" s="9" t="n"/>
      <c r="G271" s="9" t="n"/>
      <c r="H271" s="13">
        <f>IF(ISBLANK(F271),"",IF(G271&lt;&gt;"",UPPER(TRIM(G271)),IF(ISNUMBER(SEARCH(" ",TRIM(F271))),UPPER(LEFT(TRIM(RIGHT(SUBSTITUTE(TRIM(F271)," ",REPT(" ",100)),100)),Settings!$B$9)),UPPER(LEFT(TRIM(F271),Settings!$B$9)))))</f>
        <v/>
      </c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15">
        <f>IF(ISBLANK(D271),"",IF(COUNTIFS(Circulation!$B$2:$B$500,A271,Circulation!$H$2:$H$500,"Active")&gt;0,"On Loan","Available"))</f>
        <v/>
      </c>
      <c r="AA271" s="9" t="n"/>
      <c r="AB271" s="9" t="n"/>
      <c r="AC271" s="9" t="n"/>
      <c r="AD271" s="9" t="n"/>
      <c r="AE271" s="9" t="n"/>
      <c r="AF271" s="9" t="n"/>
      <c r="AG271" s="9" t="n"/>
    </row>
    <row r="272">
      <c r="A272" s="13">
        <f>IF(ISBLANK(D272),"",ROW()-1)</f>
        <v/>
      </c>
      <c r="B272" s="14" t="n"/>
      <c r="C272" s="13">
        <f>IF(ISBLANK(D272),"",MID(K272,SEARCH("(",K272)+1,SEARCH(")",K272)-SEARCH("(",K272)-1)&amp;"-"&amp;MID(L272,SEARCH("(",L272)+1,SEARCH(")",L272)-SEARCH("(",L272)-1)&amp;"-"&amp;H272&amp;"-"&amp;TEXT(A272,"000")&amp;IF(ISBLANK(N272),"","-"&amp;SUBSTITUTE(N272," ","")))</f>
        <v/>
      </c>
      <c r="D272" s="9" t="n"/>
      <c r="E272" s="9" t="n"/>
      <c r="F272" s="9" t="n"/>
      <c r="G272" s="9" t="n"/>
      <c r="H272" s="13">
        <f>IF(ISBLANK(F272),"",IF(G272&lt;&gt;"",UPPER(TRIM(G272)),IF(ISNUMBER(SEARCH(" ",TRIM(F272))),UPPER(LEFT(TRIM(RIGHT(SUBSTITUTE(TRIM(F272)," ",REPT(" ",100)),100)),Settings!$B$9)),UPPER(LEFT(TRIM(F272),Settings!$B$9)))))</f>
        <v/>
      </c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15">
        <f>IF(ISBLANK(D272),"",IF(COUNTIFS(Circulation!$B$2:$B$500,A272,Circulation!$H$2:$H$500,"Active")&gt;0,"On Loan","Available"))</f>
        <v/>
      </c>
      <c r="AA272" s="9" t="n"/>
      <c r="AB272" s="9" t="n"/>
      <c r="AC272" s="9" t="n"/>
      <c r="AD272" s="9" t="n"/>
      <c r="AE272" s="9" t="n"/>
      <c r="AF272" s="9" t="n"/>
      <c r="AG272" s="9" t="n"/>
    </row>
    <row r="273">
      <c r="A273" s="13">
        <f>IF(ISBLANK(D273),"",ROW()-1)</f>
        <v/>
      </c>
      <c r="B273" s="14" t="n"/>
      <c r="C273" s="13">
        <f>IF(ISBLANK(D273),"",MID(K273,SEARCH("(",K273)+1,SEARCH(")",K273)-SEARCH("(",K273)-1)&amp;"-"&amp;MID(L273,SEARCH("(",L273)+1,SEARCH(")",L273)-SEARCH("(",L273)-1)&amp;"-"&amp;H273&amp;"-"&amp;TEXT(A273,"000")&amp;IF(ISBLANK(N273),"","-"&amp;SUBSTITUTE(N273," ","")))</f>
        <v/>
      </c>
      <c r="D273" s="9" t="n"/>
      <c r="E273" s="9" t="n"/>
      <c r="F273" s="9" t="n"/>
      <c r="G273" s="9" t="n"/>
      <c r="H273" s="13">
        <f>IF(ISBLANK(F273),"",IF(G273&lt;&gt;"",UPPER(TRIM(G273)),IF(ISNUMBER(SEARCH(" ",TRIM(F273))),UPPER(LEFT(TRIM(RIGHT(SUBSTITUTE(TRIM(F273)," ",REPT(" ",100)),100)),Settings!$B$9)),UPPER(LEFT(TRIM(F273),Settings!$B$9)))))</f>
        <v/>
      </c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15">
        <f>IF(ISBLANK(D273),"",IF(COUNTIFS(Circulation!$B$2:$B$500,A273,Circulation!$H$2:$H$500,"Active")&gt;0,"On Loan","Available"))</f>
        <v/>
      </c>
      <c r="AA273" s="9" t="n"/>
      <c r="AB273" s="9" t="n"/>
      <c r="AC273" s="9" t="n"/>
      <c r="AD273" s="9" t="n"/>
      <c r="AE273" s="9" t="n"/>
      <c r="AF273" s="9" t="n"/>
      <c r="AG273" s="9" t="n"/>
    </row>
    <row r="274">
      <c r="A274" s="13">
        <f>IF(ISBLANK(D274),"",ROW()-1)</f>
        <v/>
      </c>
      <c r="B274" s="14" t="n"/>
      <c r="C274" s="13">
        <f>IF(ISBLANK(D274),"",MID(K274,SEARCH("(",K274)+1,SEARCH(")",K274)-SEARCH("(",K274)-1)&amp;"-"&amp;MID(L274,SEARCH("(",L274)+1,SEARCH(")",L274)-SEARCH("(",L274)-1)&amp;"-"&amp;H274&amp;"-"&amp;TEXT(A274,"000")&amp;IF(ISBLANK(N274),"","-"&amp;SUBSTITUTE(N274," ","")))</f>
        <v/>
      </c>
      <c r="D274" s="9" t="n"/>
      <c r="E274" s="9" t="n"/>
      <c r="F274" s="9" t="n"/>
      <c r="G274" s="9" t="n"/>
      <c r="H274" s="13">
        <f>IF(ISBLANK(F274),"",IF(G274&lt;&gt;"",UPPER(TRIM(G274)),IF(ISNUMBER(SEARCH(" ",TRIM(F274))),UPPER(LEFT(TRIM(RIGHT(SUBSTITUTE(TRIM(F274)," ",REPT(" ",100)),100)),Settings!$B$9)),UPPER(LEFT(TRIM(F274),Settings!$B$9)))))</f>
        <v/>
      </c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15">
        <f>IF(ISBLANK(D274),"",IF(COUNTIFS(Circulation!$B$2:$B$500,A274,Circulation!$H$2:$H$500,"Active")&gt;0,"On Loan","Available"))</f>
        <v/>
      </c>
      <c r="AA274" s="9" t="n"/>
      <c r="AB274" s="9" t="n"/>
      <c r="AC274" s="9" t="n"/>
      <c r="AD274" s="9" t="n"/>
      <c r="AE274" s="9" t="n"/>
      <c r="AF274" s="9" t="n"/>
      <c r="AG274" s="9" t="n"/>
    </row>
    <row r="275">
      <c r="A275" s="13">
        <f>IF(ISBLANK(D275),"",ROW()-1)</f>
        <v/>
      </c>
      <c r="B275" s="14" t="n"/>
      <c r="C275" s="13">
        <f>IF(ISBLANK(D275),"",MID(K275,SEARCH("(",K275)+1,SEARCH(")",K275)-SEARCH("(",K275)-1)&amp;"-"&amp;MID(L275,SEARCH("(",L275)+1,SEARCH(")",L275)-SEARCH("(",L275)-1)&amp;"-"&amp;H275&amp;"-"&amp;TEXT(A275,"000")&amp;IF(ISBLANK(N275),"","-"&amp;SUBSTITUTE(N275," ","")))</f>
        <v/>
      </c>
      <c r="D275" s="9" t="n"/>
      <c r="E275" s="9" t="n"/>
      <c r="F275" s="9" t="n"/>
      <c r="G275" s="9" t="n"/>
      <c r="H275" s="13">
        <f>IF(ISBLANK(F275),"",IF(G275&lt;&gt;"",UPPER(TRIM(G275)),IF(ISNUMBER(SEARCH(" ",TRIM(F275))),UPPER(LEFT(TRIM(RIGHT(SUBSTITUTE(TRIM(F275)," ",REPT(" ",100)),100)),Settings!$B$9)),UPPER(LEFT(TRIM(F275),Settings!$B$9)))))</f>
        <v/>
      </c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15">
        <f>IF(ISBLANK(D275),"",IF(COUNTIFS(Circulation!$B$2:$B$500,A275,Circulation!$H$2:$H$500,"Active")&gt;0,"On Loan","Available"))</f>
        <v/>
      </c>
      <c r="AA275" s="9" t="n"/>
      <c r="AB275" s="9" t="n"/>
      <c r="AC275" s="9" t="n"/>
      <c r="AD275" s="9" t="n"/>
      <c r="AE275" s="9" t="n"/>
      <c r="AF275" s="9" t="n"/>
      <c r="AG275" s="9" t="n"/>
    </row>
    <row r="276">
      <c r="A276" s="13">
        <f>IF(ISBLANK(D276),"",ROW()-1)</f>
        <v/>
      </c>
      <c r="B276" s="14" t="n"/>
      <c r="C276" s="13">
        <f>IF(ISBLANK(D276),"",MID(K276,SEARCH("(",K276)+1,SEARCH(")",K276)-SEARCH("(",K276)-1)&amp;"-"&amp;MID(L276,SEARCH("(",L276)+1,SEARCH(")",L276)-SEARCH("(",L276)-1)&amp;"-"&amp;H276&amp;"-"&amp;TEXT(A276,"000")&amp;IF(ISBLANK(N276),"","-"&amp;SUBSTITUTE(N276," ","")))</f>
        <v/>
      </c>
      <c r="D276" s="9" t="n"/>
      <c r="E276" s="9" t="n"/>
      <c r="F276" s="9" t="n"/>
      <c r="G276" s="9" t="n"/>
      <c r="H276" s="13">
        <f>IF(ISBLANK(F276),"",IF(G276&lt;&gt;"",UPPER(TRIM(G276)),IF(ISNUMBER(SEARCH(" ",TRIM(F276))),UPPER(LEFT(TRIM(RIGHT(SUBSTITUTE(TRIM(F276)," ",REPT(" ",100)),100)),Settings!$B$9)),UPPER(LEFT(TRIM(F276),Settings!$B$9)))))</f>
        <v/>
      </c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15">
        <f>IF(ISBLANK(D276),"",IF(COUNTIFS(Circulation!$B$2:$B$500,A276,Circulation!$H$2:$H$500,"Active")&gt;0,"On Loan","Available"))</f>
        <v/>
      </c>
      <c r="AA276" s="9" t="n"/>
      <c r="AB276" s="9" t="n"/>
      <c r="AC276" s="9" t="n"/>
      <c r="AD276" s="9" t="n"/>
      <c r="AE276" s="9" t="n"/>
      <c r="AF276" s="9" t="n"/>
      <c r="AG276" s="9" t="n"/>
    </row>
    <row r="277">
      <c r="A277" s="13">
        <f>IF(ISBLANK(D277),"",ROW()-1)</f>
        <v/>
      </c>
      <c r="B277" s="14" t="n"/>
      <c r="C277" s="13">
        <f>IF(ISBLANK(D277),"",MID(K277,SEARCH("(",K277)+1,SEARCH(")",K277)-SEARCH("(",K277)-1)&amp;"-"&amp;MID(L277,SEARCH("(",L277)+1,SEARCH(")",L277)-SEARCH("(",L277)-1)&amp;"-"&amp;H277&amp;"-"&amp;TEXT(A277,"000")&amp;IF(ISBLANK(N277),"","-"&amp;SUBSTITUTE(N277," ","")))</f>
        <v/>
      </c>
      <c r="D277" s="9" t="n"/>
      <c r="E277" s="9" t="n"/>
      <c r="F277" s="9" t="n"/>
      <c r="G277" s="9" t="n"/>
      <c r="H277" s="13">
        <f>IF(ISBLANK(F277),"",IF(G277&lt;&gt;"",UPPER(TRIM(G277)),IF(ISNUMBER(SEARCH(" ",TRIM(F277))),UPPER(LEFT(TRIM(RIGHT(SUBSTITUTE(TRIM(F277)," ",REPT(" ",100)),100)),Settings!$B$9)),UPPER(LEFT(TRIM(F277),Settings!$B$9)))))</f>
        <v/>
      </c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15">
        <f>IF(ISBLANK(D277),"",IF(COUNTIFS(Circulation!$B$2:$B$500,A277,Circulation!$H$2:$H$500,"Active")&gt;0,"On Loan","Available"))</f>
        <v/>
      </c>
      <c r="AA277" s="9" t="n"/>
      <c r="AB277" s="9" t="n"/>
      <c r="AC277" s="9" t="n"/>
      <c r="AD277" s="9" t="n"/>
      <c r="AE277" s="9" t="n"/>
      <c r="AF277" s="9" t="n"/>
      <c r="AG277" s="9" t="n"/>
    </row>
    <row r="278">
      <c r="A278" s="13">
        <f>IF(ISBLANK(D278),"",ROW()-1)</f>
        <v/>
      </c>
      <c r="B278" s="14" t="n"/>
      <c r="C278" s="13">
        <f>IF(ISBLANK(D278),"",MID(K278,SEARCH("(",K278)+1,SEARCH(")",K278)-SEARCH("(",K278)-1)&amp;"-"&amp;MID(L278,SEARCH("(",L278)+1,SEARCH(")",L278)-SEARCH("(",L278)-1)&amp;"-"&amp;H278&amp;"-"&amp;TEXT(A278,"000")&amp;IF(ISBLANK(N278),"","-"&amp;SUBSTITUTE(N278," ","")))</f>
        <v/>
      </c>
      <c r="D278" s="9" t="n"/>
      <c r="E278" s="9" t="n"/>
      <c r="F278" s="9" t="n"/>
      <c r="G278" s="9" t="n"/>
      <c r="H278" s="13">
        <f>IF(ISBLANK(F278),"",IF(G278&lt;&gt;"",UPPER(TRIM(G278)),IF(ISNUMBER(SEARCH(" ",TRIM(F278))),UPPER(LEFT(TRIM(RIGHT(SUBSTITUTE(TRIM(F278)," ",REPT(" ",100)),100)),Settings!$B$9)),UPPER(LEFT(TRIM(F278),Settings!$B$9)))))</f>
        <v/>
      </c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15">
        <f>IF(ISBLANK(D278),"",IF(COUNTIFS(Circulation!$B$2:$B$500,A278,Circulation!$H$2:$H$500,"Active")&gt;0,"On Loan","Available"))</f>
        <v/>
      </c>
      <c r="AA278" s="9" t="n"/>
      <c r="AB278" s="9" t="n"/>
      <c r="AC278" s="9" t="n"/>
      <c r="AD278" s="9" t="n"/>
      <c r="AE278" s="9" t="n"/>
      <c r="AF278" s="9" t="n"/>
      <c r="AG278" s="9" t="n"/>
    </row>
    <row r="279">
      <c r="A279" s="13">
        <f>IF(ISBLANK(D279),"",ROW()-1)</f>
        <v/>
      </c>
      <c r="B279" s="14" t="n"/>
      <c r="C279" s="13">
        <f>IF(ISBLANK(D279),"",MID(K279,SEARCH("(",K279)+1,SEARCH(")",K279)-SEARCH("(",K279)-1)&amp;"-"&amp;MID(L279,SEARCH("(",L279)+1,SEARCH(")",L279)-SEARCH("(",L279)-1)&amp;"-"&amp;H279&amp;"-"&amp;TEXT(A279,"000")&amp;IF(ISBLANK(N279),"","-"&amp;SUBSTITUTE(N279," ","")))</f>
        <v/>
      </c>
      <c r="D279" s="9" t="n"/>
      <c r="E279" s="9" t="n"/>
      <c r="F279" s="9" t="n"/>
      <c r="G279" s="9" t="n"/>
      <c r="H279" s="13">
        <f>IF(ISBLANK(F279),"",IF(G279&lt;&gt;"",UPPER(TRIM(G279)),IF(ISNUMBER(SEARCH(" ",TRIM(F279))),UPPER(LEFT(TRIM(RIGHT(SUBSTITUTE(TRIM(F279)," ",REPT(" ",100)),100)),Settings!$B$9)),UPPER(LEFT(TRIM(F279),Settings!$B$9)))))</f>
        <v/>
      </c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15">
        <f>IF(ISBLANK(D279),"",IF(COUNTIFS(Circulation!$B$2:$B$500,A279,Circulation!$H$2:$H$500,"Active")&gt;0,"On Loan","Available"))</f>
        <v/>
      </c>
      <c r="AA279" s="9" t="n"/>
      <c r="AB279" s="9" t="n"/>
      <c r="AC279" s="9" t="n"/>
      <c r="AD279" s="9" t="n"/>
      <c r="AE279" s="9" t="n"/>
      <c r="AF279" s="9" t="n"/>
      <c r="AG279" s="9" t="n"/>
    </row>
    <row r="280">
      <c r="A280" s="13">
        <f>IF(ISBLANK(D280),"",ROW()-1)</f>
        <v/>
      </c>
      <c r="B280" s="14" t="n"/>
      <c r="C280" s="13">
        <f>IF(ISBLANK(D280),"",MID(K280,SEARCH("(",K280)+1,SEARCH(")",K280)-SEARCH("(",K280)-1)&amp;"-"&amp;MID(L280,SEARCH("(",L280)+1,SEARCH(")",L280)-SEARCH("(",L280)-1)&amp;"-"&amp;H280&amp;"-"&amp;TEXT(A280,"000")&amp;IF(ISBLANK(N280),"","-"&amp;SUBSTITUTE(N280," ","")))</f>
        <v/>
      </c>
      <c r="D280" s="9" t="n"/>
      <c r="E280" s="9" t="n"/>
      <c r="F280" s="9" t="n"/>
      <c r="G280" s="9" t="n"/>
      <c r="H280" s="13">
        <f>IF(ISBLANK(F280),"",IF(G280&lt;&gt;"",UPPER(TRIM(G280)),IF(ISNUMBER(SEARCH(" ",TRIM(F280))),UPPER(LEFT(TRIM(RIGHT(SUBSTITUTE(TRIM(F280)," ",REPT(" ",100)),100)),Settings!$B$9)),UPPER(LEFT(TRIM(F280),Settings!$B$9)))))</f>
        <v/>
      </c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15">
        <f>IF(ISBLANK(D280),"",IF(COUNTIFS(Circulation!$B$2:$B$500,A280,Circulation!$H$2:$H$500,"Active")&gt;0,"On Loan","Available"))</f>
        <v/>
      </c>
      <c r="AA280" s="9" t="n"/>
      <c r="AB280" s="9" t="n"/>
      <c r="AC280" s="9" t="n"/>
      <c r="AD280" s="9" t="n"/>
      <c r="AE280" s="9" t="n"/>
      <c r="AF280" s="9" t="n"/>
      <c r="AG280" s="9" t="n"/>
    </row>
    <row r="281">
      <c r="A281" s="13">
        <f>IF(ISBLANK(D281),"",ROW()-1)</f>
        <v/>
      </c>
      <c r="B281" s="14" t="n"/>
      <c r="C281" s="13">
        <f>IF(ISBLANK(D281),"",MID(K281,SEARCH("(",K281)+1,SEARCH(")",K281)-SEARCH("(",K281)-1)&amp;"-"&amp;MID(L281,SEARCH("(",L281)+1,SEARCH(")",L281)-SEARCH("(",L281)-1)&amp;"-"&amp;H281&amp;"-"&amp;TEXT(A281,"000")&amp;IF(ISBLANK(N281),"","-"&amp;SUBSTITUTE(N281," ","")))</f>
        <v/>
      </c>
      <c r="D281" s="9" t="n"/>
      <c r="E281" s="9" t="n"/>
      <c r="F281" s="9" t="n"/>
      <c r="G281" s="9" t="n"/>
      <c r="H281" s="13">
        <f>IF(ISBLANK(F281),"",IF(G281&lt;&gt;"",UPPER(TRIM(G281)),IF(ISNUMBER(SEARCH(" ",TRIM(F281))),UPPER(LEFT(TRIM(RIGHT(SUBSTITUTE(TRIM(F281)," ",REPT(" ",100)),100)),Settings!$B$9)),UPPER(LEFT(TRIM(F281),Settings!$B$9)))))</f>
        <v/>
      </c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15">
        <f>IF(ISBLANK(D281),"",IF(COUNTIFS(Circulation!$B$2:$B$500,A281,Circulation!$H$2:$H$500,"Active")&gt;0,"On Loan","Available"))</f>
        <v/>
      </c>
      <c r="AA281" s="9" t="n"/>
      <c r="AB281" s="9" t="n"/>
      <c r="AC281" s="9" t="n"/>
      <c r="AD281" s="9" t="n"/>
      <c r="AE281" s="9" t="n"/>
      <c r="AF281" s="9" t="n"/>
      <c r="AG281" s="9" t="n"/>
    </row>
    <row r="282">
      <c r="A282" s="13">
        <f>IF(ISBLANK(D282),"",ROW()-1)</f>
        <v/>
      </c>
      <c r="B282" s="14" t="n"/>
      <c r="C282" s="13">
        <f>IF(ISBLANK(D282),"",MID(K282,SEARCH("(",K282)+1,SEARCH(")",K282)-SEARCH("(",K282)-1)&amp;"-"&amp;MID(L282,SEARCH("(",L282)+1,SEARCH(")",L282)-SEARCH("(",L282)-1)&amp;"-"&amp;H282&amp;"-"&amp;TEXT(A282,"000")&amp;IF(ISBLANK(N282),"","-"&amp;SUBSTITUTE(N282," ","")))</f>
        <v/>
      </c>
      <c r="D282" s="9" t="n"/>
      <c r="E282" s="9" t="n"/>
      <c r="F282" s="9" t="n"/>
      <c r="G282" s="9" t="n"/>
      <c r="H282" s="13">
        <f>IF(ISBLANK(F282),"",IF(G282&lt;&gt;"",UPPER(TRIM(G282)),IF(ISNUMBER(SEARCH(" ",TRIM(F282))),UPPER(LEFT(TRIM(RIGHT(SUBSTITUTE(TRIM(F282)," ",REPT(" ",100)),100)),Settings!$B$9)),UPPER(LEFT(TRIM(F282),Settings!$B$9)))))</f>
        <v/>
      </c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15">
        <f>IF(ISBLANK(D282),"",IF(COUNTIFS(Circulation!$B$2:$B$500,A282,Circulation!$H$2:$H$500,"Active")&gt;0,"On Loan","Available"))</f>
        <v/>
      </c>
      <c r="AA282" s="9" t="n"/>
      <c r="AB282" s="9" t="n"/>
      <c r="AC282" s="9" t="n"/>
      <c r="AD282" s="9" t="n"/>
      <c r="AE282" s="9" t="n"/>
      <c r="AF282" s="9" t="n"/>
      <c r="AG282" s="9" t="n"/>
    </row>
    <row r="283">
      <c r="A283" s="13">
        <f>IF(ISBLANK(D283),"",ROW()-1)</f>
        <v/>
      </c>
      <c r="B283" s="14" t="n"/>
      <c r="C283" s="13">
        <f>IF(ISBLANK(D283),"",MID(K283,SEARCH("(",K283)+1,SEARCH(")",K283)-SEARCH("(",K283)-1)&amp;"-"&amp;MID(L283,SEARCH("(",L283)+1,SEARCH(")",L283)-SEARCH("(",L283)-1)&amp;"-"&amp;H283&amp;"-"&amp;TEXT(A283,"000")&amp;IF(ISBLANK(N283),"","-"&amp;SUBSTITUTE(N283," ","")))</f>
        <v/>
      </c>
      <c r="D283" s="9" t="n"/>
      <c r="E283" s="9" t="n"/>
      <c r="F283" s="9" t="n"/>
      <c r="G283" s="9" t="n"/>
      <c r="H283" s="13">
        <f>IF(ISBLANK(F283),"",IF(G283&lt;&gt;"",UPPER(TRIM(G283)),IF(ISNUMBER(SEARCH(" ",TRIM(F283))),UPPER(LEFT(TRIM(RIGHT(SUBSTITUTE(TRIM(F283)," ",REPT(" ",100)),100)),Settings!$B$9)),UPPER(LEFT(TRIM(F283),Settings!$B$9)))))</f>
        <v/>
      </c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15">
        <f>IF(ISBLANK(D283),"",IF(COUNTIFS(Circulation!$B$2:$B$500,A283,Circulation!$H$2:$H$500,"Active")&gt;0,"On Loan","Available"))</f>
        <v/>
      </c>
      <c r="AA283" s="9" t="n"/>
      <c r="AB283" s="9" t="n"/>
      <c r="AC283" s="9" t="n"/>
      <c r="AD283" s="9" t="n"/>
      <c r="AE283" s="9" t="n"/>
      <c r="AF283" s="9" t="n"/>
      <c r="AG283" s="9" t="n"/>
    </row>
    <row r="284">
      <c r="A284" s="13">
        <f>IF(ISBLANK(D284),"",ROW()-1)</f>
        <v/>
      </c>
      <c r="B284" s="14" t="n"/>
      <c r="C284" s="13">
        <f>IF(ISBLANK(D284),"",MID(K284,SEARCH("(",K284)+1,SEARCH(")",K284)-SEARCH("(",K284)-1)&amp;"-"&amp;MID(L284,SEARCH("(",L284)+1,SEARCH(")",L284)-SEARCH("(",L284)-1)&amp;"-"&amp;H284&amp;"-"&amp;TEXT(A284,"000")&amp;IF(ISBLANK(N284),"","-"&amp;SUBSTITUTE(N284," ","")))</f>
        <v/>
      </c>
      <c r="D284" s="9" t="n"/>
      <c r="E284" s="9" t="n"/>
      <c r="F284" s="9" t="n"/>
      <c r="G284" s="9" t="n"/>
      <c r="H284" s="13">
        <f>IF(ISBLANK(F284),"",IF(G284&lt;&gt;"",UPPER(TRIM(G284)),IF(ISNUMBER(SEARCH(" ",TRIM(F284))),UPPER(LEFT(TRIM(RIGHT(SUBSTITUTE(TRIM(F284)," ",REPT(" ",100)),100)),Settings!$B$9)),UPPER(LEFT(TRIM(F284),Settings!$B$9)))))</f>
        <v/>
      </c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15">
        <f>IF(ISBLANK(D284),"",IF(COUNTIFS(Circulation!$B$2:$B$500,A284,Circulation!$H$2:$H$500,"Active")&gt;0,"On Loan","Available"))</f>
        <v/>
      </c>
      <c r="AA284" s="9" t="n"/>
      <c r="AB284" s="9" t="n"/>
      <c r="AC284" s="9" t="n"/>
      <c r="AD284" s="9" t="n"/>
      <c r="AE284" s="9" t="n"/>
      <c r="AF284" s="9" t="n"/>
      <c r="AG284" s="9" t="n"/>
    </row>
    <row r="285">
      <c r="A285" s="13">
        <f>IF(ISBLANK(D285),"",ROW()-1)</f>
        <v/>
      </c>
      <c r="B285" s="14" t="n"/>
      <c r="C285" s="13">
        <f>IF(ISBLANK(D285),"",MID(K285,SEARCH("(",K285)+1,SEARCH(")",K285)-SEARCH("(",K285)-1)&amp;"-"&amp;MID(L285,SEARCH("(",L285)+1,SEARCH(")",L285)-SEARCH("(",L285)-1)&amp;"-"&amp;H285&amp;"-"&amp;TEXT(A285,"000")&amp;IF(ISBLANK(N285),"","-"&amp;SUBSTITUTE(N285," ","")))</f>
        <v/>
      </c>
      <c r="D285" s="9" t="n"/>
      <c r="E285" s="9" t="n"/>
      <c r="F285" s="9" t="n"/>
      <c r="G285" s="9" t="n"/>
      <c r="H285" s="13">
        <f>IF(ISBLANK(F285),"",IF(G285&lt;&gt;"",UPPER(TRIM(G285)),IF(ISNUMBER(SEARCH(" ",TRIM(F285))),UPPER(LEFT(TRIM(RIGHT(SUBSTITUTE(TRIM(F285)," ",REPT(" ",100)),100)),Settings!$B$9)),UPPER(LEFT(TRIM(F285),Settings!$B$9)))))</f>
        <v/>
      </c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15">
        <f>IF(ISBLANK(D285),"",IF(COUNTIFS(Circulation!$B$2:$B$500,A285,Circulation!$H$2:$H$500,"Active")&gt;0,"On Loan","Available"))</f>
        <v/>
      </c>
      <c r="AA285" s="9" t="n"/>
      <c r="AB285" s="9" t="n"/>
      <c r="AC285" s="9" t="n"/>
      <c r="AD285" s="9" t="n"/>
      <c r="AE285" s="9" t="n"/>
      <c r="AF285" s="9" t="n"/>
      <c r="AG285" s="9" t="n"/>
    </row>
    <row r="286">
      <c r="A286" s="13">
        <f>IF(ISBLANK(D286),"",ROW()-1)</f>
        <v/>
      </c>
      <c r="B286" s="14" t="n"/>
      <c r="C286" s="13">
        <f>IF(ISBLANK(D286),"",MID(K286,SEARCH("(",K286)+1,SEARCH(")",K286)-SEARCH("(",K286)-1)&amp;"-"&amp;MID(L286,SEARCH("(",L286)+1,SEARCH(")",L286)-SEARCH("(",L286)-1)&amp;"-"&amp;H286&amp;"-"&amp;TEXT(A286,"000")&amp;IF(ISBLANK(N286),"","-"&amp;SUBSTITUTE(N286," ","")))</f>
        <v/>
      </c>
      <c r="D286" s="9" t="n"/>
      <c r="E286" s="9" t="n"/>
      <c r="F286" s="9" t="n"/>
      <c r="G286" s="9" t="n"/>
      <c r="H286" s="13">
        <f>IF(ISBLANK(F286),"",IF(G286&lt;&gt;"",UPPER(TRIM(G286)),IF(ISNUMBER(SEARCH(" ",TRIM(F286))),UPPER(LEFT(TRIM(RIGHT(SUBSTITUTE(TRIM(F286)," ",REPT(" ",100)),100)),Settings!$B$9)),UPPER(LEFT(TRIM(F286),Settings!$B$9)))))</f>
        <v/>
      </c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15">
        <f>IF(ISBLANK(D286),"",IF(COUNTIFS(Circulation!$B$2:$B$500,A286,Circulation!$H$2:$H$500,"Active")&gt;0,"On Loan","Available"))</f>
        <v/>
      </c>
      <c r="AA286" s="9" t="n"/>
      <c r="AB286" s="9" t="n"/>
      <c r="AC286" s="9" t="n"/>
      <c r="AD286" s="9" t="n"/>
      <c r="AE286" s="9" t="n"/>
      <c r="AF286" s="9" t="n"/>
      <c r="AG286" s="9" t="n"/>
    </row>
    <row r="287">
      <c r="A287" s="13">
        <f>IF(ISBLANK(D287),"",ROW()-1)</f>
        <v/>
      </c>
      <c r="B287" s="14" t="n"/>
      <c r="C287" s="13">
        <f>IF(ISBLANK(D287),"",MID(K287,SEARCH("(",K287)+1,SEARCH(")",K287)-SEARCH("(",K287)-1)&amp;"-"&amp;MID(L287,SEARCH("(",L287)+1,SEARCH(")",L287)-SEARCH("(",L287)-1)&amp;"-"&amp;H287&amp;"-"&amp;TEXT(A287,"000")&amp;IF(ISBLANK(N287),"","-"&amp;SUBSTITUTE(N287," ","")))</f>
        <v/>
      </c>
      <c r="D287" s="9" t="n"/>
      <c r="E287" s="9" t="n"/>
      <c r="F287" s="9" t="n"/>
      <c r="G287" s="9" t="n"/>
      <c r="H287" s="13">
        <f>IF(ISBLANK(F287),"",IF(G287&lt;&gt;"",UPPER(TRIM(G287)),IF(ISNUMBER(SEARCH(" ",TRIM(F287))),UPPER(LEFT(TRIM(RIGHT(SUBSTITUTE(TRIM(F287)," ",REPT(" ",100)),100)),Settings!$B$9)),UPPER(LEFT(TRIM(F287),Settings!$B$9)))))</f>
        <v/>
      </c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15">
        <f>IF(ISBLANK(D287),"",IF(COUNTIFS(Circulation!$B$2:$B$500,A287,Circulation!$H$2:$H$500,"Active")&gt;0,"On Loan","Available"))</f>
        <v/>
      </c>
      <c r="AA287" s="9" t="n"/>
      <c r="AB287" s="9" t="n"/>
      <c r="AC287" s="9" t="n"/>
      <c r="AD287" s="9" t="n"/>
      <c r="AE287" s="9" t="n"/>
      <c r="AF287" s="9" t="n"/>
      <c r="AG287" s="9" t="n"/>
    </row>
    <row r="288">
      <c r="A288" s="13">
        <f>IF(ISBLANK(D288),"",ROW()-1)</f>
        <v/>
      </c>
      <c r="B288" s="14" t="n"/>
      <c r="C288" s="13">
        <f>IF(ISBLANK(D288),"",MID(K288,SEARCH("(",K288)+1,SEARCH(")",K288)-SEARCH("(",K288)-1)&amp;"-"&amp;MID(L288,SEARCH("(",L288)+1,SEARCH(")",L288)-SEARCH("(",L288)-1)&amp;"-"&amp;H288&amp;"-"&amp;TEXT(A288,"000")&amp;IF(ISBLANK(N288),"","-"&amp;SUBSTITUTE(N288," ","")))</f>
        <v/>
      </c>
      <c r="D288" s="9" t="n"/>
      <c r="E288" s="9" t="n"/>
      <c r="F288" s="9" t="n"/>
      <c r="G288" s="9" t="n"/>
      <c r="H288" s="13">
        <f>IF(ISBLANK(F288),"",IF(G288&lt;&gt;"",UPPER(TRIM(G288)),IF(ISNUMBER(SEARCH(" ",TRIM(F288))),UPPER(LEFT(TRIM(RIGHT(SUBSTITUTE(TRIM(F288)," ",REPT(" ",100)),100)),Settings!$B$9)),UPPER(LEFT(TRIM(F288),Settings!$B$9)))))</f>
        <v/>
      </c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15">
        <f>IF(ISBLANK(D288),"",IF(COUNTIFS(Circulation!$B$2:$B$500,A288,Circulation!$H$2:$H$500,"Active")&gt;0,"On Loan","Available"))</f>
        <v/>
      </c>
      <c r="AA288" s="9" t="n"/>
      <c r="AB288" s="9" t="n"/>
      <c r="AC288" s="9" t="n"/>
      <c r="AD288" s="9" t="n"/>
      <c r="AE288" s="9" t="n"/>
      <c r="AF288" s="9" t="n"/>
      <c r="AG288" s="9" t="n"/>
    </row>
    <row r="289">
      <c r="A289" s="13">
        <f>IF(ISBLANK(D289),"",ROW()-1)</f>
        <v/>
      </c>
      <c r="B289" s="14" t="n"/>
      <c r="C289" s="13">
        <f>IF(ISBLANK(D289),"",MID(K289,SEARCH("(",K289)+1,SEARCH(")",K289)-SEARCH("(",K289)-1)&amp;"-"&amp;MID(L289,SEARCH("(",L289)+1,SEARCH(")",L289)-SEARCH("(",L289)-1)&amp;"-"&amp;H289&amp;"-"&amp;TEXT(A289,"000")&amp;IF(ISBLANK(N289),"","-"&amp;SUBSTITUTE(N289," ","")))</f>
        <v/>
      </c>
      <c r="D289" s="9" t="n"/>
      <c r="E289" s="9" t="n"/>
      <c r="F289" s="9" t="n"/>
      <c r="G289" s="9" t="n"/>
      <c r="H289" s="13">
        <f>IF(ISBLANK(F289),"",IF(G289&lt;&gt;"",UPPER(TRIM(G289)),IF(ISNUMBER(SEARCH(" ",TRIM(F289))),UPPER(LEFT(TRIM(RIGHT(SUBSTITUTE(TRIM(F289)," ",REPT(" ",100)),100)),Settings!$B$9)),UPPER(LEFT(TRIM(F289),Settings!$B$9)))))</f>
        <v/>
      </c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15">
        <f>IF(ISBLANK(D289),"",IF(COUNTIFS(Circulation!$B$2:$B$500,A289,Circulation!$H$2:$H$500,"Active")&gt;0,"On Loan","Available"))</f>
        <v/>
      </c>
      <c r="AA289" s="9" t="n"/>
      <c r="AB289" s="9" t="n"/>
      <c r="AC289" s="9" t="n"/>
      <c r="AD289" s="9" t="n"/>
      <c r="AE289" s="9" t="n"/>
      <c r="AF289" s="9" t="n"/>
      <c r="AG289" s="9" t="n"/>
    </row>
    <row r="290">
      <c r="A290" s="13">
        <f>IF(ISBLANK(D290),"",ROW()-1)</f>
        <v/>
      </c>
      <c r="B290" s="14" t="n"/>
      <c r="C290" s="13">
        <f>IF(ISBLANK(D290),"",MID(K290,SEARCH("(",K290)+1,SEARCH(")",K290)-SEARCH("(",K290)-1)&amp;"-"&amp;MID(L290,SEARCH("(",L290)+1,SEARCH(")",L290)-SEARCH("(",L290)-1)&amp;"-"&amp;H290&amp;"-"&amp;TEXT(A290,"000")&amp;IF(ISBLANK(N290),"","-"&amp;SUBSTITUTE(N290," ","")))</f>
        <v/>
      </c>
      <c r="D290" s="9" t="n"/>
      <c r="E290" s="9" t="n"/>
      <c r="F290" s="9" t="n"/>
      <c r="G290" s="9" t="n"/>
      <c r="H290" s="13">
        <f>IF(ISBLANK(F290),"",IF(G290&lt;&gt;"",UPPER(TRIM(G290)),IF(ISNUMBER(SEARCH(" ",TRIM(F290))),UPPER(LEFT(TRIM(RIGHT(SUBSTITUTE(TRIM(F290)," ",REPT(" ",100)),100)),Settings!$B$9)),UPPER(LEFT(TRIM(F290),Settings!$B$9)))))</f>
        <v/>
      </c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15">
        <f>IF(ISBLANK(D290),"",IF(COUNTIFS(Circulation!$B$2:$B$500,A290,Circulation!$H$2:$H$500,"Active")&gt;0,"On Loan","Available"))</f>
        <v/>
      </c>
      <c r="AA290" s="9" t="n"/>
      <c r="AB290" s="9" t="n"/>
      <c r="AC290" s="9" t="n"/>
      <c r="AD290" s="9" t="n"/>
      <c r="AE290" s="9" t="n"/>
      <c r="AF290" s="9" t="n"/>
      <c r="AG290" s="9" t="n"/>
    </row>
    <row r="291">
      <c r="A291" s="13">
        <f>IF(ISBLANK(D291),"",ROW()-1)</f>
        <v/>
      </c>
      <c r="B291" s="14" t="n"/>
      <c r="C291" s="13">
        <f>IF(ISBLANK(D291),"",MID(K291,SEARCH("(",K291)+1,SEARCH(")",K291)-SEARCH("(",K291)-1)&amp;"-"&amp;MID(L291,SEARCH("(",L291)+1,SEARCH(")",L291)-SEARCH("(",L291)-1)&amp;"-"&amp;H291&amp;"-"&amp;TEXT(A291,"000")&amp;IF(ISBLANK(N291),"","-"&amp;SUBSTITUTE(N291," ","")))</f>
        <v/>
      </c>
      <c r="D291" s="9" t="n"/>
      <c r="E291" s="9" t="n"/>
      <c r="F291" s="9" t="n"/>
      <c r="G291" s="9" t="n"/>
      <c r="H291" s="13">
        <f>IF(ISBLANK(F291),"",IF(G291&lt;&gt;"",UPPER(TRIM(G291)),IF(ISNUMBER(SEARCH(" ",TRIM(F291))),UPPER(LEFT(TRIM(RIGHT(SUBSTITUTE(TRIM(F291)," ",REPT(" ",100)),100)),Settings!$B$9)),UPPER(LEFT(TRIM(F291),Settings!$B$9)))))</f>
        <v/>
      </c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15">
        <f>IF(ISBLANK(D291),"",IF(COUNTIFS(Circulation!$B$2:$B$500,A291,Circulation!$H$2:$H$500,"Active")&gt;0,"On Loan","Available"))</f>
        <v/>
      </c>
      <c r="AA291" s="9" t="n"/>
      <c r="AB291" s="9" t="n"/>
      <c r="AC291" s="9" t="n"/>
      <c r="AD291" s="9" t="n"/>
      <c r="AE291" s="9" t="n"/>
      <c r="AF291" s="9" t="n"/>
      <c r="AG291" s="9" t="n"/>
    </row>
    <row r="292">
      <c r="A292" s="13">
        <f>IF(ISBLANK(D292),"",ROW()-1)</f>
        <v/>
      </c>
      <c r="B292" s="14" t="n"/>
      <c r="C292" s="13">
        <f>IF(ISBLANK(D292),"",MID(K292,SEARCH("(",K292)+1,SEARCH(")",K292)-SEARCH("(",K292)-1)&amp;"-"&amp;MID(L292,SEARCH("(",L292)+1,SEARCH(")",L292)-SEARCH("(",L292)-1)&amp;"-"&amp;H292&amp;"-"&amp;TEXT(A292,"000")&amp;IF(ISBLANK(N292),"","-"&amp;SUBSTITUTE(N292," ","")))</f>
        <v/>
      </c>
      <c r="D292" s="9" t="n"/>
      <c r="E292" s="9" t="n"/>
      <c r="F292" s="9" t="n"/>
      <c r="G292" s="9" t="n"/>
      <c r="H292" s="13">
        <f>IF(ISBLANK(F292),"",IF(G292&lt;&gt;"",UPPER(TRIM(G292)),IF(ISNUMBER(SEARCH(" ",TRIM(F292))),UPPER(LEFT(TRIM(RIGHT(SUBSTITUTE(TRIM(F292)," ",REPT(" ",100)),100)),Settings!$B$9)),UPPER(LEFT(TRIM(F292),Settings!$B$9)))))</f>
        <v/>
      </c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15">
        <f>IF(ISBLANK(D292),"",IF(COUNTIFS(Circulation!$B$2:$B$500,A292,Circulation!$H$2:$H$500,"Active")&gt;0,"On Loan","Available"))</f>
        <v/>
      </c>
      <c r="AA292" s="9" t="n"/>
      <c r="AB292" s="9" t="n"/>
      <c r="AC292" s="9" t="n"/>
      <c r="AD292" s="9" t="n"/>
      <c r="AE292" s="9" t="n"/>
      <c r="AF292" s="9" t="n"/>
      <c r="AG292" s="9" t="n"/>
    </row>
    <row r="293">
      <c r="A293" s="13">
        <f>IF(ISBLANK(D293),"",ROW()-1)</f>
        <v/>
      </c>
      <c r="B293" s="14" t="n"/>
      <c r="C293" s="13">
        <f>IF(ISBLANK(D293),"",MID(K293,SEARCH("(",K293)+1,SEARCH(")",K293)-SEARCH("(",K293)-1)&amp;"-"&amp;MID(L293,SEARCH("(",L293)+1,SEARCH(")",L293)-SEARCH("(",L293)-1)&amp;"-"&amp;H293&amp;"-"&amp;TEXT(A293,"000")&amp;IF(ISBLANK(N293),"","-"&amp;SUBSTITUTE(N293," ","")))</f>
        <v/>
      </c>
      <c r="D293" s="9" t="n"/>
      <c r="E293" s="9" t="n"/>
      <c r="F293" s="9" t="n"/>
      <c r="G293" s="9" t="n"/>
      <c r="H293" s="13">
        <f>IF(ISBLANK(F293),"",IF(G293&lt;&gt;"",UPPER(TRIM(G293)),IF(ISNUMBER(SEARCH(" ",TRIM(F293))),UPPER(LEFT(TRIM(RIGHT(SUBSTITUTE(TRIM(F293)," ",REPT(" ",100)),100)),Settings!$B$9)),UPPER(LEFT(TRIM(F293),Settings!$B$9)))))</f>
        <v/>
      </c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15">
        <f>IF(ISBLANK(D293),"",IF(COUNTIFS(Circulation!$B$2:$B$500,A293,Circulation!$H$2:$H$500,"Active")&gt;0,"On Loan","Available"))</f>
        <v/>
      </c>
      <c r="AA293" s="9" t="n"/>
      <c r="AB293" s="9" t="n"/>
      <c r="AC293" s="9" t="n"/>
      <c r="AD293" s="9" t="n"/>
      <c r="AE293" s="9" t="n"/>
      <c r="AF293" s="9" t="n"/>
      <c r="AG293" s="9" t="n"/>
    </row>
    <row r="294">
      <c r="A294" s="13">
        <f>IF(ISBLANK(D294),"",ROW()-1)</f>
        <v/>
      </c>
      <c r="B294" s="14" t="n"/>
      <c r="C294" s="13">
        <f>IF(ISBLANK(D294),"",MID(K294,SEARCH("(",K294)+1,SEARCH(")",K294)-SEARCH("(",K294)-1)&amp;"-"&amp;MID(L294,SEARCH("(",L294)+1,SEARCH(")",L294)-SEARCH("(",L294)-1)&amp;"-"&amp;H294&amp;"-"&amp;TEXT(A294,"000")&amp;IF(ISBLANK(N294),"","-"&amp;SUBSTITUTE(N294," ","")))</f>
        <v/>
      </c>
      <c r="D294" s="9" t="n"/>
      <c r="E294" s="9" t="n"/>
      <c r="F294" s="9" t="n"/>
      <c r="G294" s="9" t="n"/>
      <c r="H294" s="13">
        <f>IF(ISBLANK(F294),"",IF(G294&lt;&gt;"",UPPER(TRIM(G294)),IF(ISNUMBER(SEARCH(" ",TRIM(F294))),UPPER(LEFT(TRIM(RIGHT(SUBSTITUTE(TRIM(F294)," ",REPT(" ",100)),100)),Settings!$B$9)),UPPER(LEFT(TRIM(F294),Settings!$B$9)))))</f>
        <v/>
      </c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15">
        <f>IF(ISBLANK(D294),"",IF(COUNTIFS(Circulation!$B$2:$B$500,A294,Circulation!$H$2:$H$500,"Active")&gt;0,"On Loan","Available"))</f>
        <v/>
      </c>
      <c r="AA294" s="9" t="n"/>
      <c r="AB294" s="9" t="n"/>
      <c r="AC294" s="9" t="n"/>
      <c r="AD294" s="9" t="n"/>
      <c r="AE294" s="9" t="n"/>
      <c r="AF294" s="9" t="n"/>
      <c r="AG294" s="9" t="n"/>
    </row>
    <row r="295">
      <c r="A295" s="13">
        <f>IF(ISBLANK(D295),"",ROW()-1)</f>
        <v/>
      </c>
      <c r="B295" s="14" t="n"/>
      <c r="C295" s="13">
        <f>IF(ISBLANK(D295),"",MID(K295,SEARCH("(",K295)+1,SEARCH(")",K295)-SEARCH("(",K295)-1)&amp;"-"&amp;MID(L295,SEARCH("(",L295)+1,SEARCH(")",L295)-SEARCH("(",L295)-1)&amp;"-"&amp;H295&amp;"-"&amp;TEXT(A295,"000")&amp;IF(ISBLANK(N295),"","-"&amp;SUBSTITUTE(N295," ","")))</f>
        <v/>
      </c>
      <c r="D295" s="9" t="n"/>
      <c r="E295" s="9" t="n"/>
      <c r="F295" s="9" t="n"/>
      <c r="G295" s="9" t="n"/>
      <c r="H295" s="13">
        <f>IF(ISBLANK(F295),"",IF(G295&lt;&gt;"",UPPER(TRIM(G295)),IF(ISNUMBER(SEARCH(" ",TRIM(F295))),UPPER(LEFT(TRIM(RIGHT(SUBSTITUTE(TRIM(F295)," ",REPT(" ",100)),100)),Settings!$B$9)),UPPER(LEFT(TRIM(F295),Settings!$B$9)))))</f>
        <v/>
      </c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15">
        <f>IF(ISBLANK(D295),"",IF(COUNTIFS(Circulation!$B$2:$B$500,A295,Circulation!$H$2:$H$500,"Active")&gt;0,"On Loan","Available"))</f>
        <v/>
      </c>
      <c r="AA295" s="9" t="n"/>
      <c r="AB295" s="9" t="n"/>
      <c r="AC295" s="9" t="n"/>
      <c r="AD295" s="9" t="n"/>
      <c r="AE295" s="9" t="n"/>
      <c r="AF295" s="9" t="n"/>
      <c r="AG295" s="9" t="n"/>
    </row>
    <row r="296">
      <c r="A296" s="13">
        <f>IF(ISBLANK(D296),"",ROW()-1)</f>
        <v/>
      </c>
      <c r="B296" s="14" t="n"/>
      <c r="C296" s="13">
        <f>IF(ISBLANK(D296),"",MID(K296,SEARCH("(",K296)+1,SEARCH(")",K296)-SEARCH("(",K296)-1)&amp;"-"&amp;MID(L296,SEARCH("(",L296)+1,SEARCH(")",L296)-SEARCH("(",L296)-1)&amp;"-"&amp;H296&amp;"-"&amp;TEXT(A296,"000")&amp;IF(ISBLANK(N296),"","-"&amp;SUBSTITUTE(N296," ","")))</f>
        <v/>
      </c>
      <c r="D296" s="9" t="n"/>
      <c r="E296" s="9" t="n"/>
      <c r="F296" s="9" t="n"/>
      <c r="G296" s="9" t="n"/>
      <c r="H296" s="13">
        <f>IF(ISBLANK(F296),"",IF(G296&lt;&gt;"",UPPER(TRIM(G296)),IF(ISNUMBER(SEARCH(" ",TRIM(F296))),UPPER(LEFT(TRIM(RIGHT(SUBSTITUTE(TRIM(F296)," ",REPT(" ",100)),100)),Settings!$B$9)),UPPER(LEFT(TRIM(F296),Settings!$B$9)))))</f>
        <v/>
      </c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15">
        <f>IF(ISBLANK(D296),"",IF(COUNTIFS(Circulation!$B$2:$B$500,A296,Circulation!$H$2:$H$500,"Active")&gt;0,"On Loan","Available"))</f>
        <v/>
      </c>
      <c r="AA296" s="9" t="n"/>
      <c r="AB296" s="9" t="n"/>
      <c r="AC296" s="9" t="n"/>
      <c r="AD296" s="9" t="n"/>
      <c r="AE296" s="9" t="n"/>
      <c r="AF296" s="9" t="n"/>
      <c r="AG296" s="9" t="n"/>
    </row>
    <row r="297">
      <c r="A297" s="13">
        <f>IF(ISBLANK(D297),"",ROW()-1)</f>
        <v/>
      </c>
      <c r="B297" s="14" t="n"/>
      <c r="C297" s="13">
        <f>IF(ISBLANK(D297),"",MID(K297,SEARCH("(",K297)+1,SEARCH(")",K297)-SEARCH("(",K297)-1)&amp;"-"&amp;MID(L297,SEARCH("(",L297)+1,SEARCH(")",L297)-SEARCH("(",L297)-1)&amp;"-"&amp;H297&amp;"-"&amp;TEXT(A297,"000")&amp;IF(ISBLANK(N297),"","-"&amp;SUBSTITUTE(N297," ","")))</f>
        <v/>
      </c>
      <c r="D297" s="9" t="n"/>
      <c r="E297" s="9" t="n"/>
      <c r="F297" s="9" t="n"/>
      <c r="G297" s="9" t="n"/>
      <c r="H297" s="13">
        <f>IF(ISBLANK(F297),"",IF(G297&lt;&gt;"",UPPER(TRIM(G297)),IF(ISNUMBER(SEARCH(" ",TRIM(F297))),UPPER(LEFT(TRIM(RIGHT(SUBSTITUTE(TRIM(F297)," ",REPT(" ",100)),100)),Settings!$B$9)),UPPER(LEFT(TRIM(F297),Settings!$B$9)))))</f>
        <v/>
      </c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15">
        <f>IF(ISBLANK(D297),"",IF(COUNTIFS(Circulation!$B$2:$B$500,A297,Circulation!$H$2:$H$500,"Active")&gt;0,"On Loan","Available"))</f>
        <v/>
      </c>
      <c r="AA297" s="9" t="n"/>
      <c r="AB297" s="9" t="n"/>
      <c r="AC297" s="9" t="n"/>
      <c r="AD297" s="9" t="n"/>
      <c r="AE297" s="9" t="n"/>
      <c r="AF297" s="9" t="n"/>
      <c r="AG297" s="9" t="n"/>
    </row>
    <row r="298">
      <c r="A298" s="13">
        <f>IF(ISBLANK(D298),"",ROW()-1)</f>
        <v/>
      </c>
      <c r="B298" s="14" t="n"/>
      <c r="C298" s="13">
        <f>IF(ISBLANK(D298),"",MID(K298,SEARCH("(",K298)+1,SEARCH(")",K298)-SEARCH("(",K298)-1)&amp;"-"&amp;MID(L298,SEARCH("(",L298)+1,SEARCH(")",L298)-SEARCH("(",L298)-1)&amp;"-"&amp;H298&amp;"-"&amp;TEXT(A298,"000")&amp;IF(ISBLANK(N298),"","-"&amp;SUBSTITUTE(N298," ","")))</f>
        <v/>
      </c>
      <c r="D298" s="9" t="n"/>
      <c r="E298" s="9" t="n"/>
      <c r="F298" s="9" t="n"/>
      <c r="G298" s="9" t="n"/>
      <c r="H298" s="13">
        <f>IF(ISBLANK(F298),"",IF(G298&lt;&gt;"",UPPER(TRIM(G298)),IF(ISNUMBER(SEARCH(" ",TRIM(F298))),UPPER(LEFT(TRIM(RIGHT(SUBSTITUTE(TRIM(F298)," ",REPT(" ",100)),100)),Settings!$B$9)),UPPER(LEFT(TRIM(F298),Settings!$B$9)))))</f>
        <v/>
      </c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15">
        <f>IF(ISBLANK(D298),"",IF(COUNTIFS(Circulation!$B$2:$B$500,A298,Circulation!$H$2:$H$500,"Active")&gt;0,"On Loan","Available"))</f>
        <v/>
      </c>
      <c r="AA298" s="9" t="n"/>
      <c r="AB298" s="9" t="n"/>
      <c r="AC298" s="9" t="n"/>
      <c r="AD298" s="9" t="n"/>
      <c r="AE298" s="9" t="n"/>
      <c r="AF298" s="9" t="n"/>
      <c r="AG298" s="9" t="n"/>
    </row>
    <row r="299">
      <c r="A299" s="13">
        <f>IF(ISBLANK(D299),"",ROW()-1)</f>
        <v/>
      </c>
      <c r="B299" s="14" t="n"/>
      <c r="C299" s="13">
        <f>IF(ISBLANK(D299),"",MID(K299,SEARCH("(",K299)+1,SEARCH(")",K299)-SEARCH("(",K299)-1)&amp;"-"&amp;MID(L299,SEARCH("(",L299)+1,SEARCH(")",L299)-SEARCH("(",L299)-1)&amp;"-"&amp;H299&amp;"-"&amp;TEXT(A299,"000")&amp;IF(ISBLANK(N299),"","-"&amp;SUBSTITUTE(N299," ","")))</f>
        <v/>
      </c>
      <c r="D299" s="9" t="n"/>
      <c r="E299" s="9" t="n"/>
      <c r="F299" s="9" t="n"/>
      <c r="G299" s="9" t="n"/>
      <c r="H299" s="13">
        <f>IF(ISBLANK(F299),"",IF(G299&lt;&gt;"",UPPER(TRIM(G299)),IF(ISNUMBER(SEARCH(" ",TRIM(F299))),UPPER(LEFT(TRIM(RIGHT(SUBSTITUTE(TRIM(F299)," ",REPT(" ",100)),100)),Settings!$B$9)),UPPER(LEFT(TRIM(F299),Settings!$B$9)))))</f>
        <v/>
      </c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15">
        <f>IF(ISBLANK(D299),"",IF(COUNTIFS(Circulation!$B$2:$B$500,A299,Circulation!$H$2:$H$500,"Active")&gt;0,"On Loan","Available"))</f>
        <v/>
      </c>
      <c r="AA299" s="9" t="n"/>
      <c r="AB299" s="9" t="n"/>
      <c r="AC299" s="9" t="n"/>
      <c r="AD299" s="9" t="n"/>
      <c r="AE299" s="9" t="n"/>
      <c r="AF299" s="9" t="n"/>
      <c r="AG299" s="9" t="n"/>
    </row>
    <row r="300">
      <c r="A300" s="13">
        <f>IF(ISBLANK(D300),"",ROW()-1)</f>
        <v/>
      </c>
      <c r="B300" s="14" t="n"/>
      <c r="C300" s="13">
        <f>IF(ISBLANK(D300),"",MID(K300,SEARCH("(",K300)+1,SEARCH(")",K300)-SEARCH("(",K300)-1)&amp;"-"&amp;MID(L300,SEARCH("(",L300)+1,SEARCH(")",L300)-SEARCH("(",L300)-1)&amp;"-"&amp;H300&amp;"-"&amp;TEXT(A300,"000")&amp;IF(ISBLANK(N300),"","-"&amp;SUBSTITUTE(N300," ","")))</f>
        <v/>
      </c>
      <c r="D300" s="9" t="n"/>
      <c r="E300" s="9" t="n"/>
      <c r="F300" s="9" t="n"/>
      <c r="G300" s="9" t="n"/>
      <c r="H300" s="13">
        <f>IF(ISBLANK(F300),"",IF(G300&lt;&gt;"",UPPER(TRIM(G300)),IF(ISNUMBER(SEARCH(" ",TRIM(F300))),UPPER(LEFT(TRIM(RIGHT(SUBSTITUTE(TRIM(F300)," ",REPT(" ",100)),100)),Settings!$B$9)),UPPER(LEFT(TRIM(F300),Settings!$B$9)))))</f>
        <v/>
      </c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15">
        <f>IF(ISBLANK(D300),"",IF(COUNTIFS(Circulation!$B$2:$B$500,A300,Circulation!$H$2:$H$500,"Active")&gt;0,"On Loan","Available"))</f>
        <v/>
      </c>
      <c r="AA300" s="9" t="n"/>
      <c r="AB300" s="9" t="n"/>
      <c r="AC300" s="9" t="n"/>
      <c r="AD300" s="9" t="n"/>
      <c r="AE300" s="9" t="n"/>
      <c r="AF300" s="9" t="n"/>
      <c r="AG300" s="9" t="n"/>
    </row>
    <row r="301">
      <c r="A301" s="13">
        <f>IF(ISBLANK(D301),"",ROW()-1)</f>
        <v/>
      </c>
      <c r="B301" s="14" t="n"/>
      <c r="C301" s="13">
        <f>IF(ISBLANK(D301),"",MID(K301,SEARCH("(",K301)+1,SEARCH(")",K301)-SEARCH("(",K301)-1)&amp;"-"&amp;MID(L301,SEARCH("(",L301)+1,SEARCH(")",L301)-SEARCH("(",L301)-1)&amp;"-"&amp;H301&amp;"-"&amp;TEXT(A301,"000")&amp;IF(ISBLANK(N301),"","-"&amp;SUBSTITUTE(N301," ","")))</f>
        <v/>
      </c>
      <c r="D301" s="9" t="n"/>
      <c r="E301" s="9" t="n"/>
      <c r="F301" s="9" t="n"/>
      <c r="G301" s="9" t="n"/>
      <c r="H301" s="13">
        <f>IF(ISBLANK(F301),"",IF(G301&lt;&gt;"",UPPER(TRIM(G301)),IF(ISNUMBER(SEARCH(" ",TRIM(F301))),UPPER(LEFT(TRIM(RIGHT(SUBSTITUTE(TRIM(F301)," ",REPT(" ",100)),100)),Settings!$B$9)),UPPER(LEFT(TRIM(F301),Settings!$B$9)))))</f>
        <v/>
      </c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15">
        <f>IF(ISBLANK(D301),"",IF(COUNTIFS(Circulation!$B$2:$B$500,A301,Circulation!$H$2:$H$500,"Active")&gt;0,"On Loan","Available"))</f>
        <v/>
      </c>
      <c r="AA301" s="9" t="n"/>
      <c r="AB301" s="9" t="n"/>
      <c r="AC301" s="9" t="n"/>
      <c r="AD301" s="9" t="n"/>
      <c r="AE301" s="9" t="n"/>
      <c r="AF301" s="9" t="n"/>
      <c r="AG301" s="9" t="n"/>
    </row>
    <row r="302">
      <c r="A302" s="13">
        <f>IF(ISBLANK(D302),"",ROW()-1)</f>
        <v/>
      </c>
      <c r="B302" s="14" t="n"/>
      <c r="C302" s="13">
        <f>IF(ISBLANK(D302),"",MID(K302,SEARCH("(",K302)+1,SEARCH(")",K302)-SEARCH("(",K302)-1)&amp;"-"&amp;MID(L302,SEARCH("(",L302)+1,SEARCH(")",L302)-SEARCH("(",L302)-1)&amp;"-"&amp;H302&amp;"-"&amp;TEXT(A302,"000")&amp;IF(ISBLANK(N302),"","-"&amp;SUBSTITUTE(N302," ","")))</f>
        <v/>
      </c>
      <c r="D302" s="9" t="n"/>
      <c r="E302" s="9" t="n"/>
      <c r="F302" s="9" t="n"/>
      <c r="G302" s="9" t="n"/>
      <c r="H302" s="13">
        <f>IF(ISBLANK(F302),"",IF(G302&lt;&gt;"",UPPER(TRIM(G302)),IF(ISNUMBER(SEARCH(" ",TRIM(F302))),UPPER(LEFT(TRIM(RIGHT(SUBSTITUTE(TRIM(F302)," ",REPT(" ",100)),100)),Settings!$B$9)),UPPER(LEFT(TRIM(F302),Settings!$B$9)))))</f>
        <v/>
      </c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15">
        <f>IF(ISBLANK(D302),"",IF(COUNTIFS(Circulation!$B$2:$B$500,A302,Circulation!$H$2:$H$500,"Active")&gt;0,"On Loan","Available"))</f>
        <v/>
      </c>
      <c r="AA302" s="9" t="n"/>
      <c r="AB302" s="9" t="n"/>
      <c r="AC302" s="9" t="n"/>
      <c r="AD302" s="9" t="n"/>
      <c r="AE302" s="9" t="n"/>
      <c r="AF302" s="9" t="n"/>
      <c r="AG302" s="9" t="n"/>
    </row>
    <row r="303">
      <c r="A303" s="13">
        <f>IF(ISBLANK(D303),"",ROW()-1)</f>
        <v/>
      </c>
      <c r="B303" s="14" t="n"/>
      <c r="C303" s="13">
        <f>IF(ISBLANK(D303),"",MID(K303,SEARCH("(",K303)+1,SEARCH(")",K303)-SEARCH("(",K303)-1)&amp;"-"&amp;MID(L303,SEARCH("(",L303)+1,SEARCH(")",L303)-SEARCH("(",L303)-1)&amp;"-"&amp;H303&amp;"-"&amp;TEXT(A303,"000")&amp;IF(ISBLANK(N303),"","-"&amp;SUBSTITUTE(N303," ","")))</f>
        <v/>
      </c>
      <c r="D303" s="9" t="n"/>
      <c r="E303" s="9" t="n"/>
      <c r="F303" s="9" t="n"/>
      <c r="G303" s="9" t="n"/>
      <c r="H303" s="13">
        <f>IF(ISBLANK(F303),"",IF(G303&lt;&gt;"",UPPER(TRIM(G303)),IF(ISNUMBER(SEARCH(" ",TRIM(F303))),UPPER(LEFT(TRIM(RIGHT(SUBSTITUTE(TRIM(F303)," ",REPT(" ",100)),100)),Settings!$B$9)),UPPER(LEFT(TRIM(F303),Settings!$B$9)))))</f>
        <v/>
      </c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15">
        <f>IF(ISBLANK(D303),"",IF(COUNTIFS(Circulation!$B$2:$B$500,A303,Circulation!$H$2:$H$500,"Active")&gt;0,"On Loan","Available"))</f>
        <v/>
      </c>
      <c r="AA303" s="9" t="n"/>
      <c r="AB303" s="9" t="n"/>
      <c r="AC303" s="9" t="n"/>
      <c r="AD303" s="9" t="n"/>
      <c r="AE303" s="9" t="n"/>
      <c r="AF303" s="9" t="n"/>
      <c r="AG303" s="9" t="n"/>
    </row>
    <row r="304">
      <c r="A304" s="13">
        <f>IF(ISBLANK(D304),"",ROW()-1)</f>
        <v/>
      </c>
      <c r="B304" s="14" t="n"/>
      <c r="C304" s="13">
        <f>IF(ISBLANK(D304),"",MID(K304,SEARCH("(",K304)+1,SEARCH(")",K304)-SEARCH("(",K304)-1)&amp;"-"&amp;MID(L304,SEARCH("(",L304)+1,SEARCH(")",L304)-SEARCH("(",L304)-1)&amp;"-"&amp;H304&amp;"-"&amp;TEXT(A304,"000")&amp;IF(ISBLANK(N304),"","-"&amp;SUBSTITUTE(N304," ","")))</f>
        <v/>
      </c>
      <c r="D304" s="9" t="n"/>
      <c r="E304" s="9" t="n"/>
      <c r="F304" s="9" t="n"/>
      <c r="G304" s="9" t="n"/>
      <c r="H304" s="13">
        <f>IF(ISBLANK(F304),"",IF(G304&lt;&gt;"",UPPER(TRIM(G304)),IF(ISNUMBER(SEARCH(" ",TRIM(F304))),UPPER(LEFT(TRIM(RIGHT(SUBSTITUTE(TRIM(F304)," ",REPT(" ",100)),100)),Settings!$B$9)),UPPER(LEFT(TRIM(F304),Settings!$B$9)))))</f>
        <v/>
      </c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15">
        <f>IF(ISBLANK(D304),"",IF(COUNTIFS(Circulation!$B$2:$B$500,A304,Circulation!$H$2:$H$500,"Active")&gt;0,"On Loan","Available"))</f>
        <v/>
      </c>
      <c r="AA304" s="9" t="n"/>
      <c r="AB304" s="9" t="n"/>
      <c r="AC304" s="9" t="n"/>
      <c r="AD304" s="9" t="n"/>
      <c r="AE304" s="9" t="n"/>
      <c r="AF304" s="9" t="n"/>
      <c r="AG304" s="9" t="n"/>
    </row>
    <row r="305">
      <c r="A305" s="13">
        <f>IF(ISBLANK(D305),"",ROW()-1)</f>
        <v/>
      </c>
      <c r="B305" s="14" t="n"/>
      <c r="C305" s="13">
        <f>IF(ISBLANK(D305),"",MID(K305,SEARCH("(",K305)+1,SEARCH(")",K305)-SEARCH("(",K305)-1)&amp;"-"&amp;MID(L305,SEARCH("(",L305)+1,SEARCH(")",L305)-SEARCH("(",L305)-1)&amp;"-"&amp;H305&amp;"-"&amp;TEXT(A305,"000")&amp;IF(ISBLANK(N305),"","-"&amp;SUBSTITUTE(N305," ","")))</f>
        <v/>
      </c>
      <c r="D305" s="9" t="n"/>
      <c r="E305" s="9" t="n"/>
      <c r="F305" s="9" t="n"/>
      <c r="G305" s="9" t="n"/>
      <c r="H305" s="13">
        <f>IF(ISBLANK(F305),"",IF(G305&lt;&gt;"",UPPER(TRIM(G305)),IF(ISNUMBER(SEARCH(" ",TRIM(F305))),UPPER(LEFT(TRIM(RIGHT(SUBSTITUTE(TRIM(F305)," ",REPT(" ",100)),100)),Settings!$B$9)),UPPER(LEFT(TRIM(F305),Settings!$B$9)))))</f>
        <v/>
      </c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15">
        <f>IF(ISBLANK(D305),"",IF(COUNTIFS(Circulation!$B$2:$B$500,A305,Circulation!$H$2:$H$500,"Active")&gt;0,"On Loan","Available"))</f>
        <v/>
      </c>
      <c r="AA305" s="9" t="n"/>
      <c r="AB305" s="9" t="n"/>
      <c r="AC305" s="9" t="n"/>
      <c r="AD305" s="9" t="n"/>
      <c r="AE305" s="9" t="n"/>
      <c r="AF305" s="9" t="n"/>
      <c r="AG305" s="9" t="n"/>
    </row>
    <row r="306">
      <c r="A306" s="13">
        <f>IF(ISBLANK(D306),"",ROW()-1)</f>
        <v/>
      </c>
      <c r="B306" s="14" t="n"/>
      <c r="C306" s="13">
        <f>IF(ISBLANK(D306),"",MID(K306,SEARCH("(",K306)+1,SEARCH(")",K306)-SEARCH("(",K306)-1)&amp;"-"&amp;MID(L306,SEARCH("(",L306)+1,SEARCH(")",L306)-SEARCH("(",L306)-1)&amp;"-"&amp;H306&amp;"-"&amp;TEXT(A306,"000")&amp;IF(ISBLANK(N306),"","-"&amp;SUBSTITUTE(N306," ","")))</f>
        <v/>
      </c>
      <c r="D306" s="9" t="n"/>
      <c r="E306" s="9" t="n"/>
      <c r="F306" s="9" t="n"/>
      <c r="G306" s="9" t="n"/>
      <c r="H306" s="13">
        <f>IF(ISBLANK(F306),"",IF(G306&lt;&gt;"",UPPER(TRIM(G306)),IF(ISNUMBER(SEARCH(" ",TRIM(F306))),UPPER(LEFT(TRIM(RIGHT(SUBSTITUTE(TRIM(F306)," ",REPT(" ",100)),100)),Settings!$B$9)),UPPER(LEFT(TRIM(F306),Settings!$B$9)))))</f>
        <v/>
      </c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15">
        <f>IF(ISBLANK(D306),"",IF(COUNTIFS(Circulation!$B$2:$B$500,A306,Circulation!$H$2:$H$500,"Active")&gt;0,"On Loan","Available"))</f>
        <v/>
      </c>
      <c r="AA306" s="9" t="n"/>
      <c r="AB306" s="9" t="n"/>
      <c r="AC306" s="9" t="n"/>
      <c r="AD306" s="9" t="n"/>
      <c r="AE306" s="9" t="n"/>
      <c r="AF306" s="9" t="n"/>
      <c r="AG306" s="9" t="n"/>
    </row>
    <row r="307">
      <c r="A307" s="13">
        <f>IF(ISBLANK(D307),"",ROW()-1)</f>
        <v/>
      </c>
      <c r="B307" s="14" t="n"/>
      <c r="C307" s="13">
        <f>IF(ISBLANK(D307),"",MID(K307,SEARCH("(",K307)+1,SEARCH(")",K307)-SEARCH("(",K307)-1)&amp;"-"&amp;MID(L307,SEARCH("(",L307)+1,SEARCH(")",L307)-SEARCH("(",L307)-1)&amp;"-"&amp;H307&amp;"-"&amp;TEXT(A307,"000")&amp;IF(ISBLANK(N307),"","-"&amp;SUBSTITUTE(N307," ","")))</f>
        <v/>
      </c>
      <c r="D307" s="9" t="n"/>
      <c r="E307" s="9" t="n"/>
      <c r="F307" s="9" t="n"/>
      <c r="G307" s="9" t="n"/>
      <c r="H307" s="13">
        <f>IF(ISBLANK(F307),"",IF(G307&lt;&gt;"",UPPER(TRIM(G307)),IF(ISNUMBER(SEARCH(" ",TRIM(F307))),UPPER(LEFT(TRIM(RIGHT(SUBSTITUTE(TRIM(F307)," ",REPT(" ",100)),100)),Settings!$B$9)),UPPER(LEFT(TRIM(F307),Settings!$B$9)))))</f>
        <v/>
      </c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15">
        <f>IF(ISBLANK(D307),"",IF(COUNTIFS(Circulation!$B$2:$B$500,A307,Circulation!$H$2:$H$500,"Active")&gt;0,"On Loan","Available"))</f>
        <v/>
      </c>
      <c r="AA307" s="9" t="n"/>
      <c r="AB307" s="9" t="n"/>
      <c r="AC307" s="9" t="n"/>
      <c r="AD307" s="9" t="n"/>
      <c r="AE307" s="9" t="n"/>
      <c r="AF307" s="9" t="n"/>
      <c r="AG307" s="9" t="n"/>
    </row>
    <row r="308">
      <c r="A308" s="13">
        <f>IF(ISBLANK(D308),"",ROW()-1)</f>
        <v/>
      </c>
      <c r="B308" s="14" t="n"/>
      <c r="C308" s="13">
        <f>IF(ISBLANK(D308),"",MID(K308,SEARCH("(",K308)+1,SEARCH(")",K308)-SEARCH("(",K308)-1)&amp;"-"&amp;MID(L308,SEARCH("(",L308)+1,SEARCH(")",L308)-SEARCH("(",L308)-1)&amp;"-"&amp;H308&amp;"-"&amp;TEXT(A308,"000")&amp;IF(ISBLANK(N308),"","-"&amp;SUBSTITUTE(N308," ","")))</f>
        <v/>
      </c>
      <c r="D308" s="9" t="n"/>
      <c r="E308" s="9" t="n"/>
      <c r="F308" s="9" t="n"/>
      <c r="G308" s="9" t="n"/>
      <c r="H308" s="13">
        <f>IF(ISBLANK(F308),"",IF(G308&lt;&gt;"",UPPER(TRIM(G308)),IF(ISNUMBER(SEARCH(" ",TRIM(F308))),UPPER(LEFT(TRIM(RIGHT(SUBSTITUTE(TRIM(F308)," ",REPT(" ",100)),100)),Settings!$B$9)),UPPER(LEFT(TRIM(F308),Settings!$B$9)))))</f>
        <v/>
      </c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15">
        <f>IF(ISBLANK(D308),"",IF(COUNTIFS(Circulation!$B$2:$B$500,A308,Circulation!$H$2:$H$500,"Active")&gt;0,"On Loan","Available"))</f>
        <v/>
      </c>
      <c r="AA308" s="9" t="n"/>
      <c r="AB308" s="9" t="n"/>
      <c r="AC308" s="9" t="n"/>
      <c r="AD308" s="9" t="n"/>
      <c r="AE308" s="9" t="n"/>
      <c r="AF308" s="9" t="n"/>
      <c r="AG308" s="9" t="n"/>
    </row>
    <row r="309">
      <c r="A309" s="13">
        <f>IF(ISBLANK(D309),"",ROW()-1)</f>
        <v/>
      </c>
      <c r="B309" s="14" t="n"/>
      <c r="C309" s="13">
        <f>IF(ISBLANK(D309),"",MID(K309,SEARCH("(",K309)+1,SEARCH(")",K309)-SEARCH("(",K309)-1)&amp;"-"&amp;MID(L309,SEARCH("(",L309)+1,SEARCH(")",L309)-SEARCH("(",L309)-1)&amp;"-"&amp;H309&amp;"-"&amp;TEXT(A309,"000")&amp;IF(ISBLANK(N309),"","-"&amp;SUBSTITUTE(N309," ","")))</f>
        <v/>
      </c>
      <c r="D309" s="9" t="n"/>
      <c r="E309" s="9" t="n"/>
      <c r="F309" s="9" t="n"/>
      <c r="G309" s="9" t="n"/>
      <c r="H309" s="13">
        <f>IF(ISBLANK(F309),"",IF(G309&lt;&gt;"",UPPER(TRIM(G309)),IF(ISNUMBER(SEARCH(" ",TRIM(F309))),UPPER(LEFT(TRIM(RIGHT(SUBSTITUTE(TRIM(F309)," ",REPT(" ",100)),100)),Settings!$B$9)),UPPER(LEFT(TRIM(F309),Settings!$B$9)))))</f>
        <v/>
      </c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15">
        <f>IF(ISBLANK(D309),"",IF(COUNTIFS(Circulation!$B$2:$B$500,A309,Circulation!$H$2:$H$500,"Active")&gt;0,"On Loan","Available"))</f>
        <v/>
      </c>
      <c r="AA309" s="9" t="n"/>
      <c r="AB309" s="9" t="n"/>
      <c r="AC309" s="9" t="n"/>
      <c r="AD309" s="9" t="n"/>
      <c r="AE309" s="9" t="n"/>
      <c r="AF309" s="9" t="n"/>
      <c r="AG309" s="9" t="n"/>
    </row>
    <row r="310">
      <c r="A310" s="13">
        <f>IF(ISBLANK(D310),"",ROW()-1)</f>
        <v/>
      </c>
      <c r="B310" s="14" t="n"/>
      <c r="C310" s="13">
        <f>IF(ISBLANK(D310),"",MID(K310,SEARCH("(",K310)+1,SEARCH(")",K310)-SEARCH("(",K310)-1)&amp;"-"&amp;MID(L310,SEARCH("(",L310)+1,SEARCH(")",L310)-SEARCH("(",L310)-1)&amp;"-"&amp;H310&amp;"-"&amp;TEXT(A310,"000")&amp;IF(ISBLANK(N310),"","-"&amp;SUBSTITUTE(N310," ","")))</f>
        <v/>
      </c>
      <c r="D310" s="9" t="n"/>
      <c r="E310" s="9" t="n"/>
      <c r="F310" s="9" t="n"/>
      <c r="G310" s="9" t="n"/>
      <c r="H310" s="13">
        <f>IF(ISBLANK(F310),"",IF(G310&lt;&gt;"",UPPER(TRIM(G310)),IF(ISNUMBER(SEARCH(" ",TRIM(F310))),UPPER(LEFT(TRIM(RIGHT(SUBSTITUTE(TRIM(F310)," ",REPT(" ",100)),100)),Settings!$B$9)),UPPER(LEFT(TRIM(F310),Settings!$B$9)))))</f>
        <v/>
      </c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15">
        <f>IF(ISBLANK(D310),"",IF(COUNTIFS(Circulation!$B$2:$B$500,A310,Circulation!$H$2:$H$500,"Active")&gt;0,"On Loan","Available"))</f>
        <v/>
      </c>
      <c r="AA310" s="9" t="n"/>
      <c r="AB310" s="9" t="n"/>
      <c r="AC310" s="9" t="n"/>
      <c r="AD310" s="9" t="n"/>
      <c r="AE310" s="9" t="n"/>
      <c r="AF310" s="9" t="n"/>
      <c r="AG310" s="9" t="n"/>
    </row>
    <row r="311">
      <c r="A311" s="13">
        <f>IF(ISBLANK(D311),"",ROW()-1)</f>
        <v/>
      </c>
      <c r="B311" s="14" t="n"/>
      <c r="C311" s="13">
        <f>IF(ISBLANK(D311),"",MID(K311,SEARCH("(",K311)+1,SEARCH(")",K311)-SEARCH("(",K311)-1)&amp;"-"&amp;MID(L311,SEARCH("(",L311)+1,SEARCH(")",L311)-SEARCH("(",L311)-1)&amp;"-"&amp;H311&amp;"-"&amp;TEXT(A311,"000")&amp;IF(ISBLANK(N311),"","-"&amp;SUBSTITUTE(N311," ","")))</f>
        <v/>
      </c>
      <c r="D311" s="9" t="n"/>
      <c r="E311" s="9" t="n"/>
      <c r="F311" s="9" t="n"/>
      <c r="G311" s="9" t="n"/>
      <c r="H311" s="13">
        <f>IF(ISBLANK(F311),"",IF(G311&lt;&gt;"",UPPER(TRIM(G311)),IF(ISNUMBER(SEARCH(" ",TRIM(F311))),UPPER(LEFT(TRIM(RIGHT(SUBSTITUTE(TRIM(F311)," ",REPT(" ",100)),100)),Settings!$B$9)),UPPER(LEFT(TRIM(F311),Settings!$B$9)))))</f>
        <v/>
      </c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15">
        <f>IF(ISBLANK(D311),"",IF(COUNTIFS(Circulation!$B$2:$B$500,A311,Circulation!$H$2:$H$500,"Active")&gt;0,"On Loan","Available"))</f>
        <v/>
      </c>
      <c r="AA311" s="9" t="n"/>
      <c r="AB311" s="9" t="n"/>
      <c r="AC311" s="9" t="n"/>
      <c r="AD311" s="9" t="n"/>
      <c r="AE311" s="9" t="n"/>
      <c r="AF311" s="9" t="n"/>
      <c r="AG311" s="9" t="n"/>
    </row>
    <row r="312">
      <c r="A312" s="13">
        <f>IF(ISBLANK(D312),"",ROW()-1)</f>
        <v/>
      </c>
      <c r="B312" s="14" t="n"/>
      <c r="C312" s="13">
        <f>IF(ISBLANK(D312),"",MID(K312,SEARCH("(",K312)+1,SEARCH(")",K312)-SEARCH("(",K312)-1)&amp;"-"&amp;MID(L312,SEARCH("(",L312)+1,SEARCH(")",L312)-SEARCH("(",L312)-1)&amp;"-"&amp;H312&amp;"-"&amp;TEXT(A312,"000")&amp;IF(ISBLANK(N312),"","-"&amp;SUBSTITUTE(N312," ","")))</f>
        <v/>
      </c>
      <c r="D312" s="9" t="n"/>
      <c r="E312" s="9" t="n"/>
      <c r="F312" s="9" t="n"/>
      <c r="G312" s="9" t="n"/>
      <c r="H312" s="13">
        <f>IF(ISBLANK(F312),"",IF(G312&lt;&gt;"",UPPER(TRIM(G312)),IF(ISNUMBER(SEARCH(" ",TRIM(F312))),UPPER(LEFT(TRIM(RIGHT(SUBSTITUTE(TRIM(F312)," ",REPT(" ",100)),100)),Settings!$B$9)),UPPER(LEFT(TRIM(F312),Settings!$B$9)))))</f>
        <v/>
      </c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15">
        <f>IF(ISBLANK(D312),"",IF(COUNTIFS(Circulation!$B$2:$B$500,A312,Circulation!$H$2:$H$500,"Active")&gt;0,"On Loan","Available"))</f>
        <v/>
      </c>
      <c r="AA312" s="9" t="n"/>
      <c r="AB312" s="9" t="n"/>
      <c r="AC312" s="9" t="n"/>
      <c r="AD312" s="9" t="n"/>
      <c r="AE312" s="9" t="n"/>
      <c r="AF312" s="9" t="n"/>
      <c r="AG312" s="9" t="n"/>
    </row>
    <row r="313">
      <c r="A313" s="13">
        <f>IF(ISBLANK(D313),"",ROW()-1)</f>
        <v/>
      </c>
      <c r="B313" s="14" t="n"/>
      <c r="C313" s="13">
        <f>IF(ISBLANK(D313),"",MID(K313,SEARCH("(",K313)+1,SEARCH(")",K313)-SEARCH("(",K313)-1)&amp;"-"&amp;MID(L313,SEARCH("(",L313)+1,SEARCH(")",L313)-SEARCH("(",L313)-1)&amp;"-"&amp;H313&amp;"-"&amp;TEXT(A313,"000")&amp;IF(ISBLANK(N313),"","-"&amp;SUBSTITUTE(N313," ","")))</f>
        <v/>
      </c>
      <c r="D313" s="9" t="n"/>
      <c r="E313" s="9" t="n"/>
      <c r="F313" s="9" t="n"/>
      <c r="G313" s="9" t="n"/>
      <c r="H313" s="13">
        <f>IF(ISBLANK(F313),"",IF(G313&lt;&gt;"",UPPER(TRIM(G313)),IF(ISNUMBER(SEARCH(" ",TRIM(F313))),UPPER(LEFT(TRIM(RIGHT(SUBSTITUTE(TRIM(F313)," ",REPT(" ",100)),100)),Settings!$B$9)),UPPER(LEFT(TRIM(F313),Settings!$B$9)))))</f>
        <v/>
      </c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15">
        <f>IF(ISBLANK(D313),"",IF(COUNTIFS(Circulation!$B$2:$B$500,A313,Circulation!$H$2:$H$500,"Active")&gt;0,"On Loan","Available"))</f>
        <v/>
      </c>
      <c r="AA313" s="9" t="n"/>
      <c r="AB313" s="9" t="n"/>
      <c r="AC313" s="9" t="n"/>
      <c r="AD313" s="9" t="n"/>
      <c r="AE313" s="9" t="n"/>
      <c r="AF313" s="9" t="n"/>
      <c r="AG313" s="9" t="n"/>
    </row>
    <row r="314">
      <c r="A314" s="13">
        <f>IF(ISBLANK(D314),"",ROW()-1)</f>
        <v/>
      </c>
      <c r="B314" s="14" t="n"/>
      <c r="C314" s="13">
        <f>IF(ISBLANK(D314),"",MID(K314,SEARCH("(",K314)+1,SEARCH(")",K314)-SEARCH("(",K314)-1)&amp;"-"&amp;MID(L314,SEARCH("(",L314)+1,SEARCH(")",L314)-SEARCH("(",L314)-1)&amp;"-"&amp;H314&amp;"-"&amp;TEXT(A314,"000")&amp;IF(ISBLANK(N314),"","-"&amp;SUBSTITUTE(N314," ","")))</f>
        <v/>
      </c>
      <c r="D314" s="9" t="n"/>
      <c r="E314" s="9" t="n"/>
      <c r="F314" s="9" t="n"/>
      <c r="G314" s="9" t="n"/>
      <c r="H314" s="13">
        <f>IF(ISBLANK(F314),"",IF(G314&lt;&gt;"",UPPER(TRIM(G314)),IF(ISNUMBER(SEARCH(" ",TRIM(F314))),UPPER(LEFT(TRIM(RIGHT(SUBSTITUTE(TRIM(F314)," ",REPT(" ",100)),100)),Settings!$B$9)),UPPER(LEFT(TRIM(F314),Settings!$B$9)))))</f>
        <v/>
      </c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15">
        <f>IF(ISBLANK(D314),"",IF(COUNTIFS(Circulation!$B$2:$B$500,A314,Circulation!$H$2:$H$500,"Active")&gt;0,"On Loan","Available"))</f>
        <v/>
      </c>
      <c r="AA314" s="9" t="n"/>
      <c r="AB314" s="9" t="n"/>
      <c r="AC314" s="9" t="n"/>
      <c r="AD314" s="9" t="n"/>
      <c r="AE314" s="9" t="n"/>
      <c r="AF314" s="9" t="n"/>
      <c r="AG314" s="9" t="n"/>
    </row>
    <row r="315">
      <c r="A315" s="13">
        <f>IF(ISBLANK(D315),"",ROW()-1)</f>
        <v/>
      </c>
      <c r="B315" s="14" t="n"/>
      <c r="C315" s="13">
        <f>IF(ISBLANK(D315),"",MID(K315,SEARCH("(",K315)+1,SEARCH(")",K315)-SEARCH("(",K315)-1)&amp;"-"&amp;MID(L315,SEARCH("(",L315)+1,SEARCH(")",L315)-SEARCH("(",L315)-1)&amp;"-"&amp;H315&amp;"-"&amp;TEXT(A315,"000")&amp;IF(ISBLANK(N315),"","-"&amp;SUBSTITUTE(N315," ","")))</f>
        <v/>
      </c>
      <c r="D315" s="9" t="n"/>
      <c r="E315" s="9" t="n"/>
      <c r="F315" s="9" t="n"/>
      <c r="G315" s="9" t="n"/>
      <c r="H315" s="13">
        <f>IF(ISBLANK(F315),"",IF(G315&lt;&gt;"",UPPER(TRIM(G315)),IF(ISNUMBER(SEARCH(" ",TRIM(F315))),UPPER(LEFT(TRIM(RIGHT(SUBSTITUTE(TRIM(F315)," ",REPT(" ",100)),100)),Settings!$B$9)),UPPER(LEFT(TRIM(F315),Settings!$B$9)))))</f>
        <v/>
      </c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15">
        <f>IF(ISBLANK(D315),"",IF(COUNTIFS(Circulation!$B$2:$B$500,A315,Circulation!$H$2:$H$500,"Active")&gt;0,"On Loan","Available"))</f>
        <v/>
      </c>
      <c r="AA315" s="9" t="n"/>
      <c r="AB315" s="9" t="n"/>
      <c r="AC315" s="9" t="n"/>
      <c r="AD315" s="9" t="n"/>
      <c r="AE315" s="9" t="n"/>
      <c r="AF315" s="9" t="n"/>
      <c r="AG315" s="9" t="n"/>
    </row>
    <row r="316">
      <c r="A316" s="13">
        <f>IF(ISBLANK(D316),"",ROW()-1)</f>
        <v/>
      </c>
      <c r="B316" s="14" t="n"/>
      <c r="C316" s="13">
        <f>IF(ISBLANK(D316),"",MID(K316,SEARCH("(",K316)+1,SEARCH(")",K316)-SEARCH("(",K316)-1)&amp;"-"&amp;MID(L316,SEARCH("(",L316)+1,SEARCH(")",L316)-SEARCH("(",L316)-1)&amp;"-"&amp;H316&amp;"-"&amp;TEXT(A316,"000")&amp;IF(ISBLANK(N316),"","-"&amp;SUBSTITUTE(N316," ","")))</f>
        <v/>
      </c>
      <c r="D316" s="9" t="n"/>
      <c r="E316" s="9" t="n"/>
      <c r="F316" s="9" t="n"/>
      <c r="G316" s="9" t="n"/>
      <c r="H316" s="13">
        <f>IF(ISBLANK(F316),"",IF(G316&lt;&gt;"",UPPER(TRIM(G316)),IF(ISNUMBER(SEARCH(" ",TRIM(F316))),UPPER(LEFT(TRIM(RIGHT(SUBSTITUTE(TRIM(F316)," ",REPT(" ",100)),100)),Settings!$B$9)),UPPER(LEFT(TRIM(F316),Settings!$B$9)))))</f>
        <v/>
      </c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15">
        <f>IF(ISBLANK(D316),"",IF(COUNTIFS(Circulation!$B$2:$B$500,A316,Circulation!$H$2:$H$500,"Active")&gt;0,"On Loan","Available"))</f>
        <v/>
      </c>
      <c r="AA316" s="9" t="n"/>
      <c r="AB316" s="9" t="n"/>
      <c r="AC316" s="9" t="n"/>
      <c r="AD316" s="9" t="n"/>
      <c r="AE316" s="9" t="n"/>
      <c r="AF316" s="9" t="n"/>
      <c r="AG316" s="9" t="n"/>
    </row>
    <row r="317">
      <c r="A317" s="13">
        <f>IF(ISBLANK(D317),"",ROW()-1)</f>
        <v/>
      </c>
      <c r="B317" s="14" t="n"/>
      <c r="C317" s="13">
        <f>IF(ISBLANK(D317),"",MID(K317,SEARCH("(",K317)+1,SEARCH(")",K317)-SEARCH("(",K317)-1)&amp;"-"&amp;MID(L317,SEARCH("(",L317)+1,SEARCH(")",L317)-SEARCH("(",L317)-1)&amp;"-"&amp;H317&amp;"-"&amp;TEXT(A317,"000")&amp;IF(ISBLANK(N317),"","-"&amp;SUBSTITUTE(N317," ","")))</f>
        <v/>
      </c>
      <c r="D317" s="9" t="n"/>
      <c r="E317" s="9" t="n"/>
      <c r="F317" s="9" t="n"/>
      <c r="G317" s="9" t="n"/>
      <c r="H317" s="13">
        <f>IF(ISBLANK(F317),"",IF(G317&lt;&gt;"",UPPER(TRIM(G317)),IF(ISNUMBER(SEARCH(" ",TRIM(F317))),UPPER(LEFT(TRIM(RIGHT(SUBSTITUTE(TRIM(F317)," ",REPT(" ",100)),100)),Settings!$B$9)),UPPER(LEFT(TRIM(F317),Settings!$B$9)))))</f>
        <v/>
      </c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15">
        <f>IF(ISBLANK(D317),"",IF(COUNTIFS(Circulation!$B$2:$B$500,A317,Circulation!$H$2:$H$500,"Active")&gt;0,"On Loan","Available"))</f>
        <v/>
      </c>
      <c r="AA317" s="9" t="n"/>
      <c r="AB317" s="9" t="n"/>
      <c r="AC317" s="9" t="n"/>
      <c r="AD317" s="9" t="n"/>
      <c r="AE317" s="9" t="n"/>
      <c r="AF317" s="9" t="n"/>
      <c r="AG317" s="9" t="n"/>
    </row>
    <row r="318">
      <c r="A318" s="13">
        <f>IF(ISBLANK(D318),"",ROW()-1)</f>
        <v/>
      </c>
      <c r="B318" s="14" t="n"/>
      <c r="C318" s="13">
        <f>IF(ISBLANK(D318),"",MID(K318,SEARCH("(",K318)+1,SEARCH(")",K318)-SEARCH("(",K318)-1)&amp;"-"&amp;MID(L318,SEARCH("(",L318)+1,SEARCH(")",L318)-SEARCH("(",L318)-1)&amp;"-"&amp;H318&amp;"-"&amp;TEXT(A318,"000")&amp;IF(ISBLANK(N318),"","-"&amp;SUBSTITUTE(N318," ","")))</f>
        <v/>
      </c>
      <c r="D318" s="9" t="n"/>
      <c r="E318" s="9" t="n"/>
      <c r="F318" s="9" t="n"/>
      <c r="G318" s="9" t="n"/>
      <c r="H318" s="13">
        <f>IF(ISBLANK(F318),"",IF(G318&lt;&gt;"",UPPER(TRIM(G318)),IF(ISNUMBER(SEARCH(" ",TRIM(F318))),UPPER(LEFT(TRIM(RIGHT(SUBSTITUTE(TRIM(F318)," ",REPT(" ",100)),100)),Settings!$B$9)),UPPER(LEFT(TRIM(F318),Settings!$B$9)))))</f>
        <v/>
      </c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15">
        <f>IF(ISBLANK(D318),"",IF(COUNTIFS(Circulation!$B$2:$B$500,A318,Circulation!$H$2:$H$500,"Active")&gt;0,"On Loan","Available"))</f>
        <v/>
      </c>
      <c r="AA318" s="9" t="n"/>
      <c r="AB318" s="9" t="n"/>
      <c r="AC318" s="9" t="n"/>
      <c r="AD318" s="9" t="n"/>
      <c r="AE318" s="9" t="n"/>
      <c r="AF318" s="9" t="n"/>
      <c r="AG318" s="9" t="n"/>
    </row>
    <row r="319">
      <c r="A319" s="13">
        <f>IF(ISBLANK(D319),"",ROW()-1)</f>
        <v/>
      </c>
      <c r="B319" s="14" t="n"/>
      <c r="C319" s="13">
        <f>IF(ISBLANK(D319),"",MID(K319,SEARCH("(",K319)+1,SEARCH(")",K319)-SEARCH("(",K319)-1)&amp;"-"&amp;MID(L319,SEARCH("(",L319)+1,SEARCH(")",L319)-SEARCH("(",L319)-1)&amp;"-"&amp;H319&amp;"-"&amp;TEXT(A319,"000")&amp;IF(ISBLANK(N319),"","-"&amp;SUBSTITUTE(N319," ","")))</f>
        <v/>
      </c>
      <c r="D319" s="9" t="n"/>
      <c r="E319" s="9" t="n"/>
      <c r="F319" s="9" t="n"/>
      <c r="G319" s="9" t="n"/>
      <c r="H319" s="13">
        <f>IF(ISBLANK(F319),"",IF(G319&lt;&gt;"",UPPER(TRIM(G319)),IF(ISNUMBER(SEARCH(" ",TRIM(F319))),UPPER(LEFT(TRIM(RIGHT(SUBSTITUTE(TRIM(F319)," ",REPT(" ",100)),100)),Settings!$B$9)),UPPER(LEFT(TRIM(F319),Settings!$B$9)))))</f>
        <v/>
      </c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15">
        <f>IF(ISBLANK(D319),"",IF(COUNTIFS(Circulation!$B$2:$B$500,A319,Circulation!$H$2:$H$500,"Active")&gt;0,"On Loan","Available"))</f>
        <v/>
      </c>
      <c r="AA319" s="9" t="n"/>
      <c r="AB319" s="9" t="n"/>
      <c r="AC319" s="9" t="n"/>
      <c r="AD319" s="9" t="n"/>
      <c r="AE319" s="9" t="n"/>
      <c r="AF319" s="9" t="n"/>
      <c r="AG319" s="9" t="n"/>
    </row>
    <row r="320">
      <c r="A320" s="13">
        <f>IF(ISBLANK(D320),"",ROW()-1)</f>
        <v/>
      </c>
      <c r="B320" s="14" t="n"/>
      <c r="C320" s="13">
        <f>IF(ISBLANK(D320),"",MID(K320,SEARCH("(",K320)+1,SEARCH(")",K320)-SEARCH("(",K320)-1)&amp;"-"&amp;MID(L320,SEARCH("(",L320)+1,SEARCH(")",L320)-SEARCH("(",L320)-1)&amp;"-"&amp;H320&amp;"-"&amp;TEXT(A320,"000")&amp;IF(ISBLANK(N320),"","-"&amp;SUBSTITUTE(N320," ","")))</f>
        <v/>
      </c>
      <c r="D320" s="9" t="n"/>
      <c r="E320" s="9" t="n"/>
      <c r="F320" s="9" t="n"/>
      <c r="G320" s="9" t="n"/>
      <c r="H320" s="13">
        <f>IF(ISBLANK(F320),"",IF(G320&lt;&gt;"",UPPER(TRIM(G320)),IF(ISNUMBER(SEARCH(" ",TRIM(F320))),UPPER(LEFT(TRIM(RIGHT(SUBSTITUTE(TRIM(F320)," ",REPT(" ",100)),100)),Settings!$B$9)),UPPER(LEFT(TRIM(F320),Settings!$B$9)))))</f>
        <v/>
      </c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15">
        <f>IF(ISBLANK(D320),"",IF(COUNTIFS(Circulation!$B$2:$B$500,A320,Circulation!$H$2:$H$500,"Active")&gt;0,"On Loan","Available"))</f>
        <v/>
      </c>
      <c r="AA320" s="9" t="n"/>
      <c r="AB320" s="9" t="n"/>
      <c r="AC320" s="9" t="n"/>
      <c r="AD320" s="9" t="n"/>
      <c r="AE320" s="9" t="n"/>
      <c r="AF320" s="9" t="n"/>
      <c r="AG320" s="9" t="n"/>
    </row>
    <row r="321">
      <c r="A321" s="13">
        <f>IF(ISBLANK(D321),"",ROW()-1)</f>
        <v/>
      </c>
      <c r="B321" s="14" t="n"/>
      <c r="C321" s="13">
        <f>IF(ISBLANK(D321),"",MID(K321,SEARCH("(",K321)+1,SEARCH(")",K321)-SEARCH("(",K321)-1)&amp;"-"&amp;MID(L321,SEARCH("(",L321)+1,SEARCH(")",L321)-SEARCH("(",L321)-1)&amp;"-"&amp;H321&amp;"-"&amp;TEXT(A321,"000")&amp;IF(ISBLANK(N321),"","-"&amp;SUBSTITUTE(N321," ","")))</f>
        <v/>
      </c>
      <c r="D321" s="9" t="n"/>
      <c r="E321" s="9" t="n"/>
      <c r="F321" s="9" t="n"/>
      <c r="G321" s="9" t="n"/>
      <c r="H321" s="13">
        <f>IF(ISBLANK(F321),"",IF(G321&lt;&gt;"",UPPER(TRIM(G321)),IF(ISNUMBER(SEARCH(" ",TRIM(F321))),UPPER(LEFT(TRIM(RIGHT(SUBSTITUTE(TRIM(F321)," ",REPT(" ",100)),100)),Settings!$B$9)),UPPER(LEFT(TRIM(F321),Settings!$B$9)))))</f>
        <v/>
      </c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15">
        <f>IF(ISBLANK(D321),"",IF(COUNTIFS(Circulation!$B$2:$B$500,A321,Circulation!$H$2:$H$500,"Active")&gt;0,"On Loan","Available"))</f>
        <v/>
      </c>
      <c r="AA321" s="9" t="n"/>
      <c r="AB321" s="9" t="n"/>
      <c r="AC321" s="9" t="n"/>
      <c r="AD321" s="9" t="n"/>
      <c r="AE321" s="9" t="n"/>
      <c r="AF321" s="9" t="n"/>
      <c r="AG321" s="9" t="n"/>
    </row>
    <row r="322">
      <c r="A322" s="13">
        <f>IF(ISBLANK(D322),"",ROW()-1)</f>
        <v/>
      </c>
      <c r="B322" s="14" t="n"/>
      <c r="C322" s="13">
        <f>IF(ISBLANK(D322),"",MID(K322,SEARCH("(",K322)+1,SEARCH(")",K322)-SEARCH("(",K322)-1)&amp;"-"&amp;MID(L322,SEARCH("(",L322)+1,SEARCH(")",L322)-SEARCH("(",L322)-1)&amp;"-"&amp;H322&amp;"-"&amp;TEXT(A322,"000")&amp;IF(ISBLANK(N322),"","-"&amp;SUBSTITUTE(N322," ","")))</f>
        <v/>
      </c>
      <c r="D322" s="9" t="n"/>
      <c r="E322" s="9" t="n"/>
      <c r="F322" s="9" t="n"/>
      <c r="G322" s="9" t="n"/>
      <c r="H322" s="13">
        <f>IF(ISBLANK(F322),"",IF(G322&lt;&gt;"",UPPER(TRIM(G322)),IF(ISNUMBER(SEARCH(" ",TRIM(F322))),UPPER(LEFT(TRIM(RIGHT(SUBSTITUTE(TRIM(F322)," ",REPT(" ",100)),100)),Settings!$B$9)),UPPER(LEFT(TRIM(F322),Settings!$B$9)))))</f>
        <v/>
      </c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15">
        <f>IF(ISBLANK(D322),"",IF(COUNTIFS(Circulation!$B$2:$B$500,A322,Circulation!$H$2:$H$500,"Active")&gt;0,"On Loan","Available"))</f>
        <v/>
      </c>
      <c r="AA322" s="9" t="n"/>
      <c r="AB322" s="9" t="n"/>
      <c r="AC322" s="9" t="n"/>
      <c r="AD322" s="9" t="n"/>
      <c r="AE322" s="9" t="n"/>
      <c r="AF322" s="9" t="n"/>
      <c r="AG322" s="9" t="n"/>
    </row>
    <row r="323">
      <c r="A323" s="13">
        <f>IF(ISBLANK(D323),"",ROW()-1)</f>
        <v/>
      </c>
      <c r="B323" s="14" t="n"/>
      <c r="C323" s="13">
        <f>IF(ISBLANK(D323),"",MID(K323,SEARCH("(",K323)+1,SEARCH(")",K323)-SEARCH("(",K323)-1)&amp;"-"&amp;MID(L323,SEARCH("(",L323)+1,SEARCH(")",L323)-SEARCH("(",L323)-1)&amp;"-"&amp;H323&amp;"-"&amp;TEXT(A323,"000")&amp;IF(ISBLANK(N323),"","-"&amp;SUBSTITUTE(N323," ","")))</f>
        <v/>
      </c>
      <c r="D323" s="9" t="n"/>
      <c r="E323" s="9" t="n"/>
      <c r="F323" s="9" t="n"/>
      <c r="G323" s="9" t="n"/>
      <c r="H323" s="13">
        <f>IF(ISBLANK(F323),"",IF(G323&lt;&gt;"",UPPER(TRIM(G323)),IF(ISNUMBER(SEARCH(" ",TRIM(F323))),UPPER(LEFT(TRIM(RIGHT(SUBSTITUTE(TRIM(F323)," ",REPT(" ",100)),100)),Settings!$B$9)),UPPER(LEFT(TRIM(F323),Settings!$B$9)))))</f>
        <v/>
      </c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15">
        <f>IF(ISBLANK(D323),"",IF(COUNTIFS(Circulation!$B$2:$B$500,A323,Circulation!$H$2:$H$500,"Active")&gt;0,"On Loan","Available"))</f>
        <v/>
      </c>
      <c r="AA323" s="9" t="n"/>
      <c r="AB323" s="9" t="n"/>
      <c r="AC323" s="9" t="n"/>
      <c r="AD323" s="9" t="n"/>
      <c r="AE323" s="9" t="n"/>
      <c r="AF323" s="9" t="n"/>
      <c r="AG323" s="9" t="n"/>
    </row>
    <row r="324">
      <c r="A324" s="13">
        <f>IF(ISBLANK(D324),"",ROW()-1)</f>
        <v/>
      </c>
      <c r="B324" s="14" t="n"/>
      <c r="C324" s="13">
        <f>IF(ISBLANK(D324),"",MID(K324,SEARCH("(",K324)+1,SEARCH(")",K324)-SEARCH("(",K324)-1)&amp;"-"&amp;MID(L324,SEARCH("(",L324)+1,SEARCH(")",L324)-SEARCH("(",L324)-1)&amp;"-"&amp;H324&amp;"-"&amp;TEXT(A324,"000")&amp;IF(ISBLANK(N324),"","-"&amp;SUBSTITUTE(N324," ","")))</f>
        <v/>
      </c>
      <c r="D324" s="9" t="n"/>
      <c r="E324" s="9" t="n"/>
      <c r="F324" s="9" t="n"/>
      <c r="G324" s="9" t="n"/>
      <c r="H324" s="13">
        <f>IF(ISBLANK(F324),"",IF(G324&lt;&gt;"",UPPER(TRIM(G324)),IF(ISNUMBER(SEARCH(" ",TRIM(F324))),UPPER(LEFT(TRIM(RIGHT(SUBSTITUTE(TRIM(F324)," ",REPT(" ",100)),100)),Settings!$B$9)),UPPER(LEFT(TRIM(F324),Settings!$B$9)))))</f>
        <v/>
      </c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15">
        <f>IF(ISBLANK(D324),"",IF(COUNTIFS(Circulation!$B$2:$B$500,A324,Circulation!$H$2:$H$500,"Active")&gt;0,"On Loan","Available"))</f>
        <v/>
      </c>
      <c r="AA324" s="9" t="n"/>
      <c r="AB324" s="9" t="n"/>
      <c r="AC324" s="9" t="n"/>
      <c r="AD324" s="9" t="n"/>
      <c r="AE324" s="9" t="n"/>
      <c r="AF324" s="9" t="n"/>
      <c r="AG324" s="9" t="n"/>
    </row>
    <row r="325">
      <c r="A325" s="13">
        <f>IF(ISBLANK(D325),"",ROW()-1)</f>
        <v/>
      </c>
      <c r="B325" s="14" t="n"/>
      <c r="C325" s="13">
        <f>IF(ISBLANK(D325),"",MID(K325,SEARCH("(",K325)+1,SEARCH(")",K325)-SEARCH("(",K325)-1)&amp;"-"&amp;MID(L325,SEARCH("(",L325)+1,SEARCH(")",L325)-SEARCH("(",L325)-1)&amp;"-"&amp;H325&amp;"-"&amp;TEXT(A325,"000")&amp;IF(ISBLANK(N325),"","-"&amp;SUBSTITUTE(N325," ","")))</f>
        <v/>
      </c>
      <c r="D325" s="9" t="n"/>
      <c r="E325" s="9" t="n"/>
      <c r="F325" s="9" t="n"/>
      <c r="G325" s="9" t="n"/>
      <c r="H325" s="13">
        <f>IF(ISBLANK(F325),"",IF(G325&lt;&gt;"",UPPER(TRIM(G325)),IF(ISNUMBER(SEARCH(" ",TRIM(F325))),UPPER(LEFT(TRIM(RIGHT(SUBSTITUTE(TRIM(F325)," ",REPT(" ",100)),100)),Settings!$B$9)),UPPER(LEFT(TRIM(F325),Settings!$B$9)))))</f>
        <v/>
      </c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15">
        <f>IF(ISBLANK(D325),"",IF(COUNTIFS(Circulation!$B$2:$B$500,A325,Circulation!$H$2:$H$500,"Active")&gt;0,"On Loan","Available"))</f>
        <v/>
      </c>
      <c r="AA325" s="9" t="n"/>
      <c r="AB325" s="9" t="n"/>
      <c r="AC325" s="9" t="n"/>
      <c r="AD325" s="9" t="n"/>
      <c r="AE325" s="9" t="n"/>
      <c r="AF325" s="9" t="n"/>
      <c r="AG325" s="9" t="n"/>
    </row>
    <row r="326">
      <c r="A326" s="13">
        <f>IF(ISBLANK(D326),"",ROW()-1)</f>
        <v/>
      </c>
      <c r="B326" s="14" t="n"/>
      <c r="C326" s="13">
        <f>IF(ISBLANK(D326),"",MID(K326,SEARCH("(",K326)+1,SEARCH(")",K326)-SEARCH("(",K326)-1)&amp;"-"&amp;MID(L326,SEARCH("(",L326)+1,SEARCH(")",L326)-SEARCH("(",L326)-1)&amp;"-"&amp;H326&amp;"-"&amp;TEXT(A326,"000")&amp;IF(ISBLANK(N326),"","-"&amp;SUBSTITUTE(N326," ","")))</f>
        <v/>
      </c>
      <c r="D326" s="9" t="n"/>
      <c r="E326" s="9" t="n"/>
      <c r="F326" s="9" t="n"/>
      <c r="G326" s="9" t="n"/>
      <c r="H326" s="13">
        <f>IF(ISBLANK(F326),"",IF(G326&lt;&gt;"",UPPER(TRIM(G326)),IF(ISNUMBER(SEARCH(" ",TRIM(F326))),UPPER(LEFT(TRIM(RIGHT(SUBSTITUTE(TRIM(F326)," ",REPT(" ",100)),100)),Settings!$B$9)),UPPER(LEFT(TRIM(F326),Settings!$B$9)))))</f>
        <v/>
      </c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15">
        <f>IF(ISBLANK(D326),"",IF(COUNTIFS(Circulation!$B$2:$B$500,A326,Circulation!$H$2:$H$500,"Active")&gt;0,"On Loan","Available"))</f>
        <v/>
      </c>
      <c r="AA326" s="9" t="n"/>
      <c r="AB326" s="9" t="n"/>
      <c r="AC326" s="9" t="n"/>
      <c r="AD326" s="9" t="n"/>
      <c r="AE326" s="9" t="n"/>
      <c r="AF326" s="9" t="n"/>
      <c r="AG326" s="9" t="n"/>
    </row>
    <row r="327">
      <c r="A327" s="13">
        <f>IF(ISBLANK(D327),"",ROW()-1)</f>
        <v/>
      </c>
      <c r="B327" s="14" t="n"/>
      <c r="C327" s="13">
        <f>IF(ISBLANK(D327),"",MID(K327,SEARCH("(",K327)+1,SEARCH(")",K327)-SEARCH("(",K327)-1)&amp;"-"&amp;MID(L327,SEARCH("(",L327)+1,SEARCH(")",L327)-SEARCH("(",L327)-1)&amp;"-"&amp;H327&amp;"-"&amp;TEXT(A327,"000")&amp;IF(ISBLANK(N327),"","-"&amp;SUBSTITUTE(N327," ","")))</f>
        <v/>
      </c>
      <c r="D327" s="9" t="n"/>
      <c r="E327" s="9" t="n"/>
      <c r="F327" s="9" t="n"/>
      <c r="G327" s="9" t="n"/>
      <c r="H327" s="13">
        <f>IF(ISBLANK(F327),"",IF(G327&lt;&gt;"",UPPER(TRIM(G327)),IF(ISNUMBER(SEARCH(" ",TRIM(F327))),UPPER(LEFT(TRIM(RIGHT(SUBSTITUTE(TRIM(F327)," ",REPT(" ",100)),100)),Settings!$B$9)),UPPER(LEFT(TRIM(F327),Settings!$B$9)))))</f>
        <v/>
      </c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15">
        <f>IF(ISBLANK(D327),"",IF(COUNTIFS(Circulation!$B$2:$B$500,A327,Circulation!$H$2:$H$500,"Active")&gt;0,"On Loan","Available"))</f>
        <v/>
      </c>
      <c r="AA327" s="9" t="n"/>
      <c r="AB327" s="9" t="n"/>
      <c r="AC327" s="9" t="n"/>
      <c r="AD327" s="9" t="n"/>
      <c r="AE327" s="9" t="n"/>
      <c r="AF327" s="9" t="n"/>
      <c r="AG327" s="9" t="n"/>
    </row>
    <row r="328">
      <c r="A328" s="13">
        <f>IF(ISBLANK(D328),"",ROW()-1)</f>
        <v/>
      </c>
      <c r="B328" s="14" t="n"/>
      <c r="C328" s="13">
        <f>IF(ISBLANK(D328),"",MID(K328,SEARCH("(",K328)+1,SEARCH(")",K328)-SEARCH("(",K328)-1)&amp;"-"&amp;MID(L328,SEARCH("(",L328)+1,SEARCH(")",L328)-SEARCH("(",L328)-1)&amp;"-"&amp;H328&amp;"-"&amp;TEXT(A328,"000")&amp;IF(ISBLANK(N328),"","-"&amp;SUBSTITUTE(N328," ","")))</f>
        <v/>
      </c>
      <c r="D328" s="9" t="n"/>
      <c r="E328" s="9" t="n"/>
      <c r="F328" s="9" t="n"/>
      <c r="G328" s="9" t="n"/>
      <c r="H328" s="13">
        <f>IF(ISBLANK(F328),"",IF(G328&lt;&gt;"",UPPER(TRIM(G328)),IF(ISNUMBER(SEARCH(" ",TRIM(F328))),UPPER(LEFT(TRIM(RIGHT(SUBSTITUTE(TRIM(F328)," ",REPT(" ",100)),100)),Settings!$B$9)),UPPER(LEFT(TRIM(F328),Settings!$B$9)))))</f>
        <v/>
      </c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15">
        <f>IF(ISBLANK(D328),"",IF(COUNTIFS(Circulation!$B$2:$B$500,A328,Circulation!$H$2:$H$500,"Active")&gt;0,"On Loan","Available"))</f>
        <v/>
      </c>
      <c r="AA328" s="9" t="n"/>
      <c r="AB328" s="9" t="n"/>
      <c r="AC328" s="9" t="n"/>
      <c r="AD328" s="9" t="n"/>
      <c r="AE328" s="9" t="n"/>
      <c r="AF328" s="9" t="n"/>
      <c r="AG328" s="9" t="n"/>
    </row>
    <row r="329">
      <c r="A329" s="13">
        <f>IF(ISBLANK(D329),"",ROW()-1)</f>
        <v/>
      </c>
      <c r="B329" s="14" t="n"/>
      <c r="C329" s="13">
        <f>IF(ISBLANK(D329),"",MID(K329,SEARCH("(",K329)+1,SEARCH(")",K329)-SEARCH("(",K329)-1)&amp;"-"&amp;MID(L329,SEARCH("(",L329)+1,SEARCH(")",L329)-SEARCH("(",L329)-1)&amp;"-"&amp;H329&amp;"-"&amp;TEXT(A329,"000")&amp;IF(ISBLANK(N329),"","-"&amp;SUBSTITUTE(N329," ","")))</f>
        <v/>
      </c>
      <c r="D329" s="9" t="n"/>
      <c r="E329" s="9" t="n"/>
      <c r="F329" s="9" t="n"/>
      <c r="G329" s="9" t="n"/>
      <c r="H329" s="13">
        <f>IF(ISBLANK(F329),"",IF(G329&lt;&gt;"",UPPER(TRIM(G329)),IF(ISNUMBER(SEARCH(" ",TRIM(F329))),UPPER(LEFT(TRIM(RIGHT(SUBSTITUTE(TRIM(F329)," ",REPT(" ",100)),100)),Settings!$B$9)),UPPER(LEFT(TRIM(F329),Settings!$B$9)))))</f>
        <v/>
      </c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15">
        <f>IF(ISBLANK(D329),"",IF(COUNTIFS(Circulation!$B$2:$B$500,A329,Circulation!$H$2:$H$500,"Active")&gt;0,"On Loan","Available"))</f>
        <v/>
      </c>
      <c r="AA329" s="9" t="n"/>
      <c r="AB329" s="9" t="n"/>
      <c r="AC329" s="9" t="n"/>
      <c r="AD329" s="9" t="n"/>
      <c r="AE329" s="9" t="n"/>
      <c r="AF329" s="9" t="n"/>
      <c r="AG329" s="9" t="n"/>
    </row>
    <row r="330">
      <c r="A330" s="13">
        <f>IF(ISBLANK(D330),"",ROW()-1)</f>
        <v/>
      </c>
      <c r="B330" s="14" t="n"/>
      <c r="C330" s="13">
        <f>IF(ISBLANK(D330),"",MID(K330,SEARCH("(",K330)+1,SEARCH(")",K330)-SEARCH("(",K330)-1)&amp;"-"&amp;MID(L330,SEARCH("(",L330)+1,SEARCH(")",L330)-SEARCH("(",L330)-1)&amp;"-"&amp;H330&amp;"-"&amp;TEXT(A330,"000")&amp;IF(ISBLANK(N330),"","-"&amp;SUBSTITUTE(N330," ","")))</f>
        <v/>
      </c>
      <c r="D330" s="9" t="n"/>
      <c r="E330" s="9" t="n"/>
      <c r="F330" s="9" t="n"/>
      <c r="G330" s="9" t="n"/>
      <c r="H330" s="13">
        <f>IF(ISBLANK(F330),"",IF(G330&lt;&gt;"",UPPER(TRIM(G330)),IF(ISNUMBER(SEARCH(" ",TRIM(F330))),UPPER(LEFT(TRIM(RIGHT(SUBSTITUTE(TRIM(F330)," ",REPT(" ",100)),100)),Settings!$B$9)),UPPER(LEFT(TRIM(F330),Settings!$B$9)))))</f>
        <v/>
      </c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15">
        <f>IF(ISBLANK(D330),"",IF(COUNTIFS(Circulation!$B$2:$B$500,A330,Circulation!$H$2:$H$500,"Active")&gt;0,"On Loan","Available"))</f>
        <v/>
      </c>
      <c r="AA330" s="9" t="n"/>
      <c r="AB330" s="9" t="n"/>
      <c r="AC330" s="9" t="n"/>
      <c r="AD330" s="9" t="n"/>
      <c r="AE330" s="9" t="n"/>
      <c r="AF330" s="9" t="n"/>
      <c r="AG330" s="9" t="n"/>
    </row>
    <row r="331">
      <c r="A331" s="13">
        <f>IF(ISBLANK(D331),"",ROW()-1)</f>
        <v/>
      </c>
      <c r="B331" s="14" t="n"/>
      <c r="C331" s="13">
        <f>IF(ISBLANK(D331),"",MID(K331,SEARCH("(",K331)+1,SEARCH(")",K331)-SEARCH("(",K331)-1)&amp;"-"&amp;MID(L331,SEARCH("(",L331)+1,SEARCH(")",L331)-SEARCH("(",L331)-1)&amp;"-"&amp;H331&amp;"-"&amp;TEXT(A331,"000")&amp;IF(ISBLANK(N331),"","-"&amp;SUBSTITUTE(N331," ","")))</f>
        <v/>
      </c>
      <c r="D331" s="9" t="n"/>
      <c r="E331" s="9" t="n"/>
      <c r="F331" s="9" t="n"/>
      <c r="G331" s="9" t="n"/>
      <c r="H331" s="13">
        <f>IF(ISBLANK(F331),"",IF(G331&lt;&gt;"",UPPER(TRIM(G331)),IF(ISNUMBER(SEARCH(" ",TRIM(F331))),UPPER(LEFT(TRIM(RIGHT(SUBSTITUTE(TRIM(F331)," ",REPT(" ",100)),100)),Settings!$B$9)),UPPER(LEFT(TRIM(F331),Settings!$B$9)))))</f>
        <v/>
      </c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15">
        <f>IF(ISBLANK(D331),"",IF(COUNTIFS(Circulation!$B$2:$B$500,A331,Circulation!$H$2:$H$500,"Active")&gt;0,"On Loan","Available"))</f>
        <v/>
      </c>
      <c r="AA331" s="9" t="n"/>
      <c r="AB331" s="9" t="n"/>
      <c r="AC331" s="9" t="n"/>
      <c r="AD331" s="9" t="n"/>
      <c r="AE331" s="9" t="n"/>
      <c r="AF331" s="9" t="n"/>
      <c r="AG331" s="9" t="n"/>
    </row>
    <row r="332">
      <c r="A332" s="13">
        <f>IF(ISBLANK(D332),"",ROW()-1)</f>
        <v/>
      </c>
      <c r="B332" s="14" t="n"/>
      <c r="C332" s="13">
        <f>IF(ISBLANK(D332),"",MID(K332,SEARCH("(",K332)+1,SEARCH(")",K332)-SEARCH("(",K332)-1)&amp;"-"&amp;MID(L332,SEARCH("(",L332)+1,SEARCH(")",L332)-SEARCH("(",L332)-1)&amp;"-"&amp;H332&amp;"-"&amp;TEXT(A332,"000")&amp;IF(ISBLANK(N332),"","-"&amp;SUBSTITUTE(N332," ","")))</f>
        <v/>
      </c>
      <c r="D332" s="9" t="n"/>
      <c r="E332" s="9" t="n"/>
      <c r="F332" s="9" t="n"/>
      <c r="G332" s="9" t="n"/>
      <c r="H332" s="13">
        <f>IF(ISBLANK(F332),"",IF(G332&lt;&gt;"",UPPER(TRIM(G332)),IF(ISNUMBER(SEARCH(" ",TRIM(F332))),UPPER(LEFT(TRIM(RIGHT(SUBSTITUTE(TRIM(F332)," ",REPT(" ",100)),100)),Settings!$B$9)),UPPER(LEFT(TRIM(F332),Settings!$B$9)))))</f>
        <v/>
      </c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15">
        <f>IF(ISBLANK(D332),"",IF(COUNTIFS(Circulation!$B$2:$B$500,A332,Circulation!$H$2:$H$500,"Active")&gt;0,"On Loan","Available"))</f>
        <v/>
      </c>
      <c r="AA332" s="9" t="n"/>
      <c r="AB332" s="9" t="n"/>
      <c r="AC332" s="9" t="n"/>
      <c r="AD332" s="9" t="n"/>
      <c r="AE332" s="9" t="n"/>
      <c r="AF332" s="9" t="n"/>
      <c r="AG332" s="9" t="n"/>
    </row>
    <row r="333">
      <c r="A333" s="13">
        <f>IF(ISBLANK(D333),"",ROW()-1)</f>
        <v/>
      </c>
      <c r="B333" s="14" t="n"/>
      <c r="C333" s="13">
        <f>IF(ISBLANK(D333),"",MID(K333,SEARCH("(",K333)+1,SEARCH(")",K333)-SEARCH("(",K333)-1)&amp;"-"&amp;MID(L333,SEARCH("(",L333)+1,SEARCH(")",L333)-SEARCH("(",L333)-1)&amp;"-"&amp;H333&amp;"-"&amp;TEXT(A333,"000")&amp;IF(ISBLANK(N333),"","-"&amp;SUBSTITUTE(N333," ","")))</f>
        <v/>
      </c>
      <c r="D333" s="9" t="n"/>
      <c r="E333" s="9" t="n"/>
      <c r="F333" s="9" t="n"/>
      <c r="G333" s="9" t="n"/>
      <c r="H333" s="13">
        <f>IF(ISBLANK(F333),"",IF(G333&lt;&gt;"",UPPER(TRIM(G333)),IF(ISNUMBER(SEARCH(" ",TRIM(F333))),UPPER(LEFT(TRIM(RIGHT(SUBSTITUTE(TRIM(F333)," ",REPT(" ",100)),100)),Settings!$B$9)),UPPER(LEFT(TRIM(F333),Settings!$B$9)))))</f>
        <v/>
      </c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15">
        <f>IF(ISBLANK(D333),"",IF(COUNTIFS(Circulation!$B$2:$B$500,A333,Circulation!$H$2:$H$500,"Active")&gt;0,"On Loan","Available"))</f>
        <v/>
      </c>
      <c r="AA333" s="9" t="n"/>
      <c r="AB333" s="9" t="n"/>
      <c r="AC333" s="9" t="n"/>
      <c r="AD333" s="9" t="n"/>
      <c r="AE333" s="9" t="n"/>
      <c r="AF333" s="9" t="n"/>
      <c r="AG333" s="9" t="n"/>
    </row>
    <row r="334">
      <c r="A334" s="13">
        <f>IF(ISBLANK(D334),"",ROW()-1)</f>
        <v/>
      </c>
      <c r="B334" s="14" t="n"/>
      <c r="C334" s="13">
        <f>IF(ISBLANK(D334),"",MID(K334,SEARCH("(",K334)+1,SEARCH(")",K334)-SEARCH("(",K334)-1)&amp;"-"&amp;MID(L334,SEARCH("(",L334)+1,SEARCH(")",L334)-SEARCH("(",L334)-1)&amp;"-"&amp;H334&amp;"-"&amp;TEXT(A334,"000")&amp;IF(ISBLANK(N334),"","-"&amp;SUBSTITUTE(N334," ","")))</f>
        <v/>
      </c>
      <c r="D334" s="9" t="n"/>
      <c r="E334" s="9" t="n"/>
      <c r="F334" s="9" t="n"/>
      <c r="G334" s="9" t="n"/>
      <c r="H334" s="13">
        <f>IF(ISBLANK(F334),"",IF(G334&lt;&gt;"",UPPER(TRIM(G334)),IF(ISNUMBER(SEARCH(" ",TRIM(F334))),UPPER(LEFT(TRIM(RIGHT(SUBSTITUTE(TRIM(F334)," ",REPT(" ",100)),100)),Settings!$B$9)),UPPER(LEFT(TRIM(F334),Settings!$B$9)))))</f>
        <v/>
      </c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15">
        <f>IF(ISBLANK(D334),"",IF(COUNTIFS(Circulation!$B$2:$B$500,A334,Circulation!$H$2:$H$500,"Active")&gt;0,"On Loan","Available"))</f>
        <v/>
      </c>
      <c r="AA334" s="9" t="n"/>
      <c r="AB334" s="9" t="n"/>
      <c r="AC334" s="9" t="n"/>
      <c r="AD334" s="9" t="n"/>
      <c r="AE334" s="9" t="n"/>
      <c r="AF334" s="9" t="n"/>
      <c r="AG334" s="9" t="n"/>
    </row>
    <row r="335">
      <c r="A335" s="13">
        <f>IF(ISBLANK(D335),"",ROW()-1)</f>
        <v/>
      </c>
      <c r="B335" s="14" t="n"/>
      <c r="C335" s="13">
        <f>IF(ISBLANK(D335),"",MID(K335,SEARCH("(",K335)+1,SEARCH(")",K335)-SEARCH("(",K335)-1)&amp;"-"&amp;MID(L335,SEARCH("(",L335)+1,SEARCH(")",L335)-SEARCH("(",L335)-1)&amp;"-"&amp;H335&amp;"-"&amp;TEXT(A335,"000")&amp;IF(ISBLANK(N335),"","-"&amp;SUBSTITUTE(N335," ","")))</f>
        <v/>
      </c>
      <c r="D335" s="9" t="n"/>
      <c r="E335" s="9" t="n"/>
      <c r="F335" s="9" t="n"/>
      <c r="G335" s="9" t="n"/>
      <c r="H335" s="13">
        <f>IF(ISBLANK(F335),"",IF(G335&lt;&gt;"",UPPER(TRIM(G335)),IF(ISNUMBER(SEARCH(" ",TRIM(F335))),UPPER(LEFT(TRIM(RIGHT(SUBSTITUTE(TRIM(F335)," ",REPT(" ",100)),100)),Settings!$B$9)),UPPER(LEFT(TRIM(F335),Settings!$B$9)))))</f>
        <v/>
      </c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15">
        <f>IF(ISBLANK(D335),"",IF(COUNTIFS(Circulation!$B$2:$B$500,A335,Circulation!$H$2:$H$500,"Active")&gt;0,"On Loan","Available"))</f>
        <v/>
      </c>
      <c r="AA335" s="9" t="n"/>
      <c r="AB335" s="9" t="n"/>
      <c r="AC335" s="9" t="n"/>
      <c r="AD335" s="9" t="n"/>
      <c r="AE335" s="9" t="n"/>
      <c r="AF335" s="9" t="n"/>
      <c r="AG335" s="9" t="n"/>
    </row>
    <row r="336">
      <c r="A336" s="13">
        <f>IF(ISBLANK(D336),"",ROW()-1)</f>
        <v/>
      </c>
      <c r="B336" s="14" t="n"/>
      <c r="C336" s="13">
        <f>IF(ISBLANK(D336),"",MID(K336,SEARCH("(",K336)+1,SEARCH(")",K336)-SEARCH("(",K336)-1)&amp;"-"&amp;MID(L336,SEARCH("(",L336)+1,SEARCH(")",L336)-SEARCH("(",L336)-1)&amp;"-"&amp;H336&amp;"-"&amp;TEXT(A336,"000")&amp;IF(ISBLANK(N336),"","-"&amp;SUBSTITUTE(N336," ","")))</f>
        <v/>
      </c>
      <c r="D336" s="9" t="n"/>
      <c r="E336" s="9" t="n"/>
      <c r="F336" s="9" t="n"/>
      <c r="G336" s="9" t="n"/>
      <c r="H336" s="13">
        <f>IF(ISBLANK(F336),"",IF(G336&lt;&gt;"",UPPER(TRIM(G336)),IF(ISNUMBER(SEARCH(" ",TRIM(F336))),UPPER(LEFT(TRIM(RIGHT(SUBSTITUTE(TRIM(F336)," ",REPT(" ",100)),100)),Settings!$B$9)),UPPER(LEFT(TRIM(F336),Settings!$B$9)))))</f>
        <v/>
      </c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15">
        <f>IF(ISBLANK(D336),"",IF(COUNTIFS(Circulation!$B$2:$B$500,A336,Circulation!$H$2:$H$500,"Active")&gt;0,"On Loan","Available"))</f>
        <v/>
      </c>
      <c r="AA336" s="9" t="n"/>
      <c r="AB336" s="9" t="n"/>
      <c r="AC336" s="9" t="n"/>
      <c r="AD336" s="9" t="n"/>
      <c r="AE336" s="9" t="n"/>
      <c r="AF336" s="9" t="n"/>
      <c r="AG336" s="9" t="n"/>
    </row>
    <row r="337">
      <c r="A337" s="13">
        <f>IF(ISBLANK(D337),"",ROW()-1)</f>
        <v/>
      </c>
      <c r="B337" s="14" t="n"/>
      <c r="C337" s="13">
        <f>IF(ISBLANK(D337),"",MID(K337,SEARCH("(",K337)+1,SEARCH(")",K337)-SEARCH("(",K337)-1)&amp;"-"&amp;MID(L337,SEARCH("(",L337)+1,SEARCH(")",L337)-SEARCH("(",L337)-1)&amp;"-"&amp;H337&amp;"-"&amp;TEXT(A337,"000")&amp;IF(ISBLANK(N337),"","-"&amp;SUBSTITUTE(N337," ","")))</f>
        <v/>
      </c>
      <c r="D337" s="9" t="n"/>
      <c r="E337" s="9" t="n"/>
      <c r="F337" s="9" t="n"/>
      <c r="G337" s="9" t="n"/>
      <c r="H337" s="13">
        <f>IF(ISBLANK(F337),"",IF(G337&lt;&gt;"",UPPER(TRIM(G337)),IF(ISNUMBER(SEARCH(" ",TRIM(F337))),UPPER(LEFT(TRIM(RIGHT(SUBSTITUTE(TRIM(F337)," ",REPT(" ",100)),100)),Settings!$B$9)),UPPER(LEFT(TRIM(F337),Settings!$B$9)))))</f>
        <v/>
      </c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15">
        <f>IF(ISBLANK(D337),"",IF(COUNTIFS(Circulation!$B$2:$B$500,A337,Circulation!$H$2:$H$500,"Active")&gt;0,"On Loan","Available"))</f>
        <v/>
      </c>
      <c r="AA337" s="9" t="n"/>
      <c r="AB337" s="9" t="n"/>
      <c r="AC337" s="9" t="n"/>
      <c r="AD337" s="9" t="n"/>
      <c r="AE337" s="9" t="n"/>
      <c r="AF337" s="9" t="n"/>
      <c r="AG337" s="9" t="n"/>
    </row>
    <row r="338">
      <c r="A338" s="13">
        <f>IF(ISBLANK(D338),"",ROW()-1)</f>
        <v/>
      </c>
      <c r="B338" s="14" t="n"/>
      <c r="C338" s="13">
        <f>IF(ISBLANK(D338),"",MID(K338,SEARCH("(",K338)+1,SEARCH(")",K338)-SEARCH("(",K338)-1)&amp;"-"&amp;MID(L338,SEARCH("(",L338)+1,SEARCH(")",L338)-SEARCH("(",L338)-1)&amp;"-"&amp;H338&amp;"-"&amp;TEXT(A338,"000")&amp;IF(ISBLANK(N338),"","-"&amp;SUBSTITUTE(N338," ","")))</f>
        <v/>
      </c>
      <c r="D338" s="9" t="n"/>
      <c r="E338" s="9" t="n"/>
      <c r="F338" s="9" t="n"/>
      <c r="G338" s="9" t="n"/>
      <c r="H338" s="13">
        <f>IF(ISBLANK(F338),"",IF(G338&lt;&gt;"",UPPER(TRIM(G338)),IF(ISNUMBER(SEARCH(" ",TRIM(F338))),UPPER(LEFT(TRIM(RIGHT(SUBSTITUTE(TRIM(F338)," ",REPT(" ",100)),100)),Settings!$B$9)),UPPER(LEFT(TRIM(F338),Settings!$B$9)))))</f>
        <v/>
      </c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15">
        <f>IF(ISBLANK(D338),"",IF(COUNTIFS(Circulation!$B$2:$B$500,A338,Circulation!$H$2:$H$500,"Active")&gt;0,"On Loan","Available"))</f>
        <v/>
      </c>
      <c r="AA338" s="9" t="n"/>
      <c r="AB338" s="9" t="n"/>
      <c r="AC338" s="9" t="n"/>
      <c r="AD338" s="9" t="n"/>
      <c r="AE338" s="9" t="n"/>
      <c r="AF338" s="9" t="n"/>
      <c r="AG338" s="9" t="n"/>
    </row>
    <row r="339">
      <c r="A339" s="13">
        <f>IF(ISBLANK(D339),"",ROW()-1)</f>
        <v/>
      </c>
      <c r="B339" s="14" t="n"/>
      <c r="C339" s="13">
        <f>IF(ISBLANK(D339),"",MID(K339,SEARCH("(",K339)+1,SEARCH(")",K339)-SEARCH("(",K339)-1)&amp;"-"&amp;MID(L339,SEARCH("(",L339)+1,SEARCH(")",L339)-SEARCH("(",L339)-1)&amp;"-"&amp;H339&amp;"-"&amp;TEXT(A339,"000")&amp;IF(ISBLANK(N339),"","-"&amp;SUBSTITUTE(N339," ","")))</f>
        <v/>
      </c>
      <c r="D339" s="9" t="n"/>
      <c r="E339" s="9" t="n"/>
      <c r="F339" s="9" t="n"/>
      <c r="G339" s="9" t="n"/>
      <c r="H339" s="13">
        <f>IF(ISBLANK(F339),"",IF(G339&lt;&gt;"",UPPER(TRIM(G339)),IF(ISNUMBER(SEARCH(" ",TRIM(F339))),UPPER(LEFT(TRIM(RIGHT(SUBSTITUTE(TRIM(F339)," ",REPT(" ",100)),100)),Settings!$B$9)),UPPER(LEFT(TRIM(F339),Settings!$B$9)))))</f>
        <v/>
      </c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15">
        <f>IF(ISBLANK(D339),"",IF(COUNTIFS(Circulation!$B$2:$B$500,A339,Circulation!$H$2:$H$500,"Active")&gt;0,"On Loan","Available"))</f>
        <v/>
      </c>
      <c r="AA339" s="9" t="n"/>
      <c r="AB339" s="9" t="n"/>
      <c r="AC339" s="9" t="n"/>
      <c r="AD339" s="9" t="n"/>
      <c r="AE339" s="9" t="n"/>
      <c r="AF339" s="9" t="n"/>
      <c r="AG339" s="9" t="n"/>
    </row>
    <row r="340">
      <c r="A340" s="13">
        <f>IF(ISBLANK(D340),"",ROW()-1)</f>
        <v/>
      </c>
      <c r="B340" s="14" t="n"/>
      <c r="C340" s="13">
        <f>IF(ISBLANK(D340),"",MID(K340,SEARCH("(",K340)+1,SEARCH(")",K340)-SEARCH("(",K340)-1)&amp;"-"&amp;MID(L340,SEARCH("(",L340)+1,SEARCH(")",L340)-SEARCH("(",L340)-1)&amp;"-"&amp;H340&amp;"-"&amp;TEXT(A340,"000")&amp;IF(ISBLANK(N340),"","-"&amp;SUBSTITUTE(N340," ","")))</f>
        <v/>
      </c>
      <c r="D340" s="9" t="n"/>
      <c r="E340" s="9" t="n"/>
      <c r="F340" s="9" t="n"/>
      <c r="G340" s="9" t="n"/>
      <c r="H340" s="13">
        <f>IF(ISBLANK(F340),"",IF(G340&lt;&gt;"",UPPER(TRIM(G340)),IF(ISNUMBER(SEARCH(" ",TRIM(F340))),UPPER(LEFT(TRIM(RIGHT(SUBSTITUTE(TRIM(F340)," ",REPT(" ",100)),100)),Settings!$B$9)),UPPER(LEFT(TRIM(F340),Settings!$B$9)))))</f>
        <v/>
      </c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15">
        <f>IF(ISBLANK(D340),"",IF(COUNTIFS(Circulation!$B$2:$B$500,A340,Circulation!$H$2:$H$500,"Active")&gt;0,"On Loan","Available"))</f>
        <v/>
      </c>
      <c r="AA340" s="9" t="n"/>
      <c r="AB340" s="9" t="n"/>
      <c r="AC340" s="9" t="n"/>
      <c r="AD340" s="9" t="n"/>
      <c r="AE340" s="9" t="n"/>
      <c r="AF340" s="9" t="n"/>
      <c r="AG340" s="9" t="n"/>
    </row>
    <row r="341">
      <c r="A341" s="13">
        <f>IF(ISBLANK(D341),"",ROW()-1)</f>
        <v/>
      </c>
      <c r="B341" s="14" t="n"/>
      <c r="C341" s="13">
        <f>IF(ISBLANK(D341),"",MID(K341,SEARCH("(",K341)+1,SEARCH(")",K341)-SEARCH("(",K341)-1)&amp;"-"&amp;MID(L341,SEARCH("(",L341)+1,SEARCH(")",L341)-SEARCH("(",L341)-1)&amp;"-"&amp;H341&amp;"-"&amp;TEXT(A341,"000")&amp;IF(ISBLANK(N341),"","-"&amp;SUBSTITUTE(N341," ","")))</f>
        <v/>
      </c>
      <c r="D341" s="9" t="n"/>
      <c r="E341" s="9" t="n"/>
      <c r="F341" s="9" t="n"/>
      <c r="G341" s="9" t="n"/>
      <c r="H341" s="13">
        <f>IF(ISBLANK(F341),"",IF(G341&lt;&gt;"",UPPER(TRIM(G341)),IF(ISNUMBER(SEARCH(" ",TRIM(F341))),UPPER(LEFT(TRIM(RIGHT(SUBSTITUTE(TRIM(F341)," ",REPT(" ",100)),100)),Settings!$B$9)),UPPER(LEFT(TRIM(F341),Settings!$B$9)))))</f>
        <v/>
      </c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15">
        <f>IF(ISBLANK(D341),"",IF(COUNTIFS(Circulation!$B$2:$B$500,A341,Circulation!$H$2:$H$500,"Active")&gt;0,"On Loan","Available"))</f>
        <v/>
      </c>
      <c r="AA341" s="9" t="n"/>
      <c r="AB341" s="9" t="n"/>
      <c r="AC341" s="9" t="n"/>
      <c r="AD341" s="9" t="n"/>
      <c r="AE341" s="9" t="n"/>
      <c r="AF341" s="9" t="n"/>
      <c r="AG341" s="9" t="n"/>
    </row>
    <row r="342">
      <c r="A342" s="13">
        <f>IF(ISBLANK(D342),"",ROW()-1)</f>
        <v/>
      </c>
      <c r="B342" s="14" t="n"/>
      <c r="C342" s="13">
        <f>IF(ISBLANK(D342),"",MID(K342,SEARCH("(",K342)+1,SEARCH(")",K342)-SEARCH("(",K342)-1)&amp;"-"&amp;MID(L342,SEARCH("(",L342)+1,SEARCH(")",L342)-SEARCH("(",L342)-1)&amp;"-"&amp;H342&amp;"-"&amp;TEXT(A342,"000")&amp;IF(ISBLANK(N342),"","-"&amp;SUBSTITUTE(N342," ","")))</f>
        <v/>
      </c>
      <c r="D342" s="9" t="n"/>
      <c r="E342" s="9" t="n"/>
      <c r="F342" s="9" t="n"/>
      <c r="G342" s="9" t="n"/>
      <c r="H342" s="13">
        <f>IF(ISBLANK(F342),"",IF(G342&lt;&gt;"",UPPER(TRIM(G342)),IF(ISNUMBER(SEARCH(" ",TRIM(F342))),UPPER(LEFT(TRIM(RIGHT(SUBSTITUTE(TRIM(F342)," ",REPT(" ",100)),100)),Settings!$B$9)),UPPER(LEFT(TRIM(F342),Settings!$B$9)))))</f>
        <v/>
      </c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15">
        <f>IF(ISBLANK(D342),"",IF(COUNTIFS(Circulation!$B$2:$B$500,A342,Circulation!$H$2:$H$500,"Active")&gt;0,"On Loan","Available"))</f>
        <v/>
      </c>
      <c r="AA342" s="9" t="n"/>
      <c r="AB342" s="9" t="n"/>
      <c r="AC342" s="9" t="n"/>
      <c r="AD342" s="9" t="n"/>
      <c r="AE342" s="9" t="n"/>
      <c r="AF342" s="9" t="n"/>
      <c r="AG342" s="9" t="n"/>
    </row>
    <row r="343">
      <c r="A343" s="13">
        <f>IF(ISBLANK(D343),"",ROW()-1)</f>
        <v/>
      </c>
      <c r="B343" s="14" t="n"/>
      <c r="C343" s="13">
        <f>IF(ISBLANK(D343),"",MID(K343,SEARCH("(",K343)+1,SEARCH(")",K343)-SEARCH("(",K343)-1)&amp;"-"&amp;MID(L343,SEARCH("(",L343)+1,SEARCH(")",L343)-SEARCH("(",L343)-1)&amp;"-"&amp;H343&amp;"-"&amp;TEXT(A343,"000")&amp;IF(ISBLANK(N343),"","-"&amp;SUBSTITUTE(N343," ","")))</f>
        <v/>
      </c>
      <c r="D343" s="9" t="n"/>
      <c r="E343" s="9" t="n"/>
      <c r="F343" s="9" t="n"/>
      <c r="G343" s="9" t="n"/>
      <c r="H343" s="13">
        <f>IF(ISBLANK(F343),"",IF(G343&lt;&gt;"",UPPER(TRIM(G343)),IF(ISNUMBER(SEARCH(" ",TRIM(F343))),UPPER(LEFT(TRIM(RIGHT(SUBSTITUTE(TRIM(F343)," ",REPT(" ",100)),100)),Settings!$B$9)),UPPER(LEFT(TRIM(F343),Settings!$B$9)))))</f>
        <v/>
      </c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15">
        <f>IF(ISBLANK(D343),"",IF(COUNTIFS(Circulation!$B$2:$B$500,A343,Circulation!$H$2:$H$500,"Active")&gt;0,"On Loan","Available"))</f>
        <v/>
      </c>
      <c r="AA343" s="9" t="n"/>
      <c r="AB343" s="9" t="n"/>
      <c r="AC343" s="9" t="n"/>
      <c r="AD343" s="9" t="n"/>
      <c r="AE343" s="9" t="n"/>
      <c r="AF343" s="9" t="n"/>
      <c r="AG343" s="9" t="n"/>
    </row>
    <row r="344">
      <c r="A344" s="13">
        <f>IF(ISBLANK(D344),"",ROW()-1)</f>
        <v/>
      </c>
      <c r="B344" s="14" t="n"/>
      <c r="C344" s="13">
        <f>IF(ISBLANK(D344),"",MID(K344,SEARCH("(",K344)+1,SEARCH(")",K344)-SEARCH("(",K344)-1)&amp;"-"&amp;MID(L344,SEARCH("(",L344)+1,SEARCH(")",L344)-SEARCH("(",L344)-1)&amp;"-"&amp;H344&amp;"-"&amp;TEXT(A344,"000")&amp;IF(ISBLANK(N344),"","-"&amp;SUBSTITUTE(N344," ","")))</f>
        <v/>
      </c>
      <c r="D344" s="9" t="n"/>
      <c r="E344" s="9" t="n"/>
      <c r="F344" s="9" t="n"/>
      <c r="G344" s="9" t="n"/>
      <c r="H344" s="13">
        <f>IF(ISBLANK(F344),"",IF(G344&lt;&gt;"",UPPER(TRIM(G344)),IF(ISNUMBER(SEARCH(" ",TRIM(F344))),UPPER(LEFT(TRIM(RIGHT(SUBSTITUTE(TRIM(F344)," ",REPT(" ",100)),100)),Settings!$B$9)),UPPER(LEFT(TRIM(F344),Settings!$B$9)))))</f>
        <v/>
      </c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15">
        <f>IF(ISBLANK(D344),"",IF(COUNTIFS(Circulation!$B$2:$B$500,A344,Circulation!$H$2:$H$500,"Active")&gt;0,"On Loan","Available"))</f>
        <v/>
      </c>
      <c r="AA344" s="9" t="n"/>
      <c r="AB344" s="9" t="n"/>
      <c r="AC344" s="9" t="n"/>
      <c r="AD344" s="9" t="n"/>
      <c r="AE344" s="9" t="n"/>
      <c r="AF344" s="9" t="n"/>
      <c r="AG344" s="9" t="n"/>
    </row>
    <row r="345">
      <c r="A345" s="13">
        <f>IF(ISBLANK(D345),"",ROW()-1)</f>
        <v/>
      </c>
      <c r="B345" s="14" t="n"/>
      <c r="C345" s="13">
        <f>IF(ISBLANK(D345),"",MID(K345,SEARCH("(",K345)+1,SEARCH(")",K345)-SEARCH("(",K345)-1)&amp;"-"&amp;MID(L345,SEARCH("(",L345)+1,SEARCH(")",L345)-SEARCH("(",L345)-1)&amp;"-"&amp;H345&amp;"-"&amp;TEXT(A345,"000")&amp;IF(ISBLANK(N345),"","-"&amp;SUBSTITUTE(N345," ","")))</f>
        <v/>
      </c>
      <c r="D345" s="9" t="n"/>
      <c r="E345" s="9" t="n"/>
      <c r="F345" s="9" t="n"/>
      <c r="G345" s="9" t="n"/>
      <c r="H345" s="13">
        <f>IF(ISBLANK(F345),"",IF(G345&lt;&gt;"",UPPER(TRIM(G345)),IF(ISNUMBER(SEARCH(" ",TRIM(F345))),UPPER(LEFT(TRIM(RIGHT(SUBSTITUTE(TRIM(F345)," ",REPT(" ",100)),100)),Settings!$B$9)),UPPER(LEFT(TRIM(F345),Settings!$B$9)))))</f>
        <v/>
      </c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15">
        <f>IF(ISBLANK(D345),"",IF(COUNTIFS(Circulation!$B$2:$B$500,A345,Circulation!$H$2:$H$500,"Active")&gt;0,"On Loan","Available"))</f>
        <v/>
      </c>
      <c r="AA345" s="9" t="n"/>
      <c r="AB345" s="9" t="n"/>
      <c r="AC345" s="9" t="n"/>
      <c r="AD345" s="9" t="n"/>
      <c r="AE345" s="9" t="n"/>
      <c r="AF345" s="9" t="n"/>
      <c r="AG345" s="9" t="n"/>
    </row>
    <row r="346">
      <c r="A346" s="13">
        <f>IF(ISBLANK(D346),"",ROW()-1)</f>
        <v/>
      </c>
      <c r="B346" s="14" t="n"/>
      <c r="C346" s="13">
        <f>IF(ISBLANK(D346),"",MID(K346,SEARCH("(",K346)+1,SEARCH(")",K346)-SEARCH("(",K346)-1)&amp;"-"&amp;MID(L346,SEARCH("(",L346)+1,SEARCH(")",L346)-SEARCH("(",L346)-1)&amp;"-"&amp;H346&amp;"-"&amp;TEXT(A346,"000")&amp;IF(ISBLANK(N346),"","-"&amp;SUBSTITUTE(N346," ","")))</f>
        <v/>
      </c>
      <c r="D346" s="9" t="n"/>
      <c r="E346" s="9" t="n"/>
      <c r="F346" s="9" t="n"/>
      <c r="G346" s="9" t="n"/>
      <c r="H346" s="13">
        <f>IF(ISBLANK(F346),"",IF(G346&lt;&gt;"",UPPER(TRIM(G346)),IF(ISNUMBER(SEARCH(" ",TRIM(F346))),UPPER(LEFT(TRIM(RIGHT(SUBSTITUTE(TRIM(F346)," ",REPT(" ",100)),100)),Settings!$B$9)),UPPER(LEFT(TRIM(F346),Settings!$B$9)))))</f>
        <v/>
      </c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15">
        <f>IF(ISBLANK(D346),"",IF(COUNTIFS(Circulation!$B$2:$B$500,A346,Circulation!$H$2:$H$500,"Active")&gt;0,"On Loan","Available"))</f>
        <v/>
      </c>
      <c r="AA346" s="9" t="n"/>
      <c r="AB346" s="9" t="n"/>
      <c r="AC346" s="9" t="n"/>
      <c r="AD346" s="9" t="n"/>
      <c r="AE346" s="9" t="n"/>
      <c r="AF346" s="9" t="n"/>
      <c r="AG346" s="9" t="n"/>
    </row>
    <row r="347">
      <c r="A347" s="13">
        <f>IF(ISBLANK(D347),"",ROW()-1)</f>
        <v/>
      </c>
      <c r="B347" s="14" t="n"/>
      <c r="C347" s="13">
        <f>IF(ISBLANK(D347),"",MID(K347,SEARCH("(",K347)+1,SEARCH(")",K347)-SEARCH("(",K347)-1)&amp;"-"&amp;MID(L347,SEARCH("(",L347)+1,SEARCH(")",L347)-SEARCH("(",L347)-1)&amp;"-"&amp;H347&amp;"-"&amp;TEXT(A347,"000")&amp;IF(ISBLANK(N347),"","-"&amp;SUBSTITUTE(N347," ","")))</f>
        <v/>
      </c>
      <c r="D347" s="9" t="n"/>
      <c r="E347" s="9" t="n"/>
      <c r="F347" s="9" t="n"/>
      <c r="G347" s="9" t="n"/>
      <c r="H347" s="13">
        <f>IF(ISBLANK(F347),"",IF(G347&lt;&gt;"",UPPER(TRIM(G347)),IF(ISNUMBER(SEARCH(" ",TRIM(F347))),UPPER(LEFT(TRIM(RIGHT(SUBSTITUTE(TRIM(F347)," ",REPT(" ",100)),100)),Settings!$B$9)),UPPER(LEFT(TRIM(F347),Settings!$B$9)))))</f>
        <v/>
      </c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15">
        <f>IF(ISBLANK(D347),"",IF(COUNTIFS(Circulation!$B$2:$B$500,A347,Circulation!$H$2:$H$500,"Active")&gt;0,"On Loan","Available"))</f>
        <v/>
      </c>
      <c r="AA347" s="9" t="n"/>
      <c r="AB347" s="9" t="n"/>
      <c r="AC347" s="9" t="n"/>
      <c r="AD347" s="9" t="n"/>
      <c r="AE347" s="9" t="n"/>
      <c r="AF347" s="9" t="n"/>
      <c r="AG347" s="9" t="n"/>
    </row>
    <row r="348">
      <c r="A348" s="13">
        <f>IF(ISBLANK(D348),"",ROW()-1)</f>
        <v/>
      </c>
      <c r="B348" s="14" t="n"/>
      <c r="C348" s="13">
        <f>IF(ISBLANK(D348),"",MID(K348,SEARCH("(",K348)+1,SEARCH(")",K348)-SEARCH("(",K348)-1)&amp;"-"&amp;MID(L348,SEARCH("(",L348)+1,SEARCH(")",L348)-SEARCH("(",L348)-1)&amp;"-"&amp;H348&amp;"-"&amp;TEXT(A348,"000")&amp;IF(ISBLANK(N348),"","-"&amp;SUBSTITUTE(N348," ","")))</f>
        <v/>
      </c>
      <c r="D348" s="9" t="n"/>
      <c r="E348" s="9" t="n"/>
      <c r="F348" s="9" t="n"/>
      <c r="G348" s="9" t="n"/>
      <c r="H348" s="13">
        <f>IF(ISBLANK(F348),"",IF(G348&lt;&gt;"",UPPER(TRIM(G348)),IF(ISNUMBER(SEARCH(" ",TRIM(F348))),UPPER(LEFT(TRIM(RIGHT(SUBSTITUTE(TRIM(F348)," ",REPT(" ",100)),100)),Settings!$B$9)),UPPER(LEFT(TRIM(F348),Settings!$B$9)))))</f>
        <v/>
      </c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15">
        <f>IF(ISBLANK(D348),"",IF(COUNTIFS(Circulation!$B$2:$B$500,A348,Circulation!$H$2:$H$500,"Active")&gt;0,"On Loan","Available"))</f>
        <v/>
      </c>
      <c r="AA348" s="9" t="n"/>
      <c r="AB348" s="9" t="n"/>
      <c r="AC348" s="9" t="n"/>
      <c r="AD348" s="9" t="n"/>
      <c r="AE348" s="9" t="n"/>
      <c r="AF348" s="9" t="n"/>
      <c r="AG348" s="9" t="n"/>
    </row>
    <row r="349">
      <c r="A349" s="13">
        <f>IF(ISBLANK(D349),"",ROW()-1)</f>
        <v/>
      </c>
      <c r="B349" s="14" t="n"/>
      <c r="C349" s="13">
        <f>IF(ISBLANK(D349),"",MID(K349,SEARCH("(",K349)+1,SEARCH(")",K349)-SEARCH("(",K349)-1)&amp;"-"&amp;MID(L349,SEARCH("(",L349)+1,SEARCH(")",L349)-SEARCH("(",L349)-1)&amp;"-"&amp;H349&amp;"-"&amp;TEXT(A349,"000")&amp;IF(ISBLANK(N349),"","-"&amp;SUBSTITUTE(N349," ","")))</f>
        <v/>
      </c>
      <c r="D349" s="9" t="n"/>
      <c r="E349" s="9" t="n"/>
      <c r="F349" s="9" t="n"/>
      <c r="G349" s="9" t="n"/>
      <c r="H349" s="13">
        <f>IF(ISBLANK(F349),"",IF(G349&lt;&gt;"",UPPER(TRIM(G349)),IF(ISNUMBER(SEARCH(" ",TRIM(F349))),UPPER(LEFT(TRIM(RIGHT(SUBSTITUTE(TRIM(F349)," ",REPT(" ",100)),100)),Settings!$B$9)),UPPER(LEFT(TRIM(F349),Settings!$B$9)))))</f>
        <v/>
      </c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15">
        <f>IF(ISBLANK(D349),"",IF(COUNTIFS(Circulation!$B$2:$B$500,A349,Circulation!$H$2:$H$500,"Active")&gt;0,"On Loan","Available"))</f>
        <v/>
      </c>
      <c r="AA349" s="9" t="n"/>
      <c r="AB349" s="9" t="n"/>
      <c r="AC349" s="9" t="n"/>
      <c r="AD349" s="9" t="n"/>
      <c r="AE349" s="9" t="n"/>
      <c r="AF349" s="9" t="n"/>
      <c r="AG349" s="9" t="n"/>
    </row>
    <row r="350">
      <c r="A350" s="13">
        <f>IF(ISBLANK(D350),"",ROW()-1)</f>
        <v/>
      </c>
      <c r="B350" s="14" t="n"/>
      <c r="C350" s="13">
        <f>IF(ISBLANK(D350),"",MID(K350,SEARCH("(",K350)+1,SEARCH(")",K350)-SEARCH("(",K350)-1)&amp;"-"&amp;MID(L350,SEARCH("(",L350)+1,SEARCH(")",L350)-SEARCH("(",L350)-1)&amp;"-"&amp;H350&amp;"-"&amp;TEXT(A350,"000")&amp;IF(ISBLANK(N350),"","-"&amp;SUBSTITUTE(N350," ","")))</f>
        <v/>
      </c>
      <c r="D350" s="9" t="n"/>
      <c r="E350" s="9" t="n"/>
      <c r="F350" s="9" t="n"/>
      <c r="G350" s="9" t="n"/>
      <c r="H350" s="13">
        <f>IF(ISBLANK(F350),"",IF(G350&lt;&gt;"",UPPER(TRIM(G350)),IF(ISNUMBER(SEARCH(" ",TRIM(F350))),UPPER(LEFT(TRIM(RIGHT(SUBSTITUTE(TRIM(F350)," ",REPT(" ",100)),100)),Settings!$B$9)),UPPER(LEFT(TRIM(F350),Settings!$B$9)))))</f>
        <v/>
      </c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15">
        <f>IF(ISBLANK(D350),"",IF(COUNTIFS(Circulation!$B$2:$B$500,A350,Circulation!$H$2:$H$500,"Active")&gt;0,"On Loan","Available"))</f>
        <v/>
      </c>
      <c r="AA350" s="9" t="n"/>
      <c r="AB350" s="9" t="n"/>
      <c r="AC350" s="9" t="n"/>
      <c r="AD350" s="9" t="n"/>
      <c r="AE350" s="9" t="n"/>
      <c r="AF350" s="9" t="n"/>
      <c r="AG350" s="9" t="n"/>
    </row>
    <row r="351">
      <c r="A351" s="13">
        <f>IF(ISBLANK(D351),"",ROW()-1)</f>
        <v/>
      </c>
      <c r="B351" s="14" t="n"/>
      <c r="C351" s="13">
        <f>IF(ISBLANK(D351),"",MID(K351,SEARCH("(",K351)+1,SEARCH(")",K351)-SEARCH("(",K351)-1)&amp;"-"&amp;MID(L351,SEARCH("(",L351)+1,SEARCH(")",L351)-SEARCH("(",L351)-1)&amp;"-"&amp;H351&amp;"-"&amp;TEXT(A351,"000")&amp;IF(ISBLANK(N351),"","-"&amp;SUBSTITUTE(N351," ","")))</f>
        <v/>
      </c>
      <c r="D351" s="9" t="n"/>
      <c r="E351" s="9" t="n"/>
      <c r="F351" s="9" t="n"/>
      <c r="G351" s="9" t="n"/>
      <c r="H351" s="13">
        <f>IF(ISBLANK(F351),"",IF(G351&lt;&gt;"",UPPER(TRIM(G351)),IF(ISNUMBER(SEARCH(" ",TRIM(F351))),UPPER(LEFT(TRIM(RIGHT(SUBSTITUTE(TRIM(F351)," ",REPT(" ",100)),100)),Settings!$B$9)),UPPER(LEFT(TRIM(F351),Settings!$B$9)))))</f>
        <v/>
      </c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15">
        <f>IF(ISBLANK(D351),"",IF(COUNTIFS(Circulation!$B$2:$B$500,A351,Circulation!$H$2:$H$500,"Active")&gt;0,"On Loan","Available"))</f>
        <v/>
      </c>
      <c r="AA351" s="9" t="n"/>
      <c r="AB351" s="9" t="n"/>
      <c r="AC351" s="9" t="n"/>
      <c r="AD351" s="9" t="n"/>
      <c r="AE351" s="9" t="n"/>
      <c r="AF351" s="9" t="n"/>
      <c r="AG351" s="9" t="n"/>
    </row>
    <row r="352">
      <c r="A352" s="13">
        <f>IF(ISBLANK(D352),"",ROW()-1)</f>
        <v/>
      </c>
      <c r="B352" s="14" t="n"/>
      <c r="C352" s="13">
        <f>IF(ISBLANK(D352),"",MID(K352,SEARCH("(",K352)+1,SEARCH(")",K352)-SEARCH("(",K352)-1)&amp;"-"&amp;MID(L352,SEARCH("(",L352)+1,SEARCH(")",L352)-SEARCH("(",L352)-1)&amp;"-"&amp;H352&amp;"-"&amp;TEXT(A352,"000")&amp;IF(ISBLANK(N352),"","-"&amp;SUBSTITUTE(N352," ","")))</f>
        <v/>
      </c>
      <c r="D352" s="9" t="n"/>
      <c r="E352" s="9" t="n"/>
      <c r="F352" s="9" t="n"/>
      <c r="G352" s="9" t="n"/>
      <c r="H352" s="13">
        <f>IF(ISBLANK(F352),"",IF(G352&lt;&gt;"",UPPER(TRIM(G352)),IF(ISNUMBER(SEARCH(" ",TRIM(F352))),UPPER(LEFT(TRIM(RIGHT(SUBSTITUTE(TRIM(F352)," ",REPT(" ",100)),100)),Settings!$B$9)),UPPER(LEFT(TRIM(F352),Settings!$B$9)))))</f>
        <v/>
      </c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15">
        <f>IF(ISBLANK(D352),"",IF(COUNTIFS(Circulation!$B$2:$B$500,A352,Circulation!$H$2:$H$500,"Active")&gt;0,"On Loan","Available"))</f>
        <v/>
      </c>
      <c r="AA352" s="9" t="n"/>
      <c r="AB352" s="9" t="n"/>
      <c r="AC352" s="9" t="n"/>
      <c r="AD352" s="9" t="n"/>
      <c r="AE352" s="9" t="n"/>
      <c r="AF352" s="9" t="n"/>
      <c r="AG352" s="9" t="n"/>
    </row>
    <row r="353">
      <c r="A353" s="13">
        <f>IF(ISBLANK(D353),"",ROW()-1)</f>
        <v/>
      </c>
      <c r="B353" s="14" t="n"/>
      <c r="C353" s="13">
        <f>IF(ISBLANK(D353),"",MID(K353,SEARCH("(",K353)+1,SEARCH(")",K353)-SEARCH("(",K353)-1)&amp;"-"&amp;MID(L353,SEARCH("(",L353)+1,SEARCH(")",L353)-SEARCH("(",L353)-1)&amp;"-"&amp;H353&amp;"-"&amp;TEXT(A353,"000")&amp;IF(ISBLANK(N353),"","-"&amp;SUBSTITUTE(N353," ","")))</f>
        <v/>
      </c>
      <c r="D353" s="9" t="n"/>
      <c r="E353" s="9" t="n"/>
      <c r="F353" s="9" t="n"/>
      <c r="G353" s="9" t="n"/>
      <c r="H353" s="13">
        <f>IF(ISBLANK(F353),"",IF(G353&lt;&gt;"",UPPER(TRIM(G353)),IF(ISNUMBER(SEARCH(" ",TRIM(F353))),UPPER(LEFT(TRIM(RIGHT(SUBSTITUTE(TRIM(F353)," ",REPT(" ",100)),100)),Settings!$B$9)),UPPER(LEFT(TRIM(F353),Settings!$B$9)))))</f>
        <v/>
      </c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15">
        <f>IF(ISBLANK(D353),"",IF(COUNTIFS(Circulation!$B$2:$B$500,A353,Circulation!$H$2:$H$500,"Active")&gt;0,"On Loan","Available"))</f>
        <v/>
      </c>
      <c r="AA353" s="9" t="n"/>
      <c r="AB353" s="9" t="n"/>
      <c r="AC353" s="9" t="n"/>
      <c r="AD353" s="9" t="n"/>
      <c r="AE353" s="9" t="n"/>
      <c r="AF353" s="9" t="n"/>
      <c r="AG353" s="9" t="n"/>
    </row>
    <row r="354">
      <c r="A354" s="13">
        <f>IF(ISBLANK(D354),"",ROW()-1)</f>
        <v/>
      </c>
      <c r="B354" s="14" t="n"/>
      <c r="C354" s="13">
        <f>IF(ISBLANK(D354),"",MID(K354,SEARCH("(",K354)+1,SEARCH(")",K354)-SEARCH("(",K354)-1)&amp;"-"&amp;MID(L354,SEARCH("(",L354)+1,SEARCH(")",L354)-SEARCH("(",L354)-1)&amp;"-"&amp;H354&amp;"-"&amp;TEXT(A354,"000")&amp;IF(ISBLANK(N354),"","-"&amp;SUBSTITUTE(N354," ","")))</f>
        <v/>
      </c>
      <c r="D354" s="9" t="n"/>
      <c r="E354" s="9" t="n"/>
      <c r="F354" s="9" t="n"/>
      <c r="G354" s="9" t="n"/>
      <c r="H354" s="13">
        <f>IF(ISBLANK(F354),"",IF(G354&lt;&gt;"",UPPER(TRIM(G354)),IF(ISNUMBER(SEARCH(" ",TRIM(F354))),UPPER(LEFT(TRIM(RIGHT(SUBSTITUTE(TRIM(F354)," ",REPT(" ",100)),100)),Settings!$B$9)),UPPER(LEFT(TRIM(F354),Settings!$B$9)))))</f>
        <v/>
      </c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15">
        <f>IF(ISBLANK(D354),"",IF(COUNTIFS(Circulation!$B$2:$B$500,A354,Circulation!$H$2:$H$500,"Active")&gt;0,"On Loan","Available"))</f>
        <v/>
      </c>
      <c r="AA354" s="9" t="n"/>
      <c r="AB354" s="9" t="n"/>
      <c r="AC354" s="9" t="n"/>
      <c r="AD354" s="9" t="n"/>
      <c r="AE354" s="9" t="n"/>
      <c r="AF354" s="9" t="n"/>
      <c r="AG354" s="9" t="n"/>
    </row>
    <row r="355">
      <c r="A355" s="13">
        <f>IF(ISBLANK(D355),"",ROW()-1)</f>
        <v/>
      </c>
      <c r="B355" s="14" t="n"/>
      <c r="C355" s="13">
        <f>IF(ISBLANK(D355),"",MID(K355,SEARCH("(",K355)+1,SEARCH(")",K355)-SEARCH("(",K355)-1)&amp;"-"&amp;MID(L355,SEARCH("(",L355)+1,SEARCH(")",L355)-SEARCH("(",L355)-1)&amp;"-"&amp;H355&amp;"-"&amp;TEXT(A355,"000")&amp;IF(ISBLANK(N355),"","-"&amp;SUBSTITUTE(N355," ","")))</f>
        <v/>
      </c>
      <c r="D355" s="9" t="n"/>
      <c r="E355" s="9" t="n"/>
      <c r="F355" s="9" t="n"/>
      <c r="G355" s="9" t="n"/>
      <c r="H355" s="13">
        <f>IF(ISBLANK(F355),"",IF(G355&lt;&gt;"",UPPER(TRIM(G355)),IF(ISNUMBER(SEARCH(" ",TRIM(F355))),UPPER(LEFT(TRIM(RIGHT(SUBSTITUTE(TRIM(F355)," ",REPT(" ",100)),100)),Settings!$B$9)),UPPER(LEFT(TRIM(F355),Settings!$B$9)))))</f>
        <v/>
      </c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15">
        <f>IF(ISBLANK(D355),"",IF(COUNTIFS(Circulation!$B$2:$B$500,A355,Circulation!$H$2:$H$500,"Active")&gt;0,"On Loan","Available"))</f>
        <v/>
      </c>
      <c r="AA355" s="9" t="n"/>
      <c r="AB355" s="9" t="n"/>
      <c r="AC355" s="9" t="n"/>
      <c r="AD355" s="9" t="n"/>
      <c r="AE355" s="9" t="n"/>
      <c r="AF355" s="9" t="n"/>
      <c r="AG355" s="9" t="n"/>
    </row>
    <row r="356">
      <c r="A356" s="13">
        <f>IF(ISBLANK(D356),"",ROW()-1)</f>
        <v/>
      </c>
      <c r="B356" s="14" t="n"/>
      <c r="C356" s="13">
        <f>IF(ISBLANK(D356),"",MID(K356,SEARCH("(",K356)+1,SEARCH(")",K356)-SEARCH("(",K356)-1)&amp;"-"&amp;MID(L356,SEARCH("(",L356)+1,SEARCH(")",L356)-SEARCH("(",L356)-1)&amp;"-"&amp;H356&amp;"-"&amp;TEXT(A356,"000")&amp;IF(ISBLANK(N356),"","-"&amp;SUBSTITUTE(N356," ","")))</f>
        <v/>
      </c>
      <c r="D356" s="9" t="n"/>
      <c r="E356" s="9" t="n"/>
      <c r="F356" s="9" t="n"/>
      <c r="G356" s="9" t="n"/>
      <c r="H356" s="13">
        <f>IF(ISBLANK(F356),"",IF(G356&lt;&gt;"",UPPER(TRIM(G356)),IF(ISNUMBER(SEARCH(" ",TRIM(F356))),UPPER(LEFT(TRIM(RIGHT(SUBSTITUTE(TRIM(F356)," ",REPT(" ",100)),100)),Settings!$B$9)),UPPER(LEFT(TRIM(F356),Settings!$B$9)))))</f>
        <v/>
      </c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15">
        <f>IF(ISBLANK(D356),"",IF(COUNTIFS(Circulation!$B$2:$B$500,A356,Circulation!$H$2:$H$500,"Active")&gt;0,"On Loan","Available"))</f>
        <v/>
      </c>
      <c r="AA356" s="9" t="n"/>
      <c r="AB356" s="9" t="n"/>
      <c r="AC356" s="9" t="n"/>
      <c r="AD356" s="9" t="n"/>
      <c r="AE356" s="9" t="n"/>
      <c r="AF356" s="9" t="n"/>
      <c r="AG356" s="9" t="n"/>
    </row>
    <row r="357">
      <c r="A357" s="13">
        <f>IF(ISBLANK(D357),"",ROW()-1)</f>
        <v/>
      </c>
      <c r="B357" s="14" t="n"/>
      <c r="C357" s="13">
        <f>IF(ISBLANK(D357),"",MID(K357,SEARCH("(",K357)+1,SEARCH(")",K357)-SEARCH("(",K357)-1)&amp;"-"&amp;MID(L357,SEARCH("(",L357)+1,SEARCH(")",L357)-SEARCH("(",L357)-1)&amp;"-"&amp;H357&amp;"-"&amp;TEXT(A357,"000")&amp;IF(ISBLANK(N357),"","-"&amp;SUBSTITUTE(N357," ","")))</f>
        <v/>
      </c>
      <c r="D357" s="9" t="n"/>
      <c r="E357" s="9" t="n"/>
      <c r="F357" s="9" t="n"/>
      <c r="G357" s="9" t="n"/>
      <c r="H357" s="13">
        <f>IF(ISBLANK(F357),"",IF(G357&lt;&gt;"",UPPER(TRIM(G357)),IF(ISNUMBER(SEARCH(" ",TRIM(F357))),UPPER(LEFT(TRIM(RIGHT(SUBSTITUTE(TRIM(F357)," ",REPT(" ",100)),100)),Settings!$B$9)),UPPER(LEFT(TRIM(F357),Settings!$B$9)))))</f>
        <v/>
      </c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15">
        <f>IF(ISBLANK(D357),"",IF(COUNTIFS(Circulation!$B$2:$B$500,A357,Circulation!$H$2:$H$500,"Active")&gt;0,"On Loan","Available"))</f>
        <v/>
      </c>
      <c r="AA357" s="9" t="n"/>
      <c r="AB357" s="9" t="n"/>
      <c r="AC357" s="9" t="n"/>
      <c r="AD357" s="9" t="n"/>
      <c r="AE357" s="9" t="n"/>
      <c r="AF357" s="9" t="n"/>
      <c r="AG357" s="9" t="n"/>
    </row>
    <row r="358">
      <c r="A358" s="13">
        <f>IF(ISBLANK(D358),"",ROW()-1)</f>
        <v/>
      </c>
      <c r="B358" s="14" t="n"/>
      <c r="C358" s="13">
        <f>IF(ISBLANK(D358),"",MID(K358,SEARCH("(",K358)+1,SEARCH(")",K358)-SEARCH("(",K358)-1)&amp;"-"&amp;MID(L358,SEARCH("(",L358)+1,SEARCH(")",L358)-SEARCH("(",L358)-1)&amp;"-"&amp;H358&amp;"-"&amp;TEXT(A358,"000")&amp;IF(ISBLANK(N358),"","-"&amp;SUBSTITUTE(N358," ","")))</f>
        <v/>
      </c>
      <c r="D358" s="9" t="n"/>
      <c r="E358" s="9" t="n"/>
      <c r="F358" s="9" t="n"/>
      <c r="G358" s="9" t="n"/>
      <c r="H358" s="13">
        <f>IF(ISBLANK(F358),"",IF(G358&lt;&gt;"",UPPER(TRIM(G358)),IF(ISNUMBER(SEARCH(" ",TRIM(F358))),UPPER(LEFT(TRIM(RIGHT(SUBSTITUTE(TRIM(F358)," ",REPT(" ",100)),100)),Settings!$B$9)),UPPER(LEFT(TRIM(F358),Settings!$B$9)))))</f>
        <v/>
      </c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15">
        <f>IF(ISBLANK(D358),"",IF(COUNTIFS(Circulation!$B$2:$B$500,A358,Circulation!$H$2:$H$500,"Active")&gt;0,"On Loan","Available"))</f>
        <v/>
      </c>
      <c r="AA358" s="9" t="n"/>
      <c r="AB358" s="9" t="n"/>
      <c r="AC358" s="9" t="n"/>
      <c r="AD358" s="9" t="n"/>
      <c r="AE358" s="9" t="n"/>
      <c r="AF358" s="9" t="n"/>
      <c r="AG358" s="9" t="n"/>
    </row>
    <row r="359">
      <c r="A359" s="13">
        <f>IF(ISBLANK(D359),"",ROW()-1)</f>
        <v/>
      </c>
      <c r="B359" s="14" t="n"/>
      <c r="C359" s="13">
        <f>IF(ISBLANK(D359),"",MID(K359,SEARCH("(",K359)+1,SEARCH(")",K359)-SEARCH("(",K359)-1)&amp;"-"&amp;MID(L359,SEARCH("(",L359)+1,SEARCH(")",L359)-SEARCH("(",L359)-1)&amp;"-"&amp;H359&amp;"-"&amp;TEXT(A359,"000")&amp;IF(ISBLANK(N359),"","-"&amp;SUBSTITUTE(N359," ","")))</f>
        <v/>
      </c>
      <c r="D359" s="9" t="n"/>
      <c r="E359" s="9" t="n"/>
      <c r="F359" s="9" t="n"/>
      <c r="G359" s="9" t="n"/>
      <c r="H359" s="13">
        <f>IF(ISBLANK(F359),"",IF(G359&lt;&gt;"",UPPER(TRIM(G359)),IF(ISNUMBER(SEARCH(" ",TRIM(F359))),UPPER(LEFT(TRIM(RIGHT(SUBSTITUTE(TRIM(F359)," ",REPT(" ",100)),100)),Settings!$B$9)),UPPER(LEFT(TRIM(F359),Settings!$B$9)))))</f>
        <v/>
      </c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15">
        <f>IF(ISBLANK(D359),"",IF(COUNTIFS(Circulation!$B$2:$B$500,A359,Circulation!$H$2:$H$500,"Active")&gt;0,"On Loan","Available"))</f>
        <v/>
      </c>
      <c r="AA359" s="9" t="n"/>
      <c r="AB359" s="9" t="n"/>
      <c r="AC359" s="9" t="n"/>
      <c r="AD359" s="9" t="n"/>
      <c r="AE359" s="9" t="n"/>
      <c r="AF359" s="9" t="n"/>
      <c r="AG359" s="9" t="n"/>
    </row>
    <row r="360">
      <c r="A360" s="13">
        <f>IF(ISBLANK(D360),"",ROW()-1)</f>
        <v/>
      </c>
      <c r="B360" s="14" t="n"/>
      <c r="C360" s="13">
        <f>IF(ISBLANK(D360),"",MID(K360,SEARCH("(",K360)+1,SEARCH(")",K360)-SEARCH("(",K360)-1)&amp;"-"&amp;MID(L360,SEARCH("(",L360)+1,SEARCH(")",L360)-SEARCH("(",L360)-1)&amp;"-"&amp;H360&amp;"-"&amp;TEXT(A360,"000")&amp;IF(ISBLANK(N360),"","-"&amp;SUBSTITUTE(N360," ","")))</f>
        <v/>
      </c>
      <c r="D360" s="9" t="n"/>
      <c r="E360" s="9" t="n"/>
      <c r="F360" s="9" t="n"/>
      <c r="G360" s="9" t="n"/>
      <c r="H360" s="13">
        <f>IF(ISBLANK(F360),"",IF(G360&lt;&gt;"",UPPER(TRIM(G360)),IF(ISNUMBER(SEARCH(" ",TRIM(F360))),UPPER(LEFT(TRIM(RIGHT(SUBSTITUTE(TRIM(F360)," ",REPT(" ",100)),100)),Settings!$B$9)),UPPER(LEFT(TRIM(F360),Settings!$B$9)))))</f>
        <v/>
      </c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15">
        <f>IF(ISBLANK(D360),"",IF(COUNTIFS(Circulation!$B$2:$B$500,A360,Circulation!$H$2:$H$500,"Active")&gt;0,"On Loan","Available"))</f>
        <v/>
      </c>
      <c r="AA360" s="9" t="n"/>
      <c r="AB360" s="9" t="n"/>
      <c r="AC360" s="9" t="n"/>
      <c r="AD360" s="9" t="n"/>
      <c r="AE360" s="9" t="n"/>
      <c r="AF360" s="9" t="n"/>
      <c r="AG360" s="9" t="n"/>
    </row>
    <row r="361">
      <c r="A361" s="13">
        <f>IF(ISBLANK(D361),"",ROW()-1)</f>
        <v/>
      </c>
      <c r="B361" s="14" t="n"/>
      <c r="C361" s="13">
        <f>IF(ISBLANK(D361),"",MID(K361,SEARCH("(",K361)+1,SEARCH(")",K361)-SEARCH("(",K361)-1)&amp;"-"&amp;MID(L361,SEARCH("(",L361)+1,SEARCH(")",L361)-SEARCH("(",L361)-1)&amp;"-"&amp;H361&amp;"-"&amp;TEXT(A361,"000")&amp;IF(ISBLANK(N361),"","-"&amp;SUBSTITUTE(N361," ","")))</f>
        <v/>
      </c>
      <c r="D361" s="9" t="n"/>
      <c r="E361" s="9" t="n"/>
      <c r="F361" s="9" t="n"/>
      <c r="G361" s="9" t="n"/>
      <c r="H361" s="13">
        <f>IF(ISBLANK(F361),"",IF(G361&lt;&gt;"",UPPER(TRIM(G361)),IF(ISNUMBER(SEARCH(" ",TRIM(F361))),UPPER(LEFT(TRIM(RIGHT(SUBSTITUTE(TRIM(F361)," ",REPT(" ",100)),100)),Settings!$B$9)),UPPER(LEFT(TRIM(F361),Settings!$B$9)))))</f>
        <v/>
      </c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15">
        <f>IF(ISBLANK(D361),"",IF(COUNTIFS(Circulation!$B$2:$B$500,A361,Circulation!$H$2:$H$500,"Active")&gt;0,"On Loan","Available"))</f>
        <v/>
      </c>
      <c r="AA361" s="9" t="n"/>
      <c r="AB361" s="9" t="n"/>
      <c r="AC361" s="9" t="n"/>
      <c r="AD361" s="9" t="n"/>
      <c r="AE361" s="9" t="n"/>
      <c r="AF361" s="9" t="n"/>
      <c r="AG361" s="9" t="n"/>
    </row>
    <row r="362">
      <c r="A362" s="13">
        <f>IF(ISBLANK(D362),"",ROW()-1)</f>
        <v/>
      </c>
      <c r="B362" s="14" t="n"/>
      <c r="C362" s="13">
        <f>IF(ISBLANK(D362),"",MID(K362,SEARCH("(",K362)+1,SEARCH(")",K362)-SEARCH("(",K362)-1)&amp;"-"&amp;MID(L362,SEARCH("(",L362)+1,SEARCH(")",L362)-SEARCH("(",L362)-1)&amp;"-"&amp;H362&amp;"-"&amp;TEXT(A362,"000")&amp;IF(ISBLANK(N362),"","-"&amp;SUBSTITUTE(N362," ","")))</f>
        <v/>
      </c>
      <c r="D362" s="9" t="n"/>
      <c r="E362" s="9" t="n"/>
      <c r="F362" s="9" t="n"/>
      <c r="G362" s="9" t="n"/>
      <c r="H362" s="13">
        <f>IF(ISBLANK(F362),"",IF(G362&lt;&gt;"",UPPER(TRIM(G362)),IF(ISNUMBER(SEARCH(" ",TRIM(F362))),UPPER(LEFT(TRIM(RIGHT(SUBSTITUTE(TRIM(F362)," ",REPT(" ",100)),100)),Settings!$B$9)),UPPER(LEFT(TRIM(F362),Settings!$B$9)))))</f>
        <v/>
      </c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15">
        <f>IF(ISBLANK(D362),"",IF(COUNTIFS(Circulation!$B$2:$B$500,A362,Circulation!$H$2:$H$500,"Active")&gt;0,"On Loan","Available"))</f>
        <v/>
      </c>
      <c r="AA362" s="9" t="n"/>
      <c r="AB362" s="9" t="n"/>
      <c r="AC362" s="9" t="n"/>
      <c r="AD362" s="9" t="n"/>
      <c r="AE362" s="9" t="n"/>
      <c r="AF362" s="9" t="n"/>
      <c r="AG362" s="9" t="n"/>
    </row>
    <row r="363">
      <c r="A363" s="13">
        <f>IF(ISBLANK(D363),"",ROW()-1)</f>
        <v/>
      </c>
      <c r="B363" s="14" t="n"/>
      <c r="C363" s="13">
        <f>IF(ISBLANK(D363),"",MID(K363,SEARCH("(",K363)+1,SEARCH(")",K363)-SEARCH("(",K363)-1)&amp;"-"&amp;MID(L363,SEARCH("(",L363)+1,SEARCH(")",L363)-SEARCH("(",L363)-1)&amp;"-"&amp;H363&amp;"-"&amp;TEXT(A363,"000")&amp;IF(ISBLANK(N363),"","-"&amp;SUBSTITUTE(N363," ","")))</f>
        <v/>
      </c>
      <c r="D363" s="9" t="n"/>
      <c r="E363" s="9" t="n"/>
      <c r="F363" s="9" t="n"/>
      <c r="G363" s="9" t="n"/>
      <c r="H363" s="13">
        <f>IF(ISBLANK(F363),"",IF(G363&lt;&gt;"",UPPER(TRIM(G363)),IF(ISNUMBER(SEARCH(" ",TRIM(F363))),UPPER(LEFT(TRIM(RIGHT(SUBSTITUTE(TRIM(F363)," ",REPT(" ",100)),100)),Settings!$B$9)),UPPER(LEFT(TRIM(F363),Settings!$B$9)))))</f>
        <v/>
      </c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15">
        <f>IF(ISBLANK(D363),"",IF(COUNTIFS(Circulation!$B$2:$B$500,A363,Circulation!$H$2:$H$500,"Active")&gt;0,"On Loan","Available"))</f>
        <v/>
      </c>
      <c r="AA363" s="9" t="n"/>
      <c r="AB363" s="9" t="n"/>
      <c r="AC363" s="9" t="n"/>
      <c r="AD363" s="9" t="n"/>
      <c r="AE363" s="9" t="n"/>
      <c r="AF363" s="9" t="n"/>
      <c r="AG363" s="9" t="n"/>
    </row>
    <row r="364">
      <c r="A364" s="13">
        <f>IF(ISBLANK(D364),"",ROW()-1)</f>
        <v/>
      </c>
      <c r="B364" s="14" t="n"/>
      <c r="C364" s="13">
        <f>IF(ISBLANK(D364),"",MID(K364,SEARCH("(",K364)+1,SEARCH(")",K364)-SEARCH("(",K364)-1)&amp;"-"&amp;MID(L364,SEARCH("(",L364)+1,SEARCH(")",L364)-SEARCH("(",L364)-1)&amp;"-"&amp;H364&amp;"-"&amp;TEXT(A364,"000")&amp;IF(ISBLANK(N364),"","-"&amp;SUBSTITUTE(N364," ","")))</f>
        <v/>
      </c>
      <c r="D364" s="9" t="n"/>
      <c r="E364" s="9" t="n"/>
      <c r="F364" s="9" t="n"/>
      <c r="G364" s="9" t="n"/>
      <c r="H364" s="13">
        <f>IF(ISBLANK(F364),"",IF(G364&lt;&gt;"",UPPER(TRIM(G364)),IF(ISNUMBER(SEARCH(" ",TRIM(F364))),UPPER(LEFT(TRIM(RIGHT(SUBSTITUTE(TRIM(F364)," ",REPT(" ",100)),100)),Settings!$B$9)),UPPER(LEFT(TRIM(F364),Settings!$B$9)))))</f>
        <v/>
      </c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15">
        <f>IF(ISBLANK(D364),"",IF(COUNTIFS(Circulation!$B$2:$B$500,A364,Circulation!$H$2:$H$500,"Active")&gt;0,"On Loan","Available"))</f>
        <v/>
      </c>
      <c r="AA364" s="9" t="n"/>
      <c r="AB364" s="9" t="n"/>
      <c r="AC364" s="9" t="n"/>
      <c r="AD364" s="9" t="n"/>
      <c r="AE364" s="9" t="n"/>
      <c r="AF364" s="9" t="n"/>
      <c r="AG364" s="9" t="n"/>
    </row>
    <row r="365">
      <c r="A365" s="13">
        <f>IF(ISBLANK(D365),"",ROW()-1)</f>
        <v/>
      </c>
      <c r="B365" s="14" t="n"/>
      <c r="C365" s="13">
        <f>IF(ISBLANK(D365),"",MID(K365,SEARCH("(",K365)+1,SEARCH(")",K365)-SEARCH("(",K365)-1)&amp;"-"&amp;MID(L365,SEARCH("(",L365)+1,SEARCH(")",L365)-SEARCH("(",L365)-1)&amp;"-"&amp;H365&amp;"-"&amp;TEXT(A365,"000")&amp;IF(ISBLANK(N365),"","-"&amp;SUBSTITUTE(N365," ","")))</f>
        <v/>
      </c>
      <c r="D365" s="9" t="n"/>
      <c r="E365" s="9" t="n"/>
      <c r="F365" s="9" t="n"/>
      <c r="G365" s="9" t="n"/>
      <c r="H365" s="13">
        <f>IF(ISBLANK(F365),"",IF(G365&lt;&gt;"",UPPER(TRIM(G365)),IF(ISNUMBER(SEARCH(" ",TRIM(F365))),UPPER(LEFT(TRIM(RIGHT(SUBSTITUTE(TRIM(F365)," ",REPT(" ",100)),100)),Settings!$B$9)),UPPER(LEFT(TRIM(F365),Settings!$B$9)))))</f>
        <v/>
      </c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15">
        <f>IF(ISBLANK(D365),"",IF(COUNTIFS(Circulation!$B$2:$B$500,A365,Circulation!$H$2:$H$500,"Active")&gt;0,"On Loan","Available"))</f>
        <v/>
      </c>
      <c r="AA365" s="9" t="n"/>
      <c r="AB365" s="9" t="n"/>
      <c r="AC365" s="9" t="n"/>
      <c r="AD365" s="9" t="n"/>
      <c r="AE365" s="9" t="n"/>
      <c r="AF365" s="9" t="n"/>
      <c r="AG365" s="9" t="n"/>
    </row>
    <row r="366">
      <c r="A366" s="13">
        <f>IF(ISBLANK(D366),"",ROW()-1)</f>
        <v/>
      </c>
      <c r="B366" s="14" t="n"/>
      <c r="C366" s="13">
        <f>IF(ISBLANK(D366),"",MID(K366,SEARCH("(",K366)+1,SEARCH(")",K366)-SEARCH("(",K366)-1)&amp;"-"&amp;MID(L366,SEARCH("(",L366)+1,SEARCH(")",L366)-SEARCH("(",L366)-1)&amp;"-"&amp;H366&amp;"-"&amp;TEXT(A366,"000")&amp;IF(ISBLANK(N366),"","-"&amp;SUBSTITUTE(N366," ","")))</f>
        <v/>
      </c>
      <c r="D366" s="9" t="n"/>
      <c r="E366" s="9" t="n"/>
      <c r="F366" s="9" t="n"/>
      <c r="G366" s="9" t="n"/>
      <c r="H366" s="13">
        <f>IF(ISBLANK(F366),"",IF(G366&lt;&gt;"",UPPER(TRIM(G366)),IF(ISNUMBER(SEARCH(" ",TRIM(F366))),UPPER(LEFT(TRIM(RIGHT(SUBSTITUTE(TRIM(F366)," ",REPT(" ",100)),100)),Settings!$B$9)),UPPER(LEFT(TRIM(F366),Settings!$B$9)))))</f>
        <v/>
      </c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15">
        <f>IF(ISBLANK(D366),"",IF(COUNTIFS(Circulation!$B$2:$B$500,A366,Circulation!$H$2:$H$500,"Active")&gt;0,"On Loan","Available"))</f>
        <v/>
      </c>
      <c r="AA366" s="9" t="n"/>
      <c r="AB366" s="9" t="n"/>
      <c r="AC366" s="9" t="n"/>
      <c r="AD366" s="9" t="n"/>
      <c r="AE366" s="9" t="n"/>
      <c r="AF366" s="9" t="n"/>
      <c r="AG366" s="9" t="n"/>
    </row>
    <row r="367">
      <c r="A367" s="13">
        <f>IF(ISBLANK(D367),"",ROW()-1)</f>
        <v/>
      </c>
      <c r="B367" s="14" t="n"/>
      <c r="C367" s="13">
        <f>IF(ISBLANK(D367),"",MID(K367,SEARCH("(",K367)+1,SEARCH(")",K367)-SEARCH("(",K367)-1)&amp;"-"&amp;MID(L367,SEARCH("(",L367)+1,SEARCH(")",L367)-SEARCH("(",L367)-1)&amp;"-"&amp;H367&amp;"-"&amp;TEXT(A367,"000")&amp;IF(ISBLANK(N367),"","-"&amp;SUBSTITUTE(N367," ","")))</f>
        <v/>
      </c>
      <c r="D367" s="9" t="n"/>
      <c r="E367" s="9" t="n"/>
      <c r="F367" s="9" t="n"/>
      <c r="G367" s="9" t="n"/>
      <c r="H367" s="13">
        <f>IF(ISBLANK(F367),"",IF(G367&lt;&gt;"",UPPER(TRIM(G367)),IF(ISNUMBER(SEARCH(" ",TRIM(F367))),UPPER(LEFT(TRIM(RIGHT(SUBSTITUTE(TRIM(F367)," ",REPT(" ",100)),100)),Settings!$B$9)),UPPER(LEFT(TRIM(F367),Settings!$B$9)))))</f>
        <v/>
      </c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15">
        <f>IF(ISBLANK(D367),"",IF(COUNTIFS(Circulation!$B$2:$B$500,A367,Circulation!$H$2:$H$500,"Active")&gt;0,"On Loan","Available"))</f>
        <v/>
      </c>
      <c r="AA367" s="9" t="n"/>
      <c r="AB367" s="9" t="n"/>
      <c r="AC367" s="9" t="n"/>
      <c r="AD367" s="9" t="n"/>
      <c r="AE367" s="9" t="n"/>
      <c r="AF367" s="9" t="n"/>
      <c r="AG367" s="9" t="n"/>
    </row>
    <row r="368">
      <c r="A368" s="13">
        <f>IF(ISBLANK(D368),"",ROW()-1)</f>
        <v/>
      </c>
      <c r="B368" s="14" t="n"/>
      <c r="C368" s="13">
        <f>IF(ISBLANK(D368),"",MID(K368,SEARCH("(",K368)+1,SEARCH(")",K368)-SEARCH("(",K368)-1)&amp;"-"&amp;MID(L368,SEARCH("(",L368)+1,SEARCH(")",L368)-SEARCH("(",L368)-1)&amp;"-"&amp;H368&amp;"-"&amp;TEXT(A368,"000")&amp;IF(ISBLANK(N368),"","-"&amp;SUBSTITUTE(N368," ","")))</f>
        <v/>
      </c>
      <c r="D368" s="9" t="n"/>
      <c r="E368" s="9" t="n"/>
      <c r="F368" s="9" t="n"/>
      <c r="G368" s="9" t="n"/>
      <c r="H368" s="13">
        <f>IF(ISBLANK(F368),"",IF(G368&lt;&gt;"",UPPER(TRIM(G368)),IF(ISNUMBER(SEARCH(" ",TRIM(F368))),UPPER(LEFT(TRIM(RIGHT(SUBSTITUTE(TRIM(F368)," ",REPT(" ",100)),100)),Settings!$B$9)),UPPER(LEFT(TRIM(F368),Settings!$B$9)))))</f>
        <v/>
      </c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15">
        <f>IF(ISBLANK(D368),"",IF(COUNTIFS(Circulation!$B$2:$B$500,A368,Circulation!$H$2:$H$500,"Active")&gt;0,"On Loan","Available"))</f>
        <v/>
      </c>
      <c r="AA368" s="9" t="n"/>
      <c r="AB368" s="9" t="n"/>
      <c r="AC368" s="9" t="n"/>
      <c r="AD368" s="9" t="n"/>
      <c r="AE368" s="9" t="n"/>
      <c r="AF368" s="9" t="n"/>
      <c r="AG368" s="9" t="n"/>
    </row>
    <row r="369">
      <c r="A369" s="13">
        <f>IF(ISBLANK(D369),"",ROW()-1)</f>
        <v/>
      </c>
      <c r="B369" s="14" t="n"/>
      <c r="C369" s="13">
        <f>IF(ISBLANK(D369),"",MID(K369,SEARCH("(",K369)+1,SEARCH(")",K369)-SEARCH("(",K369)-1)&amp;"-"&amp;MID(L369,SEARCH("(",L369)+1,SEARCH(")",L369)-SEARCH("(",L369)-1)&amp;"-"&amp;H369&amp;"-"&amp;TEXT(A369,"000")&amp;IF(ISBLANK(N369),"","-"&amp;SUBSTITUTE(N369," ","")))</f>
        <v/>
      </c>
      <c r="D369" s="9" t="n"/>
      <c r="E369" s="9" t="n"/>
      <c r="F369" s="9" t="n"/>
      <c r="G369" s="9" t="n"/>
      <c r="H369" s="13">
        <f>IF(ISBLANK(F369),"",IF(G369&lt;&gt;"",UPPER(TRIM(G369)),IF(ISNUMBER(SEARCH(" ",TRIM(F369))),UPPER(LEFT(TRIM(RIGHT(SUBSTITUTE(TRIM(F369)," ",REPT(" ",100)),100)),Settings!$B$9)),UPPER(LEFT(TRIM(F369),Settings!$B$9)))))</f>
        <v/>
      </c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15">
        <f>IF(ISBLANK(D369),"",IF(COUNTIFS(Circulation!$B$2:$B$500,A369,Circulation!$H$2:$H$500,"Active")&gt;0,"On Loan","Available"))</f>
        <v/>
      </c>
      <c r="AA369" s="9" t="n"/>
      <c r="AB369" s="9" t="n"/>
      <c r="AC369" s="9" t="n"/>
      <c r="AD369" s="9" t="n"/>
      <c r="AE369" s="9" t="n"/>
      <c r="AF369" s="9" t="n"/>
      <c r="AG369" s="9" t="n"/>
    </row>
    <row r="370">
      <c r="A370" s="13">
        <f>IF(ISBLANK(D370),"",ROW()-1)</f>
        <v/>
      </c>
      <c r="B370" s="14" t="n"/>
      <c r="C370" s="13">
        <f>IF(ISBLANK(D370),"",MID(K370,SEARCH("(",K370)+1,SEARCH(")",K370)-SEARCH("(",K370)-1)&amp;"-"&amp;MID(L370,SEARCH("(",L370)+1,SEARCH(")",L370)-SEARCH("(",L370)-1)&amp;"-"&amp;H370&amp;"-"&amp;TEXT(A370,"000")&amp;IF(ISBLANK(N370),"","-"&amp;SUBSTITUTE(N370," ","")))</f>
        <v/>
      </c>
      <c r="D370" s="9" t="n"/>
      <c r="E370" s="9" t="n"/>
      <c r="F370" s="9" t="n"/>
      <c r="G370" s="9" t="n"/>
      <c r="H370" s="13">
        <f>IF(ISBLANK(F370),"",IF(G370&lt;&gt;"",UPPER(TRIM(G370)),IF(ISNUMBER(SEARCH(" ",TRIM(F370))),UPPER(LEFT(TRIM(RIGHT(SUBSTITUTE(TRIM(F370)," ",REPT(" ",100)),100)),Settings!$B$9)),UPPER(LEFT(TRIM(F370),Settings!$B$9)))))</f>
        <v/>
      </c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15">
        <f>IF(ISBLANK(D370),"",IF(COUNTIFS(Circulation!$B$2:$B$500,A370,Circulation!$H$2:$H$500,"Active")&gt;0,"On Loan","Available"))</f>
        <v/>
      </c>
      <c r="AA370" s="9" t="n"/>
      <c r="AB370" s="9" t="n"/>
      <c r="AC370" s="9" t="n"/>
      <c r="AD370" s="9" t="n"/>
      <c r="AE370" s="9" t="n"/>
      <c r="AF370" s="9" t="n"/>
      <c r="AG370" s="9" t="n"/>
    </row>
    <row r="371">
      <c r="A371" s="13">
        <f>IF(ISBLANK(D371),"",ROW()-1)</f>
        <v/>
      </c>
      <c r="B371" s="14" t="n"/>
      <c r="C371" s="13">
        <f>IF(ISBLANK(D371),"",MID(K371,SEARCH("(",K371)+1,SEARCH(")",K371)-SEARCH("(",K371)-1)&amp;"-"&amp;MID(L371,SEARCH("(",L371)+1,SEARCH(")",L371)-SEARCH("(",L371)-1)&amp;"-"&amp;H371&amp;"-"&amp;TEXT(A371,"000")&amp;IF(ISBLANK(N371),"","-"&amp;SUBSTITUTE(N371," ","")))</f>
        <v/>
      </c>
      <c r="D371" s="9" t="n"/>
      <c r="E371" s="9" t="n"/>
      <c r="F371" s="9" t="n"/>
      <c r="G371" s="9" t="n"/>
      <c r="H371" s="13">
        <f>IF(ISBLANK(F371),"",IF(G371&lt;&gt;"",UPPER(TRIM(G371)),IF(ISNUMBER(SEARCH(" ",TRIM(F371))),UPPER(LEFT(TRIM(RIGHT(SUBSTITUTE(TRIM(F371)," ",REPT(" ",100)),100)),Settings!$B$9)),UPPER(LEFT(TRIM(F371),Settings!$B$9)))))</f>
        <v/>
      </c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15">
        <f>IF(ISBLANK(D371),"",IF(COUNTIFS(Circulation!$B$2:$B$500,A371,Circulation!$H$2:$H$500,"Active")&gt;0,"On Loan","Available"))</f>
        <v/>
      </c>
      <c r="AA371" s="9" t="n"/>
      <c r="AB371" s="9" t="n"/>
      <c r="AC371" s="9" t="n"/>
      <c r="AD371" s="9" t="n"/>
      <c r="AE371" s="9" t="n"/>
      <c r="AF371" s="9" t="n"/>
      <c r="AG371" s="9" t="n"/>
    </row>
    <row r="372">
      <c r="A372" s="13">
        <f>IF(ISBLANK(D372),"",ROW()-1)</f>
        <v/>
      </c>
      <c r="B372" s="14" t="n"/>
      <c r="C372" s="13">
        <f>IF(ISBLANK(D372),"",MID(K372,SEARCH("(",K372)+1,SEARCH(")",K372)-SEARCH("(",K372)-1)&amp;"-"&amp;MID(L372,SEARCH("(",L372)+1,SEARCH(")",L372)-SEARCH("(",L372)-1)&amp;"-"&amp;H372&amp;"-"&amp;TEXT(A372,"000")&amp;IF(ISBLANK(N372),"","-"&amp;SUBSTITUTE(N372," ","")))</f>
        <v/>
      </c>
      <c r="D372" s="9" t="n"/>
      <c r="E372" s="9" t="n"/>
      <c r="F372" s="9" t="n"/>
      <c r="G372" s="9" t="n"/>
      <c r="H372" s="13">
        <f>IF(ISBLANK(F372),"",IF(G372&lt;&gt;"",UPPER(TRIM(G372)),IF(ISNUMBER(SEARCH(" ",TRIM(F372))),UPPER(LEFT(TRIM(RIGHT(SUBSTITUTE(TRIM(F372)," ",REPT(" ",100)),100)),Settings!$B$9)),UPPER(LEFT(TRIM(F372),Settings!$B$9)))))</f>
        <v/>
      </c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15">
        <f>IF(ISBLANK(D372),"",IF(COUNTIFS(Circulation!$B$2:$B$500,A372,Circulation!$H$2:$H$500,"Active")&gt;0,"On Loan","Available"))</f>
        <v/>
      </c>
      <c r="AA372" s="9" t="n"/>
      <c r="AB372" s="9" t="n"/>
      <c r="AC372" s="9" t="n"/>
      <c r="AD372" s="9" t="n"/>
      <c r="AE372" s="9" t="n"/>
      <c r="AF372" s="9" t="n"/>
      <c r="AG372" s="9" t="n"/>
    </row>
    <row r="373">
      <c r="A373" s="13">
        <f>IF(ISBLANK(D373),"",ROW()-1)</f>
        <v/>
      </c>
      <c r="B373" s="14" t="n"/>
      <c r="C373" s="13">
        <f>IF(ISBLANK(D373),"",MID(K373,SEARCH("(",K373)+1,SEARCH(")",K373)-SEARCH("(",K373)-1)&amp;"-"&amp;MID(L373,SEARCH("(",L373)+1,SEARCH(")",L373)-SEARCH("(",L373)-1)&amp;"-"&amp;H373&amp;"-"&amp;TEXT(A373,"000")&amp;IF(ISBLANK(N373),"","-"&amp;SUBSTITUTE(N373," ","")))</f>
        <v/>
      </c>
      <c r="D373" s="9" t="n"/>
      <c r="E373" s="9" t="n"/>
      <c r="F373" s="9" t="n"/>
      <c r="G373" s="9" t="n"/>
      <c r="H373" s="13">
        <f>IF(ISBLANK(F373),"",IF(G373&lt;&gt;"",UPPER(TRIM(G373)),IF(ISNUMBER(SEARCH(" ",TRIM(F373))),UPPER(LEFT(TRIM(RIGHT(SUBSTITUTE(TRIM(F373)," ",REPT(" ",100)),100)),Settings!$B$9)),UPPER(LEFT(TRIM(F373),Settings!$B$9)))))</f>
        <v/>
      </c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15">
        <f>IF(ISBLANK(D373),"",IF(COUNTIFS(Circulation!$B$2:$B$500,A373,Circulation!$H$2:$H$500,"Active")&gt;0,"On Loan","Available"))</f>
        <v/>
      </c>
      <c r="AA373" s="9" t="n"/>
      <c r="AB373" s="9" t="n"/>
      <c r="AC373" s="9" t="n"/>
      <c r="AD373" s="9" t="n"/>
      <c r="AE373" s="9" t="n"/>
      <c r="AF373" s="9" t="n"/>
      <c r="AG373" s="9" t="n"/>
    </row>
    <row r="374">
      <c r="A374" s="13">
        <f>IF(ISBLANK(D374),"",ROW()-1)</f>
        <v/>
      </c>
      <c r="B374" s="14" t="n"/>
      <c r="C374" s="13">
        <f>IF(ISBLANK(D374),"",MID(K374,SEARCH("(",K374)+1,SEARCH(")",K374)-SEARCH("(",K374)-1)&amp;"-"&amp;MID(L374,SEARCH("(",L374)+1,SEARCH(")",L374)-SEARCH("(",L374)-1)&amp;"-"&amp;H374&amp;"-"&amp;TEXT(A374,"000")&amp;IF(ISBLANK(N374),"","-"&amp;SUBSTITUTE(N374," ","")))</f>
        <v/>
      </c>
      <c r="D374" s="9" t="n"/>
      <c r="E374" s="9" t="n"/>
      <c r="F374" s="9" t="n"/>
      <c r="G374" s="9" t="n"/>
      <c r="H374" s="13">
        <f>IF(ISBLANK(F374),"",IF(G374&lt;&gt;"",UPPER(TRIM(G374)),IF(ISNUMBER(SEARCH(" ",TRIM(F374))),UPPER(LEFT(TRIM(RIGHT(SUBSTITUTE(TRIM(F374)," ",REPT(" ",100)),100)),Settings!$B$9)),UPPER(LEFT(TRIM(F374),Settings!$B$9)))))</f>
        <v/>
      </c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15">
        <f>IF(ISBLANK(D374),"",IF(COUNTIFS(Circulation!$B$2:$B$500,A374,Circulation!$H$2:$H$500,"Active")&gt;0,"On Loan","Available"))</f>
        <v/>
      </c>
      <c r="AA374" s="9" t="n"/>
      <c r="AB374" s="9" t="n"/>
      <c r="AC374" s="9" t="n"/>
      <c r="AD374" s="9" t="n"/>
      <c r="AE374" s="9" t="n"/>
      <c r="AF374" s="9" t="n"/>
      <c r="AG374" s="9" t="n"/>
    </row>
    <row r="375">
      <c r="A375" s="13">
        <f>IF(ISBLANK(D375),"",ROW()-1)</f>
        <v/>
      </c>
      <c r="B375" s="14" t="n"/>
      <c r="C375" s="13">
        <f>IF(ISBLANK(D375),"",MID(K375,SEARCH("(",K375)+1,SEARCH(")",K375)-SEARCH("(",K375)-1)&amp;"-"&amp;MID(L375,SEARCH("(",L375)+1,SEARCH(")",L375)-SEARCH("(",L375)-1)&amp;"-"&amp;H375&amp;"-"&amp;TEXT(A375,"000")&amp;IF(ISBLANK(N375),"","-"&amp;SUBSTITUTE(N375," ","")))</f>
        <v/>
      </c>
      <c r="D375" s="9" t="n"/>
      <c r="E375" s="9" t="n"/>
      <c r="F375" s="9" t="n"/>
      <c r="G375" s="9" t="n"/>
      <c r="H375" s="13">
        <f>IF(ISBLANK(F375),"",IF(G375&lt;&gt;"",UPPER(TRIM(G375)),IF(ISNUMBER(SEARCH(" ",TRIM(F375))),UPPER(LEFT(TRIM(RIGHT(SUBSTITUTE(TRIM(F375)," ",REPT(" ",100)),100)),Settings!$B$9)),UPPER(LEFT(TRIM(F375),Settings!$B$9)))))</f>
        <v/>
      </c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15">
        <f>IF(ISBLANK(D375),"",IF(COUNTIFS(Circulation!$B$2:$B$500,A375,Circulation!$H$2:$H$500,"Active")&gt;0,"On Loan","Available"))</f>
        <v/>
      </c>
      <c r="AA375" s="9" t="n"/>
      <c r="AB375" s="9" t="n"/>
      <c r="AC375" s="9" t="n"/>
      <c r="AD375" s="9" t="n"/>
      <c r="AE375" s="9" t="n"/>
      <c r="AF375" s="9" t="n"/>
      <c r="AG375" s="9" t="n"/>
    </row>
    <row r="376">
      <c r="A376" s="13">
        <f>IF(ISBLANK(D376),"",ROW()-1)</f>
        <v/>
      </c>
      <c r="B376" s="14" t="n"/>
      <c r="C376" s="13">
        <f>IF(ISBLANK(D376),"",MID(K376,SEARCH("(",K376)+1,SEARCH(")",K376)-SEARCH("(",K376)-1)&amp;"-"&amp;MID(L376,SEARCH("(",L376)+1,SEARCH(")",L376)-SEARCH("(",L376)-1)&amp;"-"&amp;H376&amp;"-"&amp;TEXT(A376,"000")&amp;IF(ISBLANK(N376),"","-"&amp;SUBSTITUTE(N376," ","")))</f>
        <v/>
      </c>
      <c r="D376" s="9" t="n"/>
      <c r="E376" s="9" t="n"/>
      <c r="F376" s="9" t="n"/>
      <c r="G376" s="9" t="n"/>
      <c r="H376" s="13">
        <f>IF(ISBLANK(F376),"",IF(G376&lt;&gt;"",UPPER(TRIM(G376)),IF(ISNUMBER(SEARCH(" ",TRIM(F376))),UPPER(LEFT(TRIM(RIGHT(SUBSTITUTE(TRIM(F376)," ",REPT(" ",100)),100)),Settings!$B$9)),UPPER(LEFT(TRIM(F376),Settings!$B$9)))))</f>
        <v/>
      </c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15">
        <f>IF(ISBLANK(D376),"",IF(COUNTIFS(Circulation!$B$2:$B$500,A376,Circulation!$H$2:$H$500,"Active")&gt;0,"On Loan","Available"))</f>
        <v/>
      </c>
      <c r="AA376" s="9" t="n"/>
      <c r="AB376" s="9" t="n"/>
      <c r="AC376" s="9" t="n"/>
      <c r="AD376" s="9" t="n"/>
      <c r="AE376" s="9" t="n"/>
      <c r="AF376" s="9" t="n"/>
      <c r="AG376" s="9" t="n"/>
    </row>
    <row r="377">
      <c r="A377" s="13">
        <f>IF(ISBLANK(D377),"",ROW()-1)</f>
        <v/>
      </c>
      <c r="B377" s="14" t="n"/>
      <c r="C377" s="13">
        <f>IF(ISBLANK(D377),"",MID(K377,SEARCH("(",K377)+1,SEARCH(")",K377)-SEARCH("(",K377)-1)&amp;"-"&amp;MID(L377,SEARCH("(",L377)+1,SEARCH(")",L377)-SEARCH("(",L377)-1)&amp;"-"&amp;H377&amp;"-"&amp;TEXT(A377,"000")&amp;IF(ISBLANK(N377),"","-"&amp;SUBSTITUTE(N377," ","")))</f>
        <v/>
      </c>
      <c r="D377" s="9" t="n"/>
      <c r="E377" s="9" t="n"/>
      <c r="F377" s="9" t="n"/>
      <c r="G377" s="9" t="n"/>
      <c r="H377" s="13">
        <f>IF(ISBLANK(F377),"",IF(G377&lt;&gt;"",UPPER(TRIM(G377)),IF(ISNUMBER(SEARCH(" ",TRIM(F377))),UPPER(LEFT(TRIM(RIGHT(SUBSTITUTE(TRIM(F377)," ",REPT(" ",100)),100)),Settings!$B$9)),UPPER(LEFT(TRIM(F377),Settings!$B$9)))))</f>
        <v/>
      </c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15">
        <f>IF(ISBLANK(D377),"",IF(COUNTIFS(Circulation!$B$2:$B$500,A377,Circulation!$H$2:$H$500,"Active")&gt;0,"On Loan","Available"))</f>
        <v/>
      </c>
      <c r="AA377" s="9" t="n"/>
      <c r="AB377" s="9" t="n"/>
      <c r="AC377" s="9" t="n"/>
      <c r="AD377" s="9" t="n"/>
      <c r="AE377" s="9" t="n"/>
      <c r="AF377" s="9" t="n"/>
      <c r="AG377" s="9" t="n"/>
    </row>
    <row r="378">
      <c r="A378" s="13">
        <f>IF(ISBLANK(D378),"",ROW()-1)</f>
        <v/>
      </c>
      <c r="B378" s="14" t="n"/>
      <c r="C378" s="13">
        <f>IF(ISBLANK(D378),"",MID(K378,SEARCH("(",K378)+1,SEARCH(")",K378)-SEARCH("(",K378)-1)&amp;"-"&amp;MID(L378,SEARCH("(",L378)+1,SEARCH(")",L378)-SEARCH("(",L378)-1)&amp;"-"&amp;H378&amp;"-"&amp;TEXT(A378,"000")&amp;IF(ISBLANK(N378),"","-"&amp;SUBSTITUTE(N378," ","")))</f>
        <v/>
      </c>
      <c r="D378" s="9" t="n"/>
      <c r="E378" s="9" t="n"/>
      <c r="F378" s="9" t="n"/>
      <c r="G378" s="9" t="n"/>
      <c r="H378" s="13">
        <f>IF(ISBLANK(F378),"",IF(G378&lt;&gt;"",UPPER(TRIM(G378)),IF(ISNUMBER(SEARCH(" ",TRIM(F378))),UPPER(LEFT(TRIM(RIGHT(SUBSTITUTE(TRIM(F378)," ",REPT(" ",100)),100)),Settings!$B$9)),UPPER(LEFT(TRIM(F378),Settings!$B$9)))))</f>
        <v/>
      </c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15">
        <f>IF(ISBLANK(D378),"",IF(COUNTIFS(Circulation!$B$2:$B$500,A378,Circulation!$H$2:$H$500,"Active")&gt;0,"On Loan","Available"))</f>
        <v/>
      </c>
      <c r="AA378" s="9" t="n"/>
      <c r="AB378" s="9" t="n"/>
      <c r="AC378" s="9" t="n"/>
      <c r="AD378" s="9" t="n"/>
      <c r="AE378" s="9" t="n"/>
      <c r="AF378" s="9" t="n"/>
      <c r="AG378" s="9" t="n"/>
    </row>
    <row r="379">
      <c r="A379" s="13">
        <f>IF(ISBLANK(D379),"",ROW()-1)</f>
        <v/>
      </c>
      <c r="B379" s="14" t="n"/>
      <c r="C379" s="13">
        <f>IF(ISBLANK(D379),"",MID(K379,SEARCH("(",K379)+1,SEARCH(")",K379)-SEARCH("(",K379)-1)&amp;"-"&amp;MID(L379,SEARCH("(",L379)+1,SEARCH(")",L379)-SEARCH("(",L379)-1)&amp;"-"&amp;H379&amp;"-"&amp;TEXT(A379,"000")&amp;IF(ISBLANK(N379),"","-"&amp;SUBSTITUTE(N379," ","")))</f>
        <v/>
      </c>
      <c r="D379" s="9" t="n"/>
      <c r="E379" s="9" t="n"/>
      <c r="F379" s="9" t="n"/>
      <c r="G379" s="9" t="n"/>
      <c r="H379" s="13">
        <f>IF(ISBLANK(F379),"",IF(G379&lt;&gt;"",UPPER(TRIM(G379)),IF(ISNUMBER(SEARCH(" ",TRIM(F379))),UPPER(LEFT(TRIM(RIGHT(SUBSTITUTE(TRIM(F379)," ",REPT(" ",100)),100)),Settings!$B$9)),UPPER(LEFT(TRIM(F379),Settings!$B$9)))))</f>
        <v/>
      </c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15">
        <f>IF(ISBLANK(D379),"",IF(COUNTIFS(Circulation!$B$2:$B$500,A379,Circulation!$H$2:$H$500,"Active")&gt;0,"On Loan","Available"))</f>
        <v/>
      </c>
      <c r="AA379" s="9" t="n"/>
      <c r="AB379" s="9" t="n"/>
      <c r="AC379" s="9" t="n"/>
      <c r="AD379" s="9" t="n"/>
      <c r="AE379" s="9" t="n"/>
      <c r="AF379" s="9" t="n"/>
      <c r="AG379" s="9" t="n"/>
    </row>
    <row r="380">
      <c r="A380" s="13">
        <f>IF(ISBLANK(D380),"",ROW()-1)</f>
        <v/>
      </c>
      <c r="B380" s="14" t="n"/>
      <c r="C380" s="13">
        <f>IF(ISBLANK(D380),"",MID(K380,SEARCH("(",K380)+1,SEARCH(")",K380)-SEARCH("(",K380)-1)&amp;"-"&amp;MID(L380,SEARCH("(",L380)+1,SEARCH(")",L380)-SEARCH("(",L380)-1)&amp;"-"&amp;H380&amp;"-"&amp;TEXT(A380,"000")&amp;IF(ISBLANK(N380),"","-"&amp;SUBSTITUTE(N380," ","")))</f>
        <v/>
      </c>
      <c r="D380" s="9" t="n"/>
      <c r="E380" s="9" t="n"/>
      <c r="F380" s="9" t="n"/>
      <c r="G380" s="9" t="n"/>
      <c r="H380" s="13">
        <f>IF(ISBLANK(F380),"",IF(G380&lt;&gt;"",UPPER(TRIM(G380)),IF(ISNUMBER(SEARCH(" ",TRIM(F380))),UPPER(LEFT(TRIM(RIGHT(SUBSTITUTE(TRIM(F380)," ",REPT(" ",100)),100)),Settings!$B$9)),UPPER(LEFT(TRIM(F380),Settings!$B$9)))))</f>
        <v/>
      </c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15">
        <f>IF(ISBLANK(D380),"",IF(COUNTIFS(Circulation!$B$2:$B$500,A380,Circulation!$H$2:$H$500,"Active")&gt;0,"On Loan","Available"))</f>
        <v/>
      </c>
      <c r="AA380" s="9" t="n"/>
      <c r="AB380" s="9" t="n"/>
      <c r="AC380" s="9" t="n"/>
      <c r="AD380" s="9" t="n"/>
      <c r="AE380" s="9" t="n"/>
      <c r="AF380" s="9" t="n"/>
      <c r="AG380" s="9" t="n"/>
    </row>
    <row r="381">
      <c r="A381" s="13">
        <f>IF(ISBLANK(D381),"",ROW()-1)</f>
        <v/>
      </c>
      <c r="B381" s="14" t="n"/>
      <c r="C381" s="13">
        <f>IF(ISBLANK(D381),"",MID(K381,SEARCH("(",K381)+1,SEARCH(")",K381)-SEARCH("(",K381)-1)&amp;"-"&amp;MID(L381,SEARCH("(",L381)+1,SEARCH(")",L381)-SEARCH("(",L381)-1)&amp;"-"&amp;H381&amp;"-"&amp;TEXT(A381,"000")&amp;IF(ISBLANK(N381),"","-"&amp;SUBSTITUTE(N381," ","")))</f>
        <v/>
      </c>
      <c r="D381" s="9" t="n"/>
      <c r="E381" s="9" t="n"/>
      <c r="F381" s="9" t="n"/>
      <c r="G381" s="9" t="n"/>
      <c r="H381" s="13">
        <f>IF(ISBLANK(F381),"",IF(G381&lt;&gt;"",UPPER(TRIM(G381)),IF(ISNUMBER(SEARCH(" ",TRIM(F381))),UPPER(LEFT(TRIM(RIGHT(SUBSTITUTE(TRIM(F381)," ",REPT(" ",100)),100)),Settings!$B$9)),UPPER(LEFT(TRIM(F381),Settings!$B$9)))))</f>
        <v/>
      </c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15">
        <f>IF(ISBLANK(D381),"",IF(COUNTIFS(Circulation!$B$2:$B$500,A381,Circulation!$H$2:$H$500,"Active")&gt;0,"On Loan","Available"))</f>
        <v/>
      </c>
      <c r="AA381" s="9" t="n"/>
      <c r="AB381" s="9" t="n"/>
      <c r="AC381" s="9" t="n"/>
      <c r="AD381" s="9" t="n"/>
      <c r="AE381" s="9" t="n"/>
      <c r="AF381" s="9" t="n"/>
      <c r="AG381" s="9" t="n"/>
    </row>
    <row r="382">
      <c r="A382" s="13">
        <f>IF(ISBLANK(D382),"",ROW()-1)</f>
        <v/>
      </c>
      <c r="B382" s="14" t="n"/>
      <c r="C382" s="13">
        <f>IF(ISBLANK(D382),"",MID(K382,SEARCH("(",K382)+1,SEARCH(")",K382)-SEARCH("(",K382)-1)&amp;"-"&amp;MID(L382,SEARCH("(",L382)+1,SEARCH(")",L382)-SEARCH("(",L382)-1)&amp;"-"&amp;H382&amp;"-"&amp;TEXT(A382,"000")&amp;IF(ISBLANK(N382),"","-"&amp;SUBSTITUTE(N382," ","")))</f>
        <v/>
      </c>
      <c r="D382" s="9" t="n"/>
      <c r="E382" s="9" t="n"/>
      <c r="F382" s="9" t="n"/>
      <c r="G382" s="9" t="n"/>
      <c r="H382" s="13">
        <f>IF(ISBLANK(F382),"",IF(G382&lt;&gt;"",UPPER(TRIM(G382)),IF(ISNUMBER(SEARCH(" ",TRIM(F382))),UPPER(LEFT(TRIM(RIGHT(SUBSTITUTE(TRIM(F382)," ",REPT(" ",100)),100)),Settings!$B$9)),UPPER(LEFT(TRIM(F382),Settings!$B$9)))))</f>
        <v/>
      </c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15">
        <f>IF(ISBLANK(D382),"",IF(COUNTIFS(Circulation!$B$2:$B$500,A382,Circulation!$H$2:$H$500,"Active")&gt;0,"On Loan","Available"))</f>
        <v/>
      </c>
      <c r="AA382" s="9" t="n"/>
      <c r="AB382" s="9" t="n"/>
      <c r="AC382" s="9" t="n"/>
      <c r="AD382" s="9" t="n"/>
      <c r="AE382" s="9" t="n"/>
      <c r="AF382" s="9" t="n"/>
      <c r="AG382" s="9" t="n"/>
    </row>
    <row r="383">
      <c r="A383" s="13">
        <f>IF(ISBLANK(D383),"",ROW()-1)</f>
        <v/>
      </c>
      <c r="B383" s="14" t="n"/>
      <c r="C383" s="13">
        <f>IF(ISBLANK(D383),"",MID(K383,SEARCH("(",K383)+1,SEARCH(")",K383)-SEARCH("(",K383)-1)&amp;"-"&amp;MID(L383,SEARCH("(",L383)+1,SEARCH(")",L383)-SEARCH("(",L383)-1)&amp;"-"&amp;H383&amp;"-"&amp;TEXT(A383,"000")&amp;IF(ISBLANK(N383),"","-"&amp;SUBSTITUTE(N383," ","")))</f>
        <v/>
      </c>
      <c r="D383" s="9" t="n"/>
      <c r="E383" s="9" t="n"/>
      <c r="F383" s="9" t="n"/>
      <c r="G383" s="9" t="n"/>
      <c r="H383" s="13">
        <f>IF(ISBLANK(F383),"",IF(G383&lt;&gt;"",UPPER(TRIM(G383)),IF(ISNUMBER(SEARCH(" ",TRIM(F383))),UPPER(LEFT(TRIM(RIGHT(SUBSTITUTE(TRIM(F383)," ",REPT(" ",100)),100)),Settings!$B$9)),UPPER(LEFT(TRIM(F383),Settings!$B$9)))))</f>
        <v/>
      </c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15">
        <f>IF(ISBLANK(D383),"",IF(COUNTIFS(Circulation!$B$2:$B$500,A383,Circulation!$H$2:$H$500,"Active")&gt;0,"On Loan","Available"))</f>
        <v/>
      </c>
      <c r="AA383" s="9" t="n"/>
      <c r="AB383" s="9" t="n"/>
      <c r="AC383" s="9" t="n"/>
      <c r="AD383" s="9" t="n"/>
      <c r="AE383" s="9" t="n"/>
      <c r="AF383" s="9" t="n"/>
      <c r="AG383" s="9" t="n"/>
    </row>
    <row r="384">
      <c r="A384" s="13">
        <f>IF(ISBLANK(D384),"",ROW()-1)</f>
        <v/>
      </c>
      <c r="B384" s="14" t="n"/>
      <c r="C384" s="13">
        <f>IF(ISBLANK(D384),"",MID(K384,SEARCH("(",K384)+1,SEARCH(")",K384)-SEARCH("(",K384)-1)&amp;"-"&amp;MID(L384,SEARCH("(",L384)+1,SEARCH(")",L384)-SEARCH("(",L384)-1)&amp;"-"&amp;H384&amp;"-"&amp;TEXT(A384,"000")&amp;IF(ISBLANK(N384),"","-"&amp;SUBSTITUTE(N384," ","")))</f>
        <v/>
      </c>
      <c r="D384" s="9" t="n"/>
      <c r="E384" s="9" t="n"/>
      <c r="F384" s="9" t="n"/>
      <c r="G384" s="9" t="n"/>
      <c r="H384" s="13">
        <f>IF(ISBLANK(F384),"",IF(G384&lt;&gt;"",UPPER(TRIM(G384)),IF(ISNUMBER(SEARCH(" ",TRIM(F384))),UPPER(LEFT(TRIM(RIGHT(SUBSTITUTE(TRIM(F384)," ",REPT(" ",100)),100)),Settings!$B$9)),UPPER(LEFT(TRIM(F384),Settings!$B$9)))))</f>
        <v/>
      </c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15">
        <f>IF(ISBLANK(D384),"",IF(COUNTIFS(Circulation!$B$2:$B$500,A384,Circulation!$H$2:$H$500,"Active")&gt;0,"On Loan","Available"))</f>
        <v/>
      </c>
      <c r="AA384" s="9" t="n"/>
      <c r="AB384" s="9" t="n"/>
      <c r="AC384" s="9" t="n"/>
      <c r="AD384" s="9" t="n"/>
      <c r="AE384" s="9" t="n"/>
      <c r="AF384" s="9" t="n"/>
      <c r="AG384" s="9" t="n"/>
    </row>
    <row r="385">
      <c r="A385" s="13">
        <f>IF(ISBLANK(D385),"",ROW()-1)</f>
        <v/>
      </c>
      <c r="B385" s="14" t="n"/>
      <c r="C385" s="13">
        <f>IF(ISBLANK(D385),"",MID(K385,SEARCH("(",K385)+1,SEARCH(")",K385)-SEARCH("(",K385)-1)&amp;"-"&amp;MID(L385,SEARCH("(",L385)+1,SEARCH(")",L385)-SEARCH("(",L385)-1)&amp;"-"&amp;H385&amp;"-"&amp;TEXT(A385,"000")&amp;IF(ISBLANK(N385),"","-"&amp;SUBSTITUTE(N385," ","")))</f>
        <v/>
      </c>
      <c r="D385" s="9" t="n"/>
      <c r="E385" s="9" t="n"/>
      <c r="F385" s="9" t="n"/>
      <c r="G385" s="9" t="n"/>
      <c r="H385" s="13">
        <f>IF(ISBLANK(F385),"",IF(G385&lt;&gt;"",UPPER(TRIM(G385)),IF(ISNUMBER(SEARCH(" ",TRIM(F385))),UPPER(LEFT(TRIM(RIGHT(SUBSTITUTE(TRIM(F385)," ",REPT(" ",100)),100)),Settings!$B$9)),UPPER(LEFT(TRIM(F385),Settings!$B$9)))))</f>
        <v/>
      </c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15">
        <f>IF(ISBLANK(D385),"",IF(COUNTIFS(Circulation!$B$2:$B$500,A385,Circulation!$H$2:$H$500,"Active")&gt;0,"On Loan","Available"))</f>
        <v/>
      </c>
      <c r="AA385" s="9" t="n"/>
      <c r="AB385" s="9" t="n"/>
      <c r="AC385" s="9" t="n"/>
      <c r="AD385" s="9" t="n"/>
      <c r="AE385" s="9" t="n"/>
      <c r="AF385" s="9" t="n"/>
      <c r="AG385" s="9" t="n"/>
    </row>
    <row r="386">
      <c r="A386" s="13">
        <f>IF(ISBLANK(D386),"",ROW()-1)</f>
        <v/>
      </c>
      <c r="B386" s="14" t="n"/>
      <c r="C386" s="13">
        <f>IF(ISBLANK(D386),"",MID(K386,SEARCH("(",K386)+1,SEARCH(")",K386)-SEARCH("(",K386)-1)&amp;"-"&amp;MID(L386,SEARCH("(",L386)+1,SEARCH(")",L386)-SEARCH("(",L386)-1)&amp;"-"&amp;H386&amp;"-"&amp;TEXT(A386,"000")&amp;IF(ISBLANK(N386),"","-"&amp;SUBSTITUTE(N386," ","")))</f>
        <v/>
      </c>
      <c r="D386" s="9" t="n"/>
      <c r="E386" s="9" t="n"/>
      <c r="F386" s="9" t="n"/>
      <c r="G386" s="9" t="n"/>
      <c r="H386" s="13">
        <f>IF(ISBLANK(F386),"",IF(G386&lt;&gt;"",UPPER(TRIM(G386)),IF(ISNUMBER(SEARCH(" ",TRIM(F386))),UPPER(LEFT(TRIM(RIGHT(SUBSTITUTE(TRIM(F386)," ",REPT(" ",100)),100)),Settings!$B$9)),UPPER(LEFT(TRIM(F386),Settings!$B$9)))))</f>
        <v/>
      </c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15">
        <f>IF(ISBLANK(D386),"",IF(COUNTIFS(Circulation!$B$2:$B$500,A386,Circulation!$H$2:$H$500,"Active")&gt;0,"On Loan","Available"))</f>
        <v/>
      </c>
      <c r="AA386" s="9" t="n"/>
      <c r="AB386" s="9" t="n"/>
      <c r="AC386" s="9" t="n"/>
      <c r="AD386" s="9" t="n"/>
      <c r="AE386" s="9" t="n"/>
      <c r="AF386" s="9" t="n"/>
      <c r="AG386" s="9" t="n"/>
    </row>
    <row r="387">
      <c r="A387" s="13">
        <f>IF(ISBLANK(D387),"",ROW()-1)</f>
        <v/>
      </c>
      <c r="B387" s="14" t="n"/>
      <c r="C387" s="13">
        <f>IF(ISBLANK(D387),"",MID(K387,SEARCH("(",K387)+1,SEARCH(")",K387)-SEARCH("(",K387)-1)&amp;"-"&amp;MID(L387,SEARCH("(",L387)+1,SEARCH(")",L387)-SEARCH("(",L387)-1)&amp;"-"&amp;H387&amp;"-"&amp;TEXT(A387,"000")&amp;IF(ISBLANK(N387),"","-"&amp;SUBSTITUTE(N387," ","")))</f>
        <v/>
      </c>
      <c r="D387" s="9" t="n"/>
      <c r="E387" s="9" t="n"/>
      <c r="F387" s="9" t="n"/>
      <c r="G387" s="9" t="n"/>
      <c r="H387" s="13">
        <f>IF(ISBLANK(F387),"",IF(G387&lt;&gt;"",UPPER(TRIM(G387)),IF(ISNUMBER(SEARCH(" ",TRIM(F387))),UPPER(LEFT(TRIM(RIGHT(SUBSTITUTE(TRIM(F387)," ",REPT(" ",100)),100)),Settings!$B$9)),UPPER(LEFT(TRIM(F387),Settings!$B$9)))))</f>
        <v/>
      </c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15">
        <f>IF(ISBLANK(D387),"",IF(COUNTIFS(Circulation!$B$2:$B$500,A387,Circulation!$H$2:$H$500,"Active")&gt;0,"On Loan","Available"))</f>
        <v/>
      </c>
      <c r="AA387" s="9" t="n"/>
      <c r="AB387" s="9" t="n"/>
      <c r="AC387" s="9" t="n"/>
      <c r="AD387" s="9" t="n"/>
      <c r="AE387" s="9" t="n"/>
      <c r="AF387" s="9" t="n"/>
      <c r="AG387" s="9" t="n"/>
    </row>
    <row r="388">
      <c r="A388" s="13">
        <f>IF(ISBLANK(D388),"",ROW()-1)</f>
        <v/>
      </c>
      <c r="B388" s="14" t="n"/>
      <c r="C388" s="13">
        <f>IF(ISBLANK(D388),"",MID(K388,SEARCH("(",K388)+1,SEARCH(")",K388)-SEARCH("(",K388)-1)&amp;"-"&amp;MID(L388,SEARCH("(",L388)+1,SEARCH(")",L388)-SEARCH("(",L388)-1)&amp;"-"&amp;H388&amp;"-"&amp;TEXT(A388,"000")&amp;IF(ISBLANK(N388),"","-"&amp;SUBSTITUTE(N388," ","")))</f>
        <v/>
      </c>
      <c r="D388" s="9" t="n"/>
      <c r="E388" s="9" t="n"/>
      <c r="F388" s="9" t="n"/>
      <c r="G388" s="9" t="n"/>
      <c r="H388" s="13">
        <f>IF(ISBLANK(F388),"",IF(G388&lt;&gt;"",UPPER(TRIM(G388)),IF(ISNUMBER(SEARCH(" ",TRIM(F388))),UPPER(LEFT(TRIM(RIGHT(SUBSTITUTE(TRIM(F388)," ",REPT(" ",100)),100)),Settings!$B$9)),UPPER(LEFT(TRIM(F388),Settings!$B$9)))))</f>
        <v/>
      </c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15">
        <f>IF(ISBLANK(D388),"",IF(COUNTIFS(Circulation!$B$2:$B$500,A388,Circulation!$H$2:$H$500,"Active")&gt;0,"On Loan","Available"))</f>
        <v/>
      </c>
      <c r="AA388" s="9" t="n"/>
      <c r="AB388" s="9" t="n"/>
      <c r="AC388" s="9" t="n"/>
      <c r="AD388" s="9" t="n"/>
      <c r="AE388" s="9" t="n"/>
      <c r="AF388" s="9" t="n"/>
      <c r="AG388" s="9" t="n"/>
    </row>
    <row r="389">
      <c r="A389" s="13">
        <f>IF(ISBLANK(D389),"",ROW()-1)</f>
        <v/>
      </c>
      <c r="B389" s="14" t="n"/>
      <c r="C389" s="13">
        <f>IF(ISBLANK(D389),"",MID(K389,SEARCH("(",K389)+1,SEARCH(")",K389)-SEARCH("(",K389)-1)&amp;"-"&amp;MID(L389,SEARCH("(",L389)+1,SEARCH(")",L389)-SEARCH("(",L389)-1)&amp;"-"&amp;H389&amp;"-"&amp;TEXT(A389,"000")&amp;IF(ISBLANK(N389),"","-"&amp;SUBSTITUTE(N389," ","")))</f>
        <v/>
      </c>
      <c r="D389" s="9" t="n"/>
      <c r="E389" s="9" t="n"/>
      <c r="F389" s="9" t="n"/>
      <c r="G389" s="9" t="n"/>
      <c r="H389" s="13">
        <f>IF(ISBLANK(F389),"",IF(G389&lt;&gt;"",UPPER(TRIM(G389)),IF(ISNUMBER(SEARCH(" ",TRIM(F389))),UPPER(LEFT(TRIM(RIGHT(SUBSTITUTE(TRIM(F389)," ",REPT(" ",100)),100)),Settings!$B$9)),UPPER(LEFT(TRIM(F389),Settings!$B$9)))))</f>
        <v/>
      </c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15">
        <f>IF(ISBLANK(D389),"",IF(COUNTIFS(Circulation!$B$2:$B$500,A389,Circulation!$H$2:$H$500,"Active")&gt;0,"On Loan","Available"))</f>
        <v/>
      </c>
      <c r="AA389" s="9" t="n"/>
      <c r="AB389" s="9" t="n"/>
      <c r="AC389" s="9" t="n"/>
      <c r="AD389" s="9" t="n"/>
      <c r="AE389" s="9" t="n"/>
      <c r="AF389" s="9" t="n"/>
      <c r="AG389" s="9" t="n"/>
    </row>
    <row r="390">
      <c r="A390" s="13">
        <f>IF(ISBLANK(D390),"",ROW()-1)</f>
        <v/>
      </c>
      <c r="B390" s="14" t="n"/>
      <c r="C390" s="13">
        <f>IF(ISBLANK(D390),"",MID(K390,SEARCH("(",K390)+1,SEARCH(")",K390)-SEARCH("(",K390)-1)&amp;"-"&amp;MID(L390,SEARCH("(",L390)+1,SEARCH(")",L390)-SEARCH("(",L390)-1)&amp;"-"&amp;H390&amp;"-"&amp;TEXT(A390,"000")&amp;IF(ISBLANK(N390),"","-"&amp;SUBSTITUTE(N390," ","")))</f>
        <v/>
      </c>
      <c r="D390" s="9" t="n"/>
      <c r="E390" s="9" t="n"/>
      <c r="F390" s="9" t="n"/>
      <c r="G390" s="9" t="n"/>
      <c r="H390" s="13">
        <f>IF(ISBLANK(F390),"",IF(G390&lt;&gt;"",UPPER(TRIM(G390)),IF(ISNUMBER(SEARCH(" ",TRIM(F390))),UPPER(LEFT(TRIM(RIGHT(SUBSTITUTE(TRIM(F390)," ",REPT(" ",100)),100)),Settings!$B$9)),UPPER(LEFT(TRIM(F390),Settings!$B$9)))))</f>
        <v/>
      </c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15">
        <f>IF(ISBLANK(D390),"",IF(COUNTIFS(Circulation!$B$2:$B$500,A390,Circulation!$H$2:$H$500,"Active")&gt;0,"On Loan","Available"))</f>
        <v/>
      </c>
      <c r="AA390" s="9" t="n"/>
      <c r="AB390" s="9" t="n"/>
      <c r="AC390" s="9" t="n"/>
      <c r="AD390" s="9" t="n"/>
      <c r="AE390" s="9" t="n"/>
      <c r="AF390" s="9" t="n"/>
      <c r="AG390" s="9" t="n"/>
    </row>
    <row r="391">
      <c r="A391" s="13">
        <f>IF(ISBLANK(D391),"",ROW()-1)</f>
        <v/>
      </c>
      <c r="B391" s="14" t="n"/>
      <c r="C391" s="13">
        <f>IF(ISBLANK(D391),"",MID(K391,SEARCH("(",K391)+1,SEARCH(")",K391)-SEARCH("(",K391)-1)&amp;"-"&amp;MID(L391,SEARCH("(",L391)+1,SEARCH(")",L391)-SEARCH("(",L391)-1)&amp;"-"&amp;H391&amp;"-"&amp;TEXT(A391,"000")&amp;IF(ISBLANK(N391),"","-"&amp;SUBSTITUTE(N391," ","")))</f>
        <v/>
      </c>
      <c r="D391" s="9" t="n"/>
      <c r="E391" s="9" t="n"/>
      <c r="F391" s="9" t="n"/>
      <c r="G391" s="9" t="n"/>
      <c r="H391" s="13">
        <f>IF(ISBLANK(F391),"",IF(G391&lt;&gt;"",UPPER(TRIM(G391)),IF(ISNUMBER(SEARCH(" ",TRIM(F391))),UPPER(LEFT(TRIM(RIGHT(SUBSTITUTE(TRIM(F391)," ",REPT(" ",100)),100)),Settings!$B$9)),UPPER(LEFT(TRIM(F391),Settings!$B$9)))))</f>
        <v/>
      </c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15">
        <f>IF(ISBLANK(D391),"",IF(COUNTIFS(Circulation!$B$2:$B$500,A391,Circulation!$H$2:$H$500,"Active")&gt;0,"On Loan","Available"))</f>
        <v/>
      </c>
      <c r="AA391" s="9" t="n"/>
      <c r="AB391" s="9" t="n"/>
      <c r="AC391" s="9" t="n"/>
      <c r="AD391" s="9" t="n"/>
      <c r="AE391" s="9" t="n"/>
      <c r="AF391" s="9" t="n"/>
      <c r="AG391" s="9" t="n"/>
    </row>
    <row r="392">
      <c r="A392" s="13">
        <f>IF(ISBLANK(D392),"",ROW()-1)</f>
        <v/>
      </c>
      <c r="B392" s="14" t="n"/>
      <c r="C392" s="13">
        <f>IF(ISBLANK(D392),"",MID(K392,SEARCH("(",K392)+1,SEARCH(")",K392)-SEARCH("(",K392)-1)&amp;"-"&amp;MID(L392,SEARCH("(",L392)+1,SEARCH(")",L392)-SEARCH("(",L392)-1)&amp;"-"&amp;H392&amp;"-"&amp;TEXT(A392,"000")&amp;IF(ISBLANK(N392),"","-"&amp;SUBSTITUTE(N392," ","")))</f>
        <v/>
      </c>
      <c r="D392" s="9" t="n"/>
      <c r="E392" s="9" t="n"/>
      <c r="F392" s="9" t="n"/>
      <c r="G392" s="9" t="n"/>
      <c r="H392" s="13">
        <f>IF(ISBLANK(F392),"",IF(G392&lt;&gt;"",UPPER(TRIM(G392)),IF(ISNUMBER(SEARCH(" ",TRIM(F392))),UPPER(LEFT(TRIM(RIGHT(SUBSTITUTE(TRIM(F392)," ",REPT(" ",100)),100)),Settings!$B$9)),UPPER(LEFT(TRIM(F392),Settings!$B$9)))))</f>
        <v/>
      </c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15">
        <f>IF(ISBLANK(D392),"",IF(COUNTIFS(Circulation!$B$2:$B$500,A392,Circulation!$H$2:$H$500,"Active")&gt;0,"On Loan","Available"))</f>
        <v/>
      </c>
      <c r="AA392" s="9" t="n"/>
      <c r="AB392" s="9" t="n"/>
      <c r="AC392" s="9" t="n"/>
      <c r="AD392" s="9" t="n"/>
      <c r="AE392" s="9" t="n"/>
      <c r="AF392" s="9" t="n"/>
      <c r="AG392" s="9" t="n"/>
    </row>
    <row r="393">
      <c r="A393" s="13">
        <f>IF(ISBLANK(D393),"",ROW()-1)</f>
        <v/>
      </c>
      <c r="B393" s="14" t="n"/>
      <c r="C393" s="13">
        <f>IF(ISBLANK(D393),"",MID(K393,SEARCH("(",K393)+1,SEARCH(")",K393)-SEARCH("(",K393)-1)&amp;"-"&amp;MID(L393,SEARCH("(",L393)+1,SEARCH(")",L393)-SEARCH("(",L393)-1)&amp;"-"&amp;H393&amp;"-"&amp;TEXT(A393,"000")&amp;IF(ISBLANK(N393),"","-"&amp;SUBSTITUTE(N393," ","")))</f>
        <v/>
      </c>
      <c r="D393" s="9" t="n"/>
      <c r="E393" s="9" t="n"/>
      <c r="F393" s="9" t="n"/>
      <c r="G393" s="9" t="n"/>
      <c r="H393" s="13">
        <f>IF(ISBLANK(F393),"",IF(G393&lt;&gt;"",UPPER(TRIM(G393)),IF(ISNUMBER(SEARCH(" ",TRIM(F393))),UPPER(LEFT(TRIM(RIGHT(SUBSTITUTE(TRIM(F393)," ",REPT(" ",100)),100)),Settings!$B$9)),UPPER(LEFT(TRIM(F393),Settings!$B$9)))))</f>
        <v/>
      </c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15">
        <f>IF(ISBLANK(D393),"",IF(COUNTIFS(Circulation!$B$2:$B$500,A393,Circulation!$H$2:$H$500,"Active")&gt;0,"On Loan","Available"))</f>
        <v/>
      </c>
      <c r="AA393" s="9" t="n"/>
      <c r="AB393" s="9" t="n"/>
      <c r="AC393" s="9" t="n"/>
      <c r="AD393" s="9" t="n"/>
      <c r="AE393" s="9" t="n"/>
      <c r="AF393" s="9" t="n"/>
      <c r="AG393" s="9" t="n"/>
    </row>
    <row r="394">
      <c r="A394" s="13">
        <f>IF(ISBLANK(D394),"",ROW()-1)</f>
        <v/>
      </c>
      <c r="B394" s="14" t="n"/>
      <c r="C394" s="13">
        <f>IF(ISBLANK(D394),"",MID(K394,SEARCH("(",K394)+1,SEARCH(")",K394)-SEARCH("(",K394)-1)&amp;"-"&amp;MID(L394,SEARCH("(",L394)+1,SEARCH(")",L394)-SEARCH("(",L394)-1)&amp;"-"&amp;H394&amp;"-"&amp;TEXT(A394,"000")&amp;IF(ISBLANK(N394),"","-"&amp;SUBSTITUTE(N394," ","")))</f>
        <v/>
      </c>
      <c r="D394" s="9" t="n"/>
      <c r="E394" s="9" t="n"/>
      <c r="F394" s="9" t="n"/>
      <c r="G394" s="9" t="n"/>
      <c r="H394" s="13">
        <f>IF(ISBLANK(F394),"",IF(G394&lt;&gt;"",UPPER(TRIM(G394)),IF(ISNUMBER(SEARCH(" ",TRIM(F394))),UPPER(LEFT(TRIM(RIGHT(SUBSTITUTE(TRIM(F394)," ",REPT(" ",100)),100)),Settings!$B$9)),UPPER(LEFT(TRIM(F394),Settings!$B$9)))))</f>
        <v/>
      </c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15">
        <f>IF(ISBLANK(D394),"",IF(COUNTIFS(Circulation!$B$2:$B$500,A394,Circulation!$H$2:$H$500,"Active")&gt;0,"On Loan","Available"))</f>
        <v/>
      </c>
      <c r="AA394" s="9" t="n"/>
      <c r="AB394" s="9" t="n"/>
      <c r="AC394" s="9" t="n"/>
      <c r="AD394" s="9" t="n"/>
      <c r="AE394" s="9" t="n"/>
      <c r="AF394" s="9" t="n"/>
      <c r="AG394" s="9" t="n"/>
    </row>
    <row r="395">
      <c r="A395" s="13">
        <f>IF(ISBLANK(D395),"",ROW()-1)</f>
        <v/>
      </c>
      <c r="B395" s="14" t="n"/>
      <c r="C395" s="13">
        <f>IF(ISBLANK(D395),"",MID(K395,SEARCH("(",K395)+1,SEARCH(")",K395)-SEARCH("(",K395)-1)&amp;"-"&amp;MID(L395,SEARCH("(",L395)+1,SEARCH(")",L395)-SEARCH("(",L395)-1)&amp;"-"&amp;H395&amp;"-"&amp;TEXT(A395,"000")&amp;IF(ISBLANK(N395),"","-"&amp;SUBSTITUTE(N395," ","")))</f>
        <v/>
      </c>
      <c r="D395" s="9" t="n"/>
      <c r="E395" s="9" t="n"/>
      <c r="F395" s="9" t="n"/>
      <c r="G395" s="9" t="n"/>
      <c r="H395" s="13">
        <f>IF(ISBLANK(F395),"",IF(G395&lt;&gt;"",UPPER(TRIM(G395)),IF(ISNUMBER(SEARCH(" ",TRIM(F395))),UPPER(LEFT(TRIM(RIGHT(SUBSTITUTE(TRIM(F395)," ",REPT(" ",100)),100)),Settings!$B$9)),UPPER(LEFT(TRIM(F395),Settings!$B$9)))))</f>
        <v/>
      </c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15">
        <f>IF(ISBLANK(D395),"",IF(COUNTIFS(Circulation!$B$2:$B$500,A395,Circulation!$H$2:$H$500,"Active")&gt;0,"On Loan","Available"))</f>
        <v/>
      </c>
      <c r="AA395" s="9" t="n"/>
      <c r="AB395" s="9" t="n"/>
      <c r="AC395" s="9" t="n"/>
      <c r="AD395" s="9" t="n"/>
      <c r="AE395" s="9" t="n"/>
      <c r="AF395" s="9" t="n"/>
      <c r="AG395" s="9" t="n"/>
    </row>
    <row r="396">
      <c r="A396" s="13">
        <f>IF(ISBLANK(D396),"",ROW()-1)</f>
        <v/>
      </c>
      <c r="B396" s="14" t="n"/>
      <c r="C396" s="13">
        <f>IF(ISBLANK(D396),"",MID(K396,SEARCH("(",K396)+1,SEARCH(")",K396)-SEARCH("(",K396)-1)&amp;"-"&amp;MID(L396,SEARCH("(",L396)+1,SEARCH(")",L396)-SEARCH("(",L396)-1)&amp;"-"&amp;H396&amp;"-"&amp;TEXT(A396,"000")&amp;IF(ISBLANK(N396),"","-"&amp;SUBSTITUTE(N396," ","")))</f>
        <v/>
      </c>
      <c r="D396" s="9" t="n"/>
      <c r="E396" s="9" t="n"/>
      <c r="F396" s="9" t="n"/>
      <c r="G396" s="9" t="n"/>
      <c r="H396" s="13">
        <f>IF(ISBLANK(F396),"",IF(G396&lt;&gt;"",UPPER(TRIM(G396)),IF(ISNUMBER(SEARCH(" ",TRIM(F396))),UPPER(LEFT(TRIM(RIGHT(SUBSTITUTE(TRIM(F396)," ",REPT(" ",100)),100)),Settings!$B$9)),UPPER(LEFT(TRIM(F396),Settings!$B$9)))))</f>
        <v/>
      </c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15">
        <f>IF(ISBLANK(D396),"",IF(COUNTIFS(Circulation!$B$2:$B$500,A396,Circulation!$H$2:$H$500,"Active")&gt;0,"On Loan","Available"))</f>
        <v/>
      </c>
      <c r="AA396" s="9" t="n"/>
      <c r="AB396" s="9" t="n"/>
      <c r="AC396" s="9" t="n"/>
      <c r="AD396" s="9" t="n"/>
      <c r="AE396" s="9" t="n"/>
      <c r="AF396" s="9" t="n"/>
      <c r="AG396" s="9" t="n"/>
    </row>
    <row r="397">
      <c r="A397" s="13">
        <f>IF(ISBLANK(D397),"",ROW()-1)</f>
        <v/>
      </c>
      <c r="B397" s="14" t="n"/>
      <c r="C397" s="13">
        <f>IF(ISBLANK(D397),"",MID(K397,SEARCH("(",K397)+1,SEARCH(")",K397)-SEARCH("(",K397)-1)&amp;"-"&amp;MID(L397,SEARCH("(",L397)+1,SEARCH(")",L397)-SEARCH("(",L397)-1)&amp;"-"&amp;H397&amp;"-"&amp;TEXT(A397,"000")&amp;IF(ISBLANK(N397),"","-"&amp;SUBSTITUTE(N397," ","")))</f>
        <v/>
      </c>
      <c r="D397" s="9" t="n"/>
      <c r="E397" s="9" t="n"/>
      <c r="F397" s="9" t="n"/>
      <c r="G397" s="9" t="n"/>
      <c r="H397" s="13">
        <f>IF(ISBLANK(F397),"",IF(G397&lt;&gt;"",UPPER(TRIM(G397)),IF(ISNUMBER(SEARCH(" ",TRIM(F397))),UPPER(LEFT(TRIM(RIGHT(SUBSTITUTE(TRIM(F397)," ",REPT(" ",100)),100)),Settings!$B$9)),UPPER(LEFT(TRIM(F397),Settings!$B$9)))))</f>
        <v/>
      </c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15">
        <f>IF(ISBLANK(D397),"",IF(COUNTIFS(Circulation!$B$2:$B$500,A397,Circulation!$H$2:$H$500,"Active")&gt;0,"On Loan","Available"))</f>
        <v/>
      </c>
      <c r="AA397" s="9" t="n"/>
      <c r="AB397" s="9" t="n"/>
      <c r="AC397" s="9" t="n"/>
      <c r="AD397" s="9" t="n"/>
      <c r="AE397" s="9" t="n"/>
      <c r="AF397" s="9" t="n"/>
      <c r="AG397" s="9" t="n"/>
    </row>
    <row r="398">
      <c r="A398" s="13">
        <f>IF(ISBLANK(D398),"",ROW()-1)</f>
        <v/>
      </c>
      <c r="B398" s="14" t="n"/>
      <c r="C398" s="13">
        <f>IF(ISBLANK(D398),"",MID(K398,SEARCH("(",K398)+1,SEARCH(")",K398)-SEARCH("(",K398)-1)&amp;"-"&amp;MID(L398,SEARCH("(",L398)+1,SEARCH(")",L398)-SEARCH("(",L398)-1)&amp;"-"&amp;H398&amp;"-"&amp;TEXT(A398,"000")&amp;IF(ISBLANK(N398),"","-"&amp;SUBSTITUTE(N398," ","")))</f>
        <v/>
      </c>
      <c r="D398" s="9" t="n"/>
      <c r="E398" s="9" t="n"/>
      <c r="F398" s="9" t="n"/>
      <c r="G398" s="9" t="n"/>
      <c r="H398" s="13">
        <f>IF(ISBLANK(F398),"",IF(G398&lt;&gt;"",UPPER(TRIM(G398)),IF(ISNUMBER(SEARCH(" ",TRIM(F398))),UPPER(LEFT(TRIM(RIGHT(SUBSTITUTE(TRIM(F398)," ",REPT(" ",100)),100)),Settings!$B$9)),UPPER(LEFT(TRIM(F398),Settings!$B$9)))))</f>
        <v/>
      </c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15">
        <f>IF(ISBLANK(D398),"",IF(COUNTIFS(Circulation!$B$2:$B$500,A398,Circulation!$H$2:$H$500,"Active")&gt;0,"On Loan","Available"))</f>
        <v/>
      </c>
      <c r="AA398" s="9" t="n"/>
      <c r="AB398" s="9" t="n"/>
      <c r="AC398" s="9" t="n"/>
      <c r="AD398" s="9" t="n"/>
      <c r="AE398" s="9" t="n"/>
      <c r="AF398" s="9" t="n"/>
      <c r="AG398" s="9" t="n"/>
    </row>
    <row r="399">
      <c r="A399" s="13">
        <f>IF(ISBLANK(D399),"",ROW()-1)</f>
        <v/>
      </c>
      <c r="B399" s="14" t="n"/>
      <c r="C399" s="13">
        <f>IF(ISBLANK(D399),"",MID(K399,SEARCH("(",K399)+1,SEARCH(")",K399)-SEARCH("(",K399)-1)&amp;"-"&amp;MID(L399,SEARCH("(",L399)+1,SEARCH(")",L399)-SEARCH("(",L399)-1)&amp;"-"&amp;H399&amp;"-"&amp;TEXT(A399,"000")&amp;IF(ISBLANK(N399),"","-"&amp;SUBSTITUTE(N399," ","")))</f>
        <v/>
      </c>
      <c r="D399" s="9" t="n"/>
      <c r="E399" s="9" t="n"/>
      <c r="F399" s="9" t="n"/>
      <c r="G399" s="9" t="n"/>
      <c r="H399" s="13">
        <f>IF(ISBLANK(F399),"",IF(G399&lt;&gt;"",UPPER(TRIM(G399)),IF(ISNUMBER(SEARCH(" ",TRIM(F399))),UPPER(LEFT(TRIM(RIGHT(SUBSTITUTE(TRIM(F399)," ",REPT(" ",100)),100)),Settings!$B$9)),UPPER(LEFT(TRIM(F399),Settings!$B$9)))))</f>
        <v/>
      </c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15">
        <f>IF(ISBLANK(D399),"",IF(COUNTIFS(Circulation!$B$2:$B$500,A399,Circulation!$H$2:$H$500,"Active")&gt;0,"On Loan","Available"))</f>
        <v/>
      </c>
      <c r="AA399" s="9" t="n"/>
      <c r="AB399" s="9" t="n"/>
      <c r="AC399" s="9" t="n"/>
      <c r="AD399" s="9" t="n"/>
      <c r="AE399" s="9" t="n"/>
      <c r="AF399" s="9" t="n"/>
      <c r="AG399" s="9" t="n"/>
    </row>
    <row r="400">
      <c r="A400" s="13">
        <f>IF(ISBLANK(D400),"",ROW()-1)</f>
        <v/>
      </c>
      <c r="B400" s="14" t="n"/>
      <c r="C400" s="13">
        <f>IF(ISBLANK(D400),"",MID(K400,SEARCH("(",K400)+1,SEARCH(")",K400)-SEARCH("(",K400)-1)&amp;"-"&amp;MID(L400,SEARCH("(",L400)+1,SEARCH(")",L400)-SEARCH("(",L400)-1)&amp;"-"&amp;H400&amp;"-"&amp;TEXT(A400,"000")&amp;IF(ISBLANK(N400),"","-"&amp;SUBSTITUTE(N400," ","")))</f>
        <v/>
      </c>
      <c r="D400" s="9" t="n"/>
      <c r="E400" s="9" t="n"/>
      <c r="F400" s="9" t="n"/>
      <c r="G400" s="9" t="n"/>
      <c r="H400" s="13">
        <f>IF(ISBLANK(F400),"",IF(G400&lt;&gt;"",UPPER(TRIM(G400)),IF(ISNUMBER(SEARCH(" ",TRIM(F400))),UPPER(LEFT(TRIM(RIGHT(SUBSTITUTE(TRIM(F400)," ",REPT(" ",100)),100)),Settings!$B$9)),UPPER(LEFT(TRIM(F400),Settings!$B$9)))))</f>
        <v/>
      </c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15">
        <f>IF(ISBLANK(D400),"",IF(COUNTIFS(Circulation!$B$2:$B$500,A400,Circulation!$H$2:$H$500,"Active")&gt;0,"On Loan","Available"))</f>
        <v/>
      </c>
      <c r="AA400" s="9" t="n"/>
      <c r="AB400" s="9" t="n"/>
      <c r="AC400" s="9" t="n"/>
      <c r="AD400" s="9" t="n"/>
      <c r="AE400" s="9" t="n"/>
      <c r="AF400" s="9" t="n"/>
      <c r="AG400" s="9" t="n"/>
    </row>
    <row r="401">
      <c r="A401" s="13">
        <f>IF(ISBLANK(D401),"",ROW()-1)</f>
        <v/>
      </c>
      <c r="B401" s="14" t="n"/>
      <c r="C401" s="13">
        <f>IF(ISBLANK(D401),"",MID(K401,SEARCH("(",K401)+1,SEARCH(")",K401)-SEARCH("(",K401)-1)&amp;"-"&amp;MID(L401,SEARCH("(",L401)+1,SEARCH(")",L401)-SEARCH("(",L401)-1)&amp;"-"&amp;H401&amp;"-"&amp;TEXT(A401,"000")&amp;IF(ISBLANK(N401),"","-"&amp;SUBSTITUTE(N401," ","")))</f>
        <v/>
      </c>
      <c r="D401" s="9" t="n"/>
      <c r="E401" s="9" t="n"/>
      <c r="F401" s="9" t="n"/>
      <c r="G401" s="9" t="n"/>
      <c r="H401" s="13">
        <f>IF(ISBLANK(F401),"",IF(G401&lt;&gt;"",UPPER(TRIM(G401)),IF(ISNUMBER(SEARCH(" ",TRIM(F401))),UPPER(LEFT(TRIM(RIGHT(SUBSTITUTE(TRIM(F401)," ",REPT(" ",100)),100)),Settings!$B$9)),UPPER(LEFT(TRIM(F401),Settings!$B$9)))))</f>
        <v/>
      </c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15">
        <f>IF(ISBLANK(D401),"",IF(COUNTIFS(Circulation!$B$2:$B$500,A401,Circulation!$H$2:$H$500,"Active")&gt;0,"On Loan","Available"))</f>
        <v/>
      </c>
      <c r="AA401" s="9" t="n"/>
      <c r="AB401" s="9" t="n"/>
      <c r="AC401" s="9" t="n"/>
      <c r="AD401" s="9" t="n"/>
      <c r="AE401" s="9" t="n"/>
      <c r="AF401" s="9" t="n"/>
      <c r="AG401" s="9" t="n"/>
    </row>
    <row r="402">
      <c r="A402" s="13">
        <f>IF(ISBLANK(D402),"",ROW()-1)</f>
        <v/>
      </c>
      <c r="B402" s="14" t="n"/>
      <c r="C402" s="13">
        <f>IF(ISBLANK(D402),"",MID(K402,SEARCH("(",K402)+1,SEARCH(")",K402)-SEARCH("(",K402)-1)&amp;"-"&amp;MID(L402,SEARCH("(",L402)+1,SEARCH(")",L402)-SEARCH("(",L402)-1)&amp;"-"&amp;H402&amp;"-"&amp;TEXT(A402,"000")&amp;IF(ISBLANK(N402),"","-"&amp;SUBSTITUTE(N402," ","")))</f>
        <v/>
      </c>
      <c r="D402" s="9" t="n"/>
      <c r="E402" s="9" t="n"/>
      <c r="F402" s="9" t="n"/>
      <c r="G402" s="9" t="n"/>
      <c r="H402" s="13">
        <f>IF(ISBLANK(F402),"",IF(G402&lt;&gt;"",UPPER(TRIM(G402)),IF(ISNUMBER(SEARCH(" ",TRIM(F402))),UPPER(LEFT(TRIM(RIGHT(SUBSTITUTE(TRIM(F402)," ",REPT(" ",100)),100)),Settings!$B$9)),UPPER(LEFT(TRIM(F402),Settings!$B$9)))))</f>
        <v/>
      </c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15">
        <f>IF(ISBLANK(D402),"",IF(COUNTIFS(Circulation!$B$2:$B$500,A402,Circulation!$H$2:$H$500,"Active")&gt;0,"On Loan","Available"))</f>
        <v/>
      </c>
      <c r="AA402" s="9" t="n"/>
      <c r="AB402" s="9" t="n"/>
      <c r="AC402" s="9" t="n"/>
      <c r="AD402" s="9" t="n"/>
      <c r="AE402" s="9" t="n"/>
      <c r="AF402" s="9" t="n"/>
      <c r="AG402" s="9" t="n"/>
    </row>
    <row r="403">
      <c r="A403" s="13">
        <f>IF(ISBLANK(D403),"",ROW()-1)</f>
        <v/>
      </c>
      <c r="B403" s="14" t="n"/>
      <c r="C403" s="13">
        <f>IF(ISBLANK(D403),"",MID(K403,SEARCH("(",K403)+1,SEARCH(")",K403)-SEARCH("(",K403)-1)&amp;"-"&amp;MID(L403,SEARCH("(",L403)+1,SEARCH(")",L403)-SEARCH("(",L403)-1)&amp;"-"&amp;H403&amp;"-"&amp;TEXT(A403,"000")&amp;IF(ISBLANK(N403),"","-"&amp;SUBSTITUTE(N403," ","")))</f>
        <v/>
      </c>
      <c r="D403" s="9" t="n"/>
      <c r="E403" s="9" t="n"/>
      <c r="F403" s="9" t="n"/>
      <c r="G403" s="9" t="n"/>
      <c r="H403" s="13">
        <f>IF(ISBLANK(F403),"",IF(G403&lt;&gt;"",UPPER(TRIM(G403)),IF(ISNUMBER(SEARCH(" ",TRIM(F403))),UPPER(LEFT(TRIM(RIGHT(SUBSTITUTE(TRIM(F403)," ",REPT(" ",100)),100)),Settings!$B$9)),UPPER(LEFT(TRIM(F403),Settings!$B$9)))))</f>
        <v/>
      </c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15">
        <f>IF(ISBLANK(D403),"",IF(COUNTIFS(Circulation!$B$2:$B$500,A403,Circulation!$H$2:$H$500,"Active")&gt;0,"On Loan","Available"))</f>
        <v/>
      </c>
      <c r="AA403" s="9" t="n"/>
      <c r="AB403" s="9" t="n"/>
      <c r="AC403" s="9" t="n"/>
      <c r="AD403" s="9" t="n"/>
      <c r="AE403" s="9" t="n"/>
      <c r="AF403" s="9" t="n"/>
      <c r="AG403" s="9" t="n"/>
    </row>
    <row r="404">
      <c r="A404" s="13">
        <f>IF(ISBLANK(D404),"",ROW()-1)</f>
        <v/>
      </c>
      <c r="B404" s="14" t="n"/>
      <c r="C404" s="13">
        <f>IF(ISBLANK(D404),"",MID(K404,SEARCH("(",K404)+1,SEARCH(")",K404)-SEARCH("(",K404)-1)&amp;"-"&amp;MID(L404,SEARCH("(",L404)+1,SEARCH(")",L404)-SEARCH("(",L404)-1)&amp;"-"&amp;H404&amp;"-"&amp;TEXT(A404,"000")&amp;IF(ISBLANK(N404),"","-"&amp;SUBSTITUTE(N404," ","")))</f>
        <v/>
      </c>
      <c r="D404" s="9" t="n"/>
      <c r="E404" s="9" t="n"/>
      <c r="F404" s="9" t="n"/>
      <c r="G404" s="9" t="n"/>
      <c r="H404" s="13">
        <f>IF(ISBLANK(F404),"",IF(G404&lt;&gt;"",UPPER(TRIM(G404)),IF(ISNUMBER(SEARCH(" ",TRIM(F404))),UPPER(LEFT(TRIM(RIGHT(SUBSTITUTE(TRIM(F404)," ",REPT(" ",100)),100)),Settings!$B$9)),UPPER(LEFT(TRIM(F404),Settings!$B$9)))))</f>
        <v/>
      </c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15">
        <f>IF(ISBLANK(D404),"",IF(COUNTIFS(Circulation!$B$2:$B$500,A404,Circulation!$H$2:$H$500,"Active")&gt;0,"On Loan","Available"))</f>
        <v/>
      </c>
      <c r="AA404" s="9" t="n"/>
      <c r="AB404" s="9" t="n"/>
      <c r="AC404" s="9" t="n"/>
      <c r="AD404" s="9" t="n"/>
      <c r="AE404" s="9" t="n"/>
      <c r="AF404" s="9" t="n"/>
      <c r="AG404" s="9" t="n"/>
    </row>
    <row r="405">
      <c r="A405" s="13">
        <f>IF(ISBLANK(D405),"",ROW()-1)</f>
        <v/>
      </c>
      <c r="B405" s="14" t="n"/>
      <c r="C405" s="13">
        <f>IF(ISBLANK(D405),"",MID(K405,SEARCH("(",K405)+1,SEARCH(")",K405)-SEARCH("(",K405)-1)&amp;"-"&amp;MID(L405,SEARCH("(",L405)+1,SEARCH(")",L405)-SEARCH("(",L405)-1)&amp;"-"&amp;H405&amp;"-"&amp;TEXT(A405,"000")&amp;IF(ISBLANK(N405),"","-"&amp;SUBSTITUTE(N405," ","")))</f>
        <v/>
      </c>
      <c r="D405" s="9" t="n"/>
      <c r="E405" s="9" t="n"/>
      <c r="F405" s="9" t="n"/>
      <c r="G405" s="9" t="n"/>
      <c r="H405" s="13">
        <f>IF(ISBLANK(F405),"",IF(G405&lt;&gt;"",UPPER(TRIM(G405)),IF(ISNUMBER(SEARCH(" ",TRIM(F405))),UPPER(LEFT(TRIM(RIGHT(SUBSTITUTE(TRIM(F405)," ",REPT(" ",100)),100)),Settings!$B$9)),UPPER(LEFT(TRIM(F405),Settings!$B$9)))))</f>
        <v/>
      </c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15">
        <f>IF(ISBLANK(D405),"",IF(COUNTIFS(Circulation!$B$2:$B$500,A405,Circulation!$H$2:$H$500,"Active")&gt;0,"On Loan","Available"))</f>
        <v/>
      </c>
      <c r="AA405" s="9" t="n"/>
      <c r="AB405" s="9" t="n"/>
      <c r="AC405" s="9" t="n"/>
      <c r="AD405" s="9" t="n"/>
      <c r="AE405" s="9" t="n"/>
      <c r="AF405" s="9" t="n"/>
      <c r="AG405" s="9" t="n"/>
    </row>
    <row r="406">
      <c r="A406" s="13">
        <f>IF(ISBLANK(D406),"",ROW()-1)</f>
        <v/>
      </c>
      <c r="B406" s="14" t="n"/>
      <c r="C406" s="13">
        <f>IF(ISBLANK(D406),"",MID(K406,SEARCH("(",K406)+1,SEARCH(")",K406)-SEARCH("(",K406)-1)&amp;"-"&amp;MID(L406,SEARCH("(",L406)+1,SEARCH(")",L406)-SEARCH("(",L406)-1)&amp;"-"&amp;H406&amp;"-"&amp;TEXT(A406,"000")&amp;IF(ISBLANK(N406),"","-"&amp;SUBSTITUTE(N406," ","")))</f>
        <v/>
      </c>
      <c r="D406" s="9" t="n"/>
      <c r="E406" s="9" t="n"/>
      <c r="F406" s="9" t="n"/>
      <c r="G406" s="9" t="n"/>
      <c r="H406" s="13">
        <f>IF(ISBLANK(F406),"",IF(G406&lt;&gt;"",UPPER(TRIM(G406)),IF(ISNUMBER(SEARCH(" ",TRIM(F406))),UPPER(LEFT(TRIM(RIGHT(SUBSTITUTE(TRIM(F406)," ",REPT(" ",100)),100)),Settings!$B$9)),UPPER(LEFT(TRIM(F406),Settings!$B$9)))))</f>
        <v/>
      </c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15">
        <f>IF(ISBLANK(D406),"",IF(COUNTIFS(Circulation!$B$2:$B$500,A406,Circulation!$H$2:$H$500,"Active")&gt;0,"On Loan","Available"))</f>
        <v/>
      </c>
      <c r="AA406" s="9" t="n"/>
      <c r="AB406" s="9" t="n"/>
      <c r="AC406" s="9" t="n"/>
      <c r="AD406" s="9" t="n"/>
      <c r="AE406" s="9" t="n"/>
      <c r="AF406" s="9" t="n"/>
      <c r="AG406" s="9" t="n"/>
    </row>
    <row r="407">
      <c r="A407" s="13">
        <f>IF(ISBLANK(D407),"",ROW()-1)</f>
        <v/>
      </c>
      <c r="B407" s="14" t="n"/>
      <c r="C407" s="13">
        <f>IF(ISBLANK(D407),"",MID(K407,SEARCH("(",K407)+1,SEARCH(")",K407)-SEARCH("(",K407)-1)&amp;"-"&amp;MID(L407,SEARCH("(",L407)+1,SEARCH(")",L407)-SEARCH("(",L407)-1)&amp;"-"&amp;H407&amp;"-"&amp;TEXT(A407,"000")&amp;IF(ISBLANK(N407),"","-"&amp;SUBSTITUTE(N407," ","")))</f>
        <v/>
      </c>
      <c r="D407" s="9" t="n"/>
      <c r="E407" s="9" t="n"/>
      <c r="F407" s="9" t="n"/>
      <c r="G407" s="9" t="n"/>
      <c r="H407" s="13">
        <f>IF(ISBLANK(F407),"",IF(G407&lt;&gt;"",UPPER(TRIM(G407)),IF(ISNUMBER(SEARCH(" ",TRIM(F407))),UPPER(LEFT(TRIM(RIGHT(SUBSTITUTE(TRIM(F407)," ",REPT(" ",100)),100)),Settings!$B$9)),UPPER(LEFT(TRIM(F407),Settings!$B$9)))))</f>
        <v/>
      </c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15">
        <f>IF(ISBLANK(D407),"",IF(COUNTIFS(Circulation!$B$2:$B$500,A407,Circulation!$H$2:$H$500,"Active")&gt;0,"On Loan","Available"))</f>
        <v/>
      </c>
      <c r="AA407" s="9" t="n"/>
      <c r="AB407" s="9" t="n"/>
      <c r="AC407" s="9" t="n"/>
      <c r="AD407" s="9" t="n"/>
      <c r="AE407" s="9" t="n"/>
      <c r="AF407" s="9" t="n"/>
      <c r="AG407" s="9" t="n"/>
    </row>
    <row r="408">
      <c r="A408" s="13">
        <f>IF(ISBLANK(D408),"",ROW()-1)</f>
        <v/>
      </c>
      <c r="B408" s="14" t="n"/>
      <c r="C408" s="13">
        <f>IF(ISBLANK(D408),"",MID(K408,SEARCH("(",K408)+1,SEARCH(")",K408)-SEARCH("(",K408)-1)&amp;"-"&amp;MID(L408,SEARCH("(",L408)+1,SEARCH(")",L408)-SEARCH("(",L408)-1)&amp;"-"&amp;H408&amp;"-"&amp;TEXT(A408,"000")&amp;IF(ISBLANK(N408),"","-"&amp;SUBSTITUTE(N408," ","")))</f>
        <v/>
      </c>
      <c r="D408" s="9" t="n"/>
      <c r="E408" s="9" t="n"/>
      <c r="F408" s="9" t="n"/>
      <c r="G408" s="9" t="n"/>
      <c r="H408" s="13">
        <f>IF(ISBLANK(F408),"",IF(G408&lt;&gt;"",UPPER(TRIM(G408)),IF(ISNUMBER(SEARCH(" ",TRIM(F408))),UPPER(LEFT(TRIM(RIGHT(SUBSTITUTE(TRIM(F408)," ",REPT(" ",100)),100)),Settings!$B$9)),UPPER(LEFT(TRIM(F408),Settings!$B$9)))))</f>
        <v/>
      </c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15">
        <f>IF(ISBLANK(D408),"",IF(COUNTIFS(Circulation!$B$2:$B$500,A408,Circulation!$H$2:$H$500,"Active")&gt;0,"On Loan","Available"))</f>
        <v/>
      </c>
      <c r="AA408" s="9" t="n"/>
      <c r="AB408" s="9" t="n"/>
      <c r="AC408" s="9" t="n"/>
      <c r="AD408" s="9" t="n"/>
      <c r="AE408" s="9" t="n"/>
      <c r="AF408" s="9" t="n"/>
      <c r="AG408" s="9" t="n"/>
    </row>
    <row r="409">
      <c r="A409" s="13">
        <f>IF(ISBLANK(D409),"",ROW()-1)</f>
        <v/>
      </c>
      <c r="B409" s="14" t="n"/>
      <c r="C409" s="13">
        <f>IF(ISBLANK(D409),"",MID(K409,SEARCH("(",K409)+1,SEARCH(")",K409)-SEARCH("(",K409)-1)&amp;"-"&amp;MID(L409,SEARCH("(",L409)+1,SEARCH(")",L409)-SEARCH("(",L409)-1)&amp;"-"&amp;H409&amp;"-"&amp;TEXT(A409,"000")&amp;IF(ISBLANK(N409),"","-"&amp;SUBSTITUTE(N409," ","")))</f>
        <v/>
      </c>
      <c r="D409" s="9" t="n"/>
      <c r="E409" s="9" t="n"/>
      <c r="F409" s="9" t="n"/>
      <c r="G409" s="9" t="n"/>
      <c r="H409" s="13">
        <f>IF(ISBLANK(F409),"",IF(G409&lt;&gt;"",UPPER(TRIM(G409)),IF(ISNUMBER(SEARCH(" ",TRIM(F409))),UPPER(LEFT(TRIM(RIGHT(SUBSTITUTE(TRIM(F409)," ",REPT(" ",100)),100)),Settings!$B$9)),UPPER(LEFT(TRIM(F409),Settings!$B$9)))))</f>
        <v/>
      </c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15">
        <f>IF(ISBLANK(D409),"",IF(COUNTIFS(Circulation!$B$2:$B$500,A409,Circulation!$H$2:$H$500,"Active")&gt;0,"On Loan","Available"))</f>
        <v/>
      </c>
      <c r="AA409" s="9" t="n"/>
      <c r="AB409" s="9" t="n"/>
      <c r="AC409" s="9" t="n"/>
      <c r="AD409" s="9" t="n"/>
      <c r="AE409" s="9" t="n"/>
      <c r="AF409" s="9" t="n"/>
      <c r="AG409" s="9" t="n"/>
    </row>
    <row r="410">
      <c r="A410" s="13">
        <f>IF(ISBLANK(D410),"",ROW()-1)</f>
        <v/>
      </c>
      <c r="B410" s="14" t="n"/>
      <c r="C410" s="13">
        <f>IF(ISBLANK(D410),"",MID(K410,SEARCH("(",K410)+1,SEARCH(")",K410)-SEARCH("(",K410)-1)&amp;"-"&amp;MID(L410,SEARCH("(",L410)+1,SEARCH(")",L410)-SEARCH("(",L410)-1)&amp;"-"&amp;H410&amp;"-"&amp;TEXT(A410,"000")&amp;IF(ISBLANK(N410),"","-"&amp;SUBSTITUTE(N410," ","")))</f>
        <v/>
      </c>
      <c r="D410" s="9" t="n"/>
      <c r="E410" s="9" t="n"/>
      <c r="F410" s="9" t="n"/>
      <c r="G410" s="9" t="n"/>
      <c r="H410" s="13">
        <f>IF(ISBLANK(F410),"",IF(G410&lt;&gt;"",UPPER(TRIM(G410)),IF(ISNUMBER(SEARCH(" ",TRIM(F410))),UPPER(LEFT(TRIM(RIGHT(SUBSTITUTE(TRIM(F410)," ",REPT(" ",100)),100)),Settings!$B$9)),UPPER(LEFT(TRIM(F410),Settings!$B$9)))))</f>
        <v/>
      </c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15">
        <f>IF(ISBLANK(D410),"",IF(COUNTIFS(Circulation!$B$2:$B$500,A410,Circulation!$H$2:$H$500,"Active")&gt;0,"On Loan","Available"))</f>
        <v/>
      </c>
      <c r="AA410" s="9" t="n"/>
      <c r="AB410" s="9" t="n"/>
      <c r="AC410" s="9" t="n"/>
      <c r="AD410" s="9" t="n"/>
      <c r="AE410" s="9" t="n"/>
      <c r="AF410" s="9" t="n"/>
      <c r="AG410" s="9" t="n"/>
    </row>
    <row r="411">
      <c r="A411" s="13">
        <f>IF(ISBLANK(D411),"",ROW()-1)</f>
        <v/>
      </c>
      <c r="B411" s="14" t="n"/>
      <c r="C411" s="13">
        <f>IF(ISBLANK(D411),"",MID(K411,SEARCH("(",K411)+1,SEARCH(")",K411)-SEARCH("(",K411)-1)&amp;"-"&amp;MID(L411,SEARCH("(",L411)+1,SEARCH(")",L411)-SEARCH("(",L411)-1)&amp;"-"&amp;H411&amp;"-"&amp;TEXT(A411,"000")&amp;IF(ISBLANK(N411),"","-"&amp;SUBSTITUTE(N411," ","")))</f>
        <v/>
      </c>
      <c r="D411" s="9" t="n"/>
      <c r="E411" s="9" t="n"/>
      <c r="F411" s="9" t="n"/>
      <c r="G411" s="9" t="n"/>
      <c r="H411" s="13">
        <f>IF(ISBLANK(F411),"",IF(G411&lt;&gt;"",UPPER(TRIM(G411)),IF(ISNUMBER(SEARCH(" ",TRIM(F411))),UPPER(LEFT(TRIM(RIGHT(SUBSTITUTE(TRIM(F411)," ",REPT(" ",100)),100)),Settings!$B$9)),UPPER(LEFT(TRIM(F411),Settings!$B$9)))))</f>
        <v/>
      </c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15">
        <f>IF(ISBLANK(D411),"",IF(COUNTIFS(Circulation!$B$2:$B$500,A411,Circulation!$H$2:$H$500,"Active")&gt;0,"On Loan","Available"))</f>
        <v/>
      </c>
      <c r="AA411" s="9" t="n"/>
      <c r="AB411" s="9" t="n"/>
      <c r="AC411" s="9" t="n"/>
      <c r="AD411" s="9" t="n"/>
      <c r="AE411" s="9" t="n"/>
      <c r="AF411" s="9" t="n"/>
      <c r="AG411" s="9" t="n"/>
    </row>
    <row r="412">
      <c r="A412" s="13">
        <f>IF(ISBLANK(D412),"",ROW()-1)</f>
        <v/>
      </c>
      <c r="B412" s="14" t="n"/>
      <c r="C412" s="13">
        <f>IF(ISBLANK(D412),"",MID(K412,SEARCH("(",K412)+1,SEARCH(")",K412)-SEARCH("(",K412)-1)&amp;"-"&amp;MID(L412,SEARCH("(",L412)+1,SEARCH(")",L412)-SEARCH("(",L412)-1)&amp;"-"&amp;H412&amp;"-"&amp;TEXT(A412,"000")&amp;IF(ISBLANK(N412),"","-"&amp;SUBSTITUTE(N412," ","")))</f>
        <v/>
      </c>
      <c r="D412" s="9" t="n"/>
      <c r="E412" s="9" t="n"/>
      <c r="F412" s="9" t="n"/>
      <c r="G412" s="9" t="n"/>
      <c r="H412" s="13">
        <f>IF(ISBLANK(F412),"",IF(G412&lt;&gt;"",UPPER(TRIM(G412)),IF(ISNUMBER(SEARCH(" ",TRIM(F412))),UPPER(LEFT(TRIM(RIGHT(SUBSTITUTE(TRIM(F412)," ",REPT(" ",100)),100)),Settings!$B$9)),UPPER(LEFT(TRIM(F412),Settings!$B$9)))))</f>
        <v/>
      </c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15">
        <f>IF(ISBLANK(D412),"",IF(COUNTIFS(Circulation!$B$2:$B$500,A412,Circulation!$H$2:$H$500,"Active")&gt;0,"On Loan","Available"))</f>
        <v/>
      </c>
      <c r="AA412" s="9" t="n"/>
      <c r="AB412" s="9" t="n"/>
      <c r="AC412" s="9" t="n"/>
      <c r="AD412" s="9" t="n"/>
      <c r="AE412" s="9" t="n"/>
      <c r="AF412" s="9" t="n"/>
      <c r="AG412" s="9" t="n"/>
    </row>
    <row r="413">
      <c r="A413" s="13">
        <f>IF(ISBLANK(D413),"",ROW()-1)</f>
        <v/>
      </c>
      <c r="B413" s="14" t="n"/>
      <c r="C413" s="13">
        <f>IF(ISBLANK(D413),"",MID(K413,SEARCH("(",K413)+1,SEARCH(")",K413)-SEARCH("(",K413)-1)&amp;"-"&amp;MID(L413,SEARCH("(",L413)+1,SEARCH(")",L413)-SEARCH("(",L413)-1)&amp;"-"&amp;H413&amp;"-"&amp;TEXT(A413,"000")&amp;IF(ISBLANK(N413),"","-"&amp;SUBSTITUTE(N413," ","")))</f>
        <v/>
      </c>
      <c r="D413" s="9" t="n"/>
      <c r="E413" s="9" t="n"/>
      <c r="F413" s="9" t="n"/>
      <c r="G413" s="9" t="n"/>
      <c r="H413" s="13">
        <f>IF(ISBLANK(F413),"",IF(G413&lt;&gt;"",UPPER(TRIM(G413)),IF(ISNUMBER(SEARCH(" ",TRIM(F413))),UPPER(LEFT(TRIM(RIGHT(SUBSTITUTE(TRIM(F413)," ",REPT(" ",100)),100)),Settings!$B$9)),UPPER(LEFT(TRIM(F413),Settings!$B$9)))))</f>
        <v/>
      </c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15">
        <f>IF(ISBLANK(D413),"",IF(COUNTIFS(Circulation!$B$2:$B$500,A413,Circulation!$H$2:$H$500,"Active")&gt;0,"On Loan","Available"))</f>
        <v/>
      </c>
      <c r="AA413" s="9" t="n"/>
      <c r="AB413" s="9" t="n"/>
      <c r="AC413" s="9" t="n"/>
      <c r="AD413" s="9" t="n"/>
      <c r="AE413" s="9" t="n"/>
      <c r="AF413" s="9" t="n"/>
      <c r="AG413" s="9" t="n"/>
    </row>
    <row r="414">
      <c r="A414" s="13">
        <f>IF(ISBLANK(D414),"",ROW()-1)</f>
        <v/>
      </c>
      <c r="B414" s="14" t="n"/>
      <c r="C414" s="13">
        <f>IF(ISBLANK(D414),"",MID(K414,SEARCH("(",K414)+1,SEARCH(")",K414)-SEARCH("(",K414)-1)&amp;"-"&amp;MID(L414,SEARCH("(",L414)+1,SEARCH(")",L414)-SEARCH("(",L414)-1)&amp;"-"&amp;H414&amp;"-"&amp;TEXT(A414,"000")&amp;IF(ISBLANK(N414),"","-"&amp;SUBSTITUTE(N414," ","")))</f>
        <v/>
      </c>
      <c r="D414" s="9" t="n"/>
      <c r="E414" s="9" t="n"/>
      <c r="F414" s="9" t="n"/>
      <c r="G414" s="9" t="n"/>
      <c r="H414" s="13">
        <f>IF(ISBLANK(F414),"",IF(G414&lt;&gt;"",UPPER(TRIM(G414)),IF(ISNUMBER(SEARCH(" ",TRIM(F414))),UPPER(LEFT(TRIM(RIGHT(SUBSTITUTE(TRIM(F414)," ",REPT(" ",100)),100)),Settings!$B$9)),UPPER(LEFT(TRIM(F414),Settings!$B$9)))))</f>
        <v/>
      </c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15">
        <f>IF(ISBLANK(D414),"",IF(COUNTIFS(Circulation!$B$2:$B$500,A414,Circulation!$H$2:$H$500,"Active")&gt;0,"On Loan","Available"))</f>
        <v/>
      </c>
      <c r="AA414" s="9" t="n"/>
      <c r="AB414" s="9" t="n"/>
      <c r="AC414" s="9" t="n"/>
      <c r="AD414" s="9" t="n"/>
      <c r="AE414" s="9" t="n"/>
      <c r="AF414" s="9" t="n"/>
      <c r="AG414" s="9" t="n"/>
    </row>
    <row r="415">
      <c r="A415" s="13">
        <f>IF(ISBLANK(D415),"",ROW()-1)</f>
        <v/>
      </c>
      <c r="B415" s="14" t="n"/>
      <c r="C415" s="13">
        <f>IF(ISBLANK(D415),"",MID(K415,SEARCH("(",K415)+1,SEARCH(")",K415)-SEARCH("(",K415)-1)&amp;"-"&amp;MID(L415,SEARCH("(",L415)+1,SEARCH(")",L415)-SEARCH("(",L415)-1)&amp;"-"&amp;H415&amp;"-"&amp;TEXT(A415,"000")&amp;IF(ISBLANK(N415),"","-"&amp;SUBSTITUTE(N415," ","")))</f>
        <v/>
      </c>
      <c r="D415" s="9" t="n"/>
      <c r="E415" s="9" t="n"/>
      <c r="F415" s="9" t="n"/>
      <c r="G415" s="9" t="n"/>
      <c r="H415" s="13">
        <f>IF(ISBLANK(F415),"",IF(G415&lt;&gt;"",UPPER(TRIM(G415)),IF(ISNUMBER(SEARCH(" ",TRIM(F415))),UPPER(LEFT(TRIM(RIGHT(SUBSTITUTE(TRIM(F415)," ",REPT(" ",100)),100)),Settings!$B$9)),UPPER(LEFT(TRIM(F415),Settings!$B$9)))))</f>
        <v/>
      </c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15">
        <f>IF(ISBLANK(D415),"",IF(COUNTIFS(Circulation!$B$2:$B$500,A415,Circulation!$H$2:$H$500,"Active")&gt;0,"On Loan","Available"))</f>
        <v/>
      </c>
      <c r="AA415" s="9" t="n"/>
      <c r="AB415" s="9" t="n"/>
      <c r="AC415" s="9" t="n"/>
      <c r="AD415" s="9" t="n"/>
      <c r="AE415" s="9" t="n"/>
      <c r="AF415" s="9" t="n"/>
      <c r="AG415" s="9" t="n"/>
    </row>
    <row r="416">
      <c r="A416" s="13">
        <f>IF(ISBLANK(D416),"",ROW()-1)</f>
        <v/>
      </c>
      <c r="B416" s="14" t="n"/>
      <c r="C416" s="13">
        <f>IF(ISBLANK(D416),"",MID(K416,SEARCH("(",K416)+1,SEARCH(")",K416)-SEARCH("(",K416)-1)&amp;"-"&amp;MID(L416,SEARCH("(",L416)+1,SEARCH(")",L416)-SEARCH("(",L416)-1)&amp;"-"&amp;H416&amp;"-"&amp;TEXT(A416,"000")&amp;IF(ISBLANK(N416),"","-"&amp;SUBSTITUTE(N416," ","")))</f>
        <v/>
      </c>
      <c r="D416" s="9" t="n"/>
      <c r="E416" s="9" t="n"/>
      <c r="F416" s="9" t="n"/>
      <c r="G416" s="9" t="n"/>
      <c r="H416" s="13">
        <f>IF(ISBLANK(F416),"",IF(G416&lt;&gt;"",UPPER(TRIM(G416)),IF(ISNUMBER(SEARCH(" ",TRIM(F416))),UPPER(LEFT(TRIM(RIGHT(SUBSTITUTE(TRIM(F416)," ",REPT(" ",100)),100)),Settings!$B$9)),UPPER(LEFT(TRIM(F416),Settings!$B$9)))))</f>
        <v/>
      </c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15">
        <f>IF(ISBLANK(D416),"",IF(COUNTIFS(Circulation!$B$2:$B$500,A416,Circulation!$H$2:$H$500,"Active")&gt;0,"On Loan","Available"))</f>
        <v/>
      </c>
      <c r="AA416" s="9" t="n"/>
      <c r="AB416" s="9" t="n"/>
      <c r="AC416" s="9" t="n"/>
      <c r="AD416" s="9" t="n"/>
      <c r="AE416" s="9" t="n"/>
      <c r="AF416" s="9" t="n"/>
      <c r="AG416" s="9" t="n"/>
    </row>
    <row r="417">
      <c r="A417" s="13">
        <f>IF(ISBLANK(D417),"",ROW()-1)</f>
        <v/>
      </c>
      <c r="B417" s="14" t="n"/>
      <c r="C417" s="13">
        <f>IF(ISBLANK(D417),"",MID(K417,SEARCH("(",K417)+1,SEARCH(")",K417)-SEARCH("(",K417)-1)&amp;"-"&amp;MID(L417,SEARCH("(",L417)+1,SEARCH(")",L417)-SEARCH("(",L417)-1)&amp;"-"&amp;H417&amp;"-"&amp;TEXT(A417,"000")&amp;IF(ISBLANK(N417),"","-"&amp;SUBSTITUTE(N417," ","")))</f>
        <v/>
      </c>
      <c r="D417" s="9" t="n"/>
      <c r="E417" s="9" t="n"/>
      <c r="F417" s="9" t="n"/>
      <c r="G417" s="9" t="n"/>
      <c r="H417" s="13">
        <f>IF(ISBLANK(F417),"",IF(G417&lt;&gt;"",UPPER(TRIM(G417)),IF(ISNUMBER(SEARCH(" ",TRIM(F417))),UPPER(LEFT(TRIM(RIGHT(SUBSTITUTE(TRIM(F417)," ",REPT(" ",100)),100)),Settings!$B$9)),UPPER(LEFT(TRIM(F417),Settings!$B$9)))))</f>
        <v/>
      </c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15">
        <f>IF(ISBLANK(D417),"",IF(COUNTIFS(Circulation!$B$2:$B$500,A417,Circulation!$H$2:$H$500,"Active")&gt;0,"On Loan","Available"))</f>
        <v/>
      </c>
      <c r="AA417" s="9" t="n"/>
      <c r="AB417" s="9" t="n"/>
      <c r="AC417" s="9" t="n"/>
      <c r="AD417" s="9" t="n"/>
      <c r="AE417" s="9" t="n"/>
      <c r="AF417" s="9" t="n"/>
      <c r="AG417" s="9" t="n"/>
    </row>
    <row r="418">
      <c r="A418" s="13">
        <f>IF(ISBLANK(D418),"",ROW()-1)</f>
        <v/>
      </c>
      <c r="B418" s="14" t="n"/>
      <c r="C418" s="13">
        <f>IF(ISBLANK(D418),"",MID(K418,SEARCH("(",K418)+1,SEARCH(")",K418)-SEARCH("(",K418)-1)&amp;"-"&amp;MID(L418,SEARCH("(",L418)+1,SEARCH(")",L418)-SEARCH("(",L418)-1)&amp;"-"&amp;H418&amp;"-"&amp;TEXT(A418,"000")&amp;IF(ISBLANK(N418),"","-"&amp;SUBSTITUTE(N418," ","")))</f>
        <v/>
      </c>
      <c r="D418" s="9" t="n"/>
      <c r="E418" s="9" t="n"/>
      <c r="F418" s="9" t="n"/>
      <c r="G418" s="9" t="n"/>
      <c r="H418" s="13">
        <f>IF(ISBLANK(F418),"",IF(G418&lt;&gt;"",UPPER(TRIM(G418)),IF(ISNUMBER(SEARCH(" ",TRIM(F418))),UPPER(LEFT(TRIM(RIGHT(SUBSTITUTE(TRIM(F418)," ",REPT(" ",100)),100)),Settings!$B$9)),UPPER(LEFT(TRIM(F418),Settings!$B$9)))))</f>
        <v/>
      </c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15">
        <f>IF(ISBLANK(D418),"",IF(COUNTIFS(Circulation!$B$2:$B$500,A418,Circulation!$H$2:$H$500,"Active")&gt;0,"On Loan","Available"))</f>
        <v/>
      </c>
      <c r="AA418" s="9" t="n"/>
      <c r="AB418" s="9" t="n"/>
      <c r="AC418" s="9" t="n"/>
      <c r="AD418" s="9" t="n"/>
      <c r="AE418" s="9" t="n"/>
      <c r="AF418" s="9" t="n"/>
      <c r="AG418" s="9" t="n"/>
    </row>
    <row r="419">
      <c r="A419" s="13">
        <f>IF(ISBLANK(D419),"",ROW()-1)</f>
        <v/>
      </c>
      <c r="B419" s="14" t="n"/>
      <c r="C419" s="13">
        <f>IF(ISBLANK(D419),"",MID(K419,SEARCH("(",K419)+1,SEARCH(")",K419)-SEARCH("(",K419)-1)&amp;"-"&amp;MID(L419,SEARCH("(",L419)+1,SEARCH(")",L419)-SEARCH("(",L419)-1)&amp;"-"&amp;H419&amp;"-"&amp;TEXT(A419,"000")&amp;IF(ISBLANK(N419),"","-"&amp;SUBSTITUTE(N419," ","")))</f>
        <v/>
      </c>
      <c r="D419" s="9" t="n"/>
      <c r="E419" s="9" t="n"/>
      <c r="F419" s="9" t="n"/>
      <c r="G419" s="9" t="n"/>
      <c r="H419" s="13">
        <f>IF(ISBLANK(F419),"",IF(G419&lt;&gt;"",UPPER(TRIM(G419)),IF(ISNUMBER(SEARCH(" ",TRIM(F419))),UPPER(LEFT(TRIM(RIGHT(SUBSTITUTE(TRIM(F419)," ",REPT(" ",100)),100)),Settings!$B$9)),UPPER(LEFT(TRIM(F419),Settings!$B$9)))))</f>
        <v/>
      </c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15">
        <f>IF(ISBLANK(D419),"",IF(COUNTIFS(Circulation!$B$2:$B$500,A419,Circulation!$H$2:$H$500,"Active")&gt;0,"On Loan","Available"))</f>
        <v/>
      </c>
      <c r="AA419" s="9" t="n"/>
      <c r="AB419" s="9" t="n"/>
      <c r="AC419" s="9" t="n"/>
      <c r="AD419" s="9" t="n"/>
      <c r="AE419" s="9" t="n"/>
      <c r="AF419" s="9" t="n"/>
      <c r="AG419" s="9" t="n"/>
    </row>
    <row r="420">
      <c r="A420" s="13">
        <f>IF(ISBLANK(D420),"",ROW()-1)</f>
        <v/>
      </c>
      <c r="B420" s="14" t="n"/>
      <c r="C420" s="13">
        <f>IF(ISBLANK(D420),"",MID(K420,SEARCH("(",K420)+1,SEARCH(")",K420)-SEARCH("(",K420)-1)&amp;"-"&amp;MID(L420,SEARCH("(",L420)+1,SEARCH(")",L420)-SEARCH("(",L420)-1)&amp;"-"&amp;H420&amp;"-"&amp;TEXT(A420,"000")&amp;IF(ISBLANK(N420),"","-"&amp;SUBSTITUTE(N420," ","")))</f>
        <v/>
      </c>
      <c r="D420" s="9" t="n"/>
      <c r="E420" s="9" t="n"/>
      <c r="F420" s="9" t="n"/>
      <c r="G420" s="9" t="n"/>
      <c r="H420" s="13">
        <f>IF(ISBLANK(F420),"",IF(G420&lt;&gt;"",UPPER(TRIM(G420)),IF(ISNUMBER(SEARCH(" ",TRIM(F420))),UPPER(LEFT(TRIM(RIGHT(SUBSTITUTE(TRIM(F420)," ",REPT(" ",100)),100)),Settings!$B$9)),UPPER(LEFT(TRIM(F420),Settings!$B$9)))))</f>
        <v/>
      </c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15">
        <f>IF(ISBLANK(D420),"",IF(COUNTIFS(Circulation!$B$2:$B$500,A420,Circulation!$H$2:$H$500,"Active")&gt;0,"On Loan","Available"))</f>
        <v/>
      </c>
      <c r="AA420" s="9" t="n"/>
      <c r="AB420" s="9" t="n"/>
      <c r="AC420" s="9" t="n"/>
      <c r="AD420" s="9" t="n"/>
      <c r="AE420" s="9" t="n"/>
      <c r="AF420" s="9" t="n"/>
      <c r="AG420" s="9" t="n"/>
    </row>
    <row r="421">
      <c r="A421" s="13">
        <f>IF(ISBLANK(D421),"",ROW()-1)</f>
        <v/>
      </c>
      <c r="B421" s="14" t="n"/>
      <c r="C421" s="13">
        <f>IF(ISBLANK(D421),"",MID(K421,SEARCH("(",K421)+1,SEARCH(")",K421)-SEARCH("(",K421)-1)&amp;"-"&amp;MID(L421,SEARCH("(",L421)+1,SEARCH(")",L421)-SEARCH("(",L421)-1)&amp;"-"&amp;H421&amp;"-"&amp;TEXT(A421,"000")&amp;IF(ISBLANK(N421),"","-"&amp;SUBSTITUTE(N421," ","")))</f>
        <v/>
      </c>
      <c r="D421" s="9" t="n"/>
      <c r="E421" s="9" t="n"/>
      <c r="F421" s="9" t="n"/>
      <c r="G421" s="9" t="n"/>
      <c r="H421" s="13">
        <f>IF(ISBLANK(F421),"",IF(G421&lt;&gt;"",UPPER(TRIM(G421)),IF(ISNUMBER(SEARCH(" ",TRIM(F421))),UPPER(LEFT(TRIM(RIGHT(SUBSTITUTE(TRIM(F421)," ",REPT(" ",100)),100)),Settings!$B$9)),UPPER(LEFT(TRIM(F421),Settings!$B$9)))))</f>
        <v/>
      </c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15">
        <f>IF(ISBLANK(D421),"",IF(COUNTIFS(Circulation!$B$2:$B$500,A421,Circulation!$H$2:$H$500,"Active")&gt;0,"On Loan","Available"))</f>
        <v/>
      </c>
      <c r="AA421" s="9" t="n"/>
      <c r="AB421" s="9" t="n"/>
      <c r="AC421" s="9" t="n"/>
      <c r="AD421" s="9" t="n"/>
      <c r="AE421" s="9" t="n"/>
      <c r="AF421" s="9" t="n"/>
      <c r="AG421" s="9" t="n"/>
    </row>
    <row r="422">
      <c r="A422" s="13">
        <f>IF(ISBLANK(D422),"",ROW()-1)</f>
        <v/>
      </c>
      <c r="B422" s="14" t="n"/>
      <c r="C422" s="13">
        <f>IF(ISBLANK(D422),"",MID(K422,SEARCH("(",K422)+1,SEARCH(")",K422)-SEARCH("(",K422)-1)&amp;"-"&amp;MID(L422,SEARCH("(",L422)+1,SEARCH(")",L422)-SEARCH("(",L422)-1)&amp;"-"&amp;H422&amp;"-"&amp;TEXT(A422,"000")&amp;IF(ISBLANK(N422),"","-"&amp;SUBSTITUTE(N422," ","")))</f>
        <v/>
      </c>
      <c r="D422" s="9" t="n"/>
      <c r="E422" s="9" t="n"/>
      <c r="F422" s="9" t="n"/>
      <c r="G422" s="9" t="n"/>
      <c r="H422" s="13">
        <f>IF(ISBLANK(F422),"",IF(G422&lt;&gt;"",UPPER(TRIM(G422)),IF(ISNUMBER(SEARCH(" ",TRIM(F422))),UPPER(LEFT(TRIM(RIGHT(SUBSTITUTE(TRIM(F422)," ",REPT(" ",100)),100)),Settings!$B$9)),UPPER(LEFT(TRIM(F422),Settings!$B$9)))))</f>
        <v/>
      </c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15">
        <f>IF(ISBLANK(D422),"",IF(COUNTIFS(Circulation!$B$2:$B$500,A422,Circulation!$H$2:$H$500,"Active")&gt;0,"On Loan","Available"))</f>
        <v/>
      </c>
      <c r="AA422" s="9" t="n"/>
      <c r="AB422" s="9" t="n"/>
      <c r="AC422" s="9" t="n"/>
      <c r="AD422" s="9" t="n"/>
      <c r="AE422" s="9" t="n"/>
      <c r="AF422" s="9" t="n"/>
      <c r="AG422" s="9" t="n"/>
    </row>
    <row r="423">
      <c r="A423" s="13">
        <f>IF(ISBLANK(D423),"",ROW()-1)</f>
        <v/>
      </c>
      <c r="B423" s="14" t="n"/>
      <c r="C423" s="13">
        <f>IF(ISBLANK(D423),"",MID(K423,SEARCH("(",K423)+1,SEARCH(")",K423)-SEARCH("(",K423)-1)&amp;"-"&amp;MID(L423,SEARCH("(",L423)+1,SEARCH(")",L423)-SEARCH("(",L423)-1)&amp;"-"&amp;H423&amp;"-"&amp;TEXT(A423,"000")&amp;IF(ISBLANK(N423),"","-"&amp;SUBSTITUTE(N423," ","")))</f>
        <v/>
      </c>
      <c r="D423" s="9" t="n"/>
      <c r="E423" s="9" t="n"/>
      <c r="F423" s="9" t="n"/>
      <c r="G423" s="9" t="n"/>
      <c r="H423" s="13">
        <f>IF(ISBLANK(F423),"",IF(G423&lt;&gt;"",UPPER(TRIM(G423)),IF(ISNUMBER(SEARCH(" ",TRIM(F423))),UPPER(LEFT(TRIM(RIGHT(SUBSTITUTE(TRIM(F423)," ",REPT(" ",100)),100)),Settings!$B$9)),UPPER(LEFT(TRIM(F423),Settings!$B$9)))))</f>
        <v/>
      </c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15">
        <f>IF(ISBLANK(D423),"",IF(COUNTIFS(Circulation!$B$2:$B$500,A423,Circulation!$H$2:$H$500,"Active")&gt;0,"On Loan","Available"))</f>
        <v/>
      </c>
      <c r="AA423" s="9" t="n"/>
      <c r="AB423" s="9" t="n"/>
      <c r="AC423" s="9" t="n"/>
      <c r="AD423" s="9" t="n"/>
      <c r="AE423" s="9" t="n"/>
      <c r="AF423" s="9" t="n"/>
      <c r="AG423" s="9" t="n"/>
    </row>
    <row r="424">
      <c r="A424" s="13">
        <f>IF(ISBLANK(D424),"",ROW()-1)</f>
        <v/>
      </c>
      <c r="B424" s="14" t="n"/>
      <c r="C424" s="13">
        <f>IF(ISBLANK(D424),"",MID(K424,SEARCH("(",K424)+1,SEARCH(")",K424)-SEARCH("(",K424)-1)&amp;"-"&amp;MID(L424,SEARCH("(",L424)+1,SEARCH(")",L424)-SEARCH("(",L424)-1)&amp;"-"&amp;H424&amp;"-"&amp;TEXT(A424,"000")&amp;IF(ISBLANK(N424),"","-"&amp;SUBSTITUTE(N424," ","")))</f>
        <v/>
      </c>
      <c r="D424" s="9" t="n"/>
      <c r="E424" s="9" t="n"/>
      <c r="F424" s="9" t="n"/>
      <c r="G424" s="9" t="n"/>
      <c r="H424" s="13">
        <f>IF(ISBLANK(F424),"",IF(G424&lt;&gt;"",UPPER(TRIM(G424)),IF(ISNUMBER(SEARCH(" ",TRIM(F424))),UPPER(LEFT(TRIM(RIGHT(SUBSTITUTE(TRIM(F424)," ",REPT(" ",100)),100)),Settings!$B$9)),UPPER(LEFT(TRIM(F424),Settings!$B$9)))))</f>
        <v/>
      </c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15">
        <f>IF(ISBLANK(D424),"",IF(COUNTIFS(Circulation!$B$2:$B$500,A424,Circulation!$H$2:$H$500,"Active")&gt;0,"On Loan","Available"))</f>
        <v/>
      </c>
      <c r="AA424" s="9" t="n"/>
      <c r="AB424" s="9" t="n"/>
      <c r="AC424" s="9" t="n"/>
      <c r="AD424" s="9" t="n"/>
      <c r="AE424" s="9" t="n"/>
      <c r="AF424" s="9" t="n"/>
      <c r="AG424" s="9" t="n"/>
    </row>
    <row r="425">
      <c r="A425" s="13">
        <f>IF(ISBLANK(D425),"",ROW()-1)</f>
        <v/>
      </c>
      <c r="B425" s="14" t="n"/>
      <c r="C425" s="13">
        <f>IF(ISBLANK(D425),"",MID(K425,SEARCH("(",K425)+1,SEARCH(")",K425)-SEARCH("(",K425)-1)&amp;"-"&amp;MID(L425,SEARCH("(",L425)+1,SEARCH(")",L425)-SEARCH("(",L425)-1)&amp;"-"&amp;H425&amp;"-"&amp;TEXT(A425,"000")&amp;IF(ISBLANK(N425),"","-"&amp;SUBSTITUTE(N425," ","")))</f>
        <v/>
      </c>
      <c r="D425" s="9" t="n"/>
      <c r="E425" s="9" t="n"/>
      <c r="F425" s="9" t="n"/>
      <c r="G425" s="9" t="n"/>
      <c r="H425" s="13">
        <f>IF(ISBLANK(F425),"",IF(G425&lt;&gt;"",UPPER(TRIM(G425)),IF(ISNUMBER(SEARCH(" ",TRIM(F425))),UPPER(LEFT(TRIM(RIGHT(SUBSTITUTE(TRIM(F425)," ",REPT(" ",100)),100)),Settings!$B$9)),UPPER(LEFT(TRIM(F425),Settings!$B$9)))))</f>
        <v/>
      </c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15">
        <f>IF(ISBLANK(D425),"",IF(COUNTIFS(Circulation!$B$2:$B$500,A425,Circulation!$H$2:$H$500,"Active")&gt;0,"On Loan","Available"))</f>
        <v/>
      </c>
      <c r="AA425" s="9" t="n"/>
      <c r="AB425" s="9" t="n"/>
      <c r="AC425" s="9" t="n"/>
      <c r="AD425" s="9" t="n"/>
      <c r="AE425" s="9" t="n"/>
      <c r="AF425" s="9" t="n"/>
      <c r="AG425" s="9" t="n"/>
    </row>
    <row r="426">
      <c r="A426" s="13">
        <f>IF(ISBLANK(D426),"",ROW()-1)</f>
        <v/>
      </c>
      <c r="B426" s="14" t="n"/>
      <c r="C426" s="13">
        <f>IF(ISBLANK(D426),"",MID(K426,SEARCH("(",K426)+1,SEARCH(")",K426)-SEARCH("(",K426)-1)&amp;"-"&amp;MID(L426,SEARCH("(",L426)+1,SEARCH(")",L426)-SEARCH("(",L426)-1)&amp;"-"&amp;H426&amp;"-"&amp;TEXT(A426,"000")&amp;IF(ISBLANK(N426),"","-"&amp;SUBSTITUTE(N426," ","")))</f>
        <v/>
      </c>
      <c r="D426" s="9" t="n"/>
      <c r="E426" s="9" t="n"/>
      <c r="F426" s="9" t="n"/>
      <c r="G426" s="9" t="n"/>
      <c r="H426" s="13">
        <f>IF(ISBLANK(F426),"",IF(G426&lt;&gt;"",UPPER(TRIM(G426)),IF(ISNUMBER(SEARCH(" ",TRIM(F426))),UPPER(LEFT(TRIM(RIGHT(SUBSTITUTE(TRIM(F426)," ",REPT(" ",100)),100)),Settings!$B$9)),UPPER(LEFT(TRIM(F426),Settings!$B$9)))))</f>
        <v/>
      </c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15">
        <f>IF(ISBLANK(D426),"",IF(COUNTIFS(Circulation!$B$2:$B$500,A426,Circulation!$H$2:$H$500,"Active")&gt;0,"On Loan","Available"))</f>
        <v/>
      </c>
      <c r="AA426" s="9" t="n"/>
      <c r="AB426" s="9" t="n"/>
      <c r="AC426" s="9" t="n"/>
      <c r="AD426" s="9" t="n"/>
      <c r="AE426" s="9" t="n"/>
      <c r="AF426" s="9" t="n"/>
      <c r="AG426" s="9" t="n"/>
    </row>
    <row r="427">
      <c r="A427" s="13">
        <f>IF(ISBLANK(D427),"",ROW()-1)</f>
        <v/>
      </c>
      <c r="B427" s="14" t="n"/>
      <c r="C427" s="13">
        <f>IF(ISBLANK(D427),"",MID(K427,SEARCH("(",K427)+1,SEARCH(")",K427)-SEARCH("(",K427)-1)&amp;"-"&amp;MID(L427,SEARCH("(",L427)+1,SEARCH(")",L427)-SEARCH("(",L427)-1)&amp;"-"&amp;H427&amp;"-"&amp;TEXT(A427,"000")&amp;IF(ISBLANK(N427),"","-"&amp;SUBSTITUTE(N427," ","")))</f>
        <v/>
      </c>
      <c r="D427" s="9" t="n"/>
      <c r="E427" s="9" t="n"/>
      <c r="F427" s="9" t="n"/>
      <c r="G427" s="9" t="n"/>
      <c r="H427" s="13">
        <f>IF(ISBLANK(F427),"",IF(G427&lt;&gt;"",UPPER(TRIM(G427)),IF(ISNUMBER(SEARCH(" ",TRIM(F427))),UPPER(LEFT(TRIM(RIGHT(SUBSTITUTE(TRIM(F427)," ",REPT(" ",100)),100)),Settings!$B$9)),UPPER(LEFT(TRIM(F427),Settings!$B$9)))))</f>
        <v/>
      </c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15">
        <f>IF(ISBLANK(D427),"",IF(COUNTIFS(Circulation!$B$2:$B$500,A427,Circulation!$H$2:$H$500,"Active")&gt;0,"On Loan","Available"))</f>
        <v/>
      </c>
      <c r="AA427" s="9" t="n"/>
      <c r="AB427" s="9" t="n"/>
      <c r="AC427" s="9" t="n"/>
      <c r="AD427" s="9" t="n"/>
      <c r="AE427" s="9" t="n"/>
      <c r="AF427" s="9" t="n"/>
      <c r="AG427" s="9" t="n"/>
    </row>
    <row r="428">
      <c r="A428" s="13">
        <f>IF(ISBLANK(D428),"",ROW()-1)</f>
        <v/>
      </c>
      <c r="B428" s="14" t="n"/>
      <c r="C428" s="13">
        <f>IF(ISBLANK(D428),"",MID(K428,SEARCH("(",K428)+1,SEARCH(")",K428)-SEARCH("(",K428)-1)&amp;"-"&amp;MID(L428,SEARCH("(",L428)+1,SEARCH(")",L428)-SEARCH("(",L428)-1)&amp;"-"&amp;H428&amp;"-"&amp;TEXT(A428,"000")&amp;IF(ISBLANK(N428),"","-"&amp;SUBSTITUTE(N428," ","")))</f>
        <v/>
      </c>
      <c r="D428" s="9" t="n"/>
      <c r="E428" s="9" t="n"/>
      <c r="F428" s="9" t="n"/>
      <c r="G428" s="9" t="n"/>
      <c r="H428" s="13">
        <f>IF(ISBLANK(F428),"",IF(G428&lt;&gt;"",UPPER(TRIM(G428)),IF(ISNUMBER(SEARCH(" ",TRIM(F428))),UPPER(LEFT(TRIM(RIGHT(SUBSTITUTE(TRIM(F428)," ",REPT(" ",100)),100)),Settings!$B$9)),UPPER(LEFT(TRIM(F428),Settings!$B$9)))))</f>
        <v/>
      </c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15">
        <f>IF(ISBLANK(D428),"",IF(COUNTIFS(Circulation!$B$2:$B$500,A428,Circulation!$H$2:$H$500,"Active")&gt;0,"On Loan","Available"))</f>
        <v/>
      </c>
      <c r="AA428" s="9" t="n"/>
      <c r="AB428" s="9" t="n"/>
      <c r="AC428" s="9" t="n"/>
      <c r="AD428" s="9" t="n"/>
      <c r="AE428" s="9" t="n"/>
      <c r="AF428" s="9" t="n"/>
      <c r="AG428" s="9" t="n"/>
    </row>
    <row r="429">
      <c r="A429" s="13">
        <f>IF(ISBLANK(D429),"",ROW()-1)</f>
        <v/>
      </c>
      <c r="B429" s="14" t="n"/>
      <c r="C429" s="13">
        <f>IF(ISBLANK(D429),"",MID(K429,SEARCH("(",K429)+1,SEARCH(")",K429)-SEARCH("(",K429)-1)&amp;"-"&amp;MID(L429,SEARCH("(",L429)+1,SEARCH(")",L429)-SEARCH("(",L429)-1)&amp;"-"&amp;H429&amp;"-"&amp;TEXT(A429,"000")&amp;IF(ISBLANK(N429),"","-"&amp;SUBSTITUTE(N429," ","")))</f>
        <v/>
      </c>
      <c r="D429" s="9" t="n"/>
      <c r="E429" s="9" t="n"/>
      <c r="F429" s="9" t="n"/>
      <c r="G429" s="9" t="n"/>
      <c r="H429" s="13">
        <f>IF(ISBLANK(F429),"",IF(G429&lt;&gt;"",UPPER(TRIM(G429)),IF(ISNUMBER(SEARCH(" ",TRIM(F429))),UPPER(LEFT(TRIM(RIGHT(SUBSTITUTE(TRIM(F429)," ",REPT(" ",100)),100)),Settings!$B$9)),UPPER(LEFT(TRIM(F429),Settings!$B$9)))))</f>
        <v/>
      </c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15">
        <f>IF(ISBLANK(D429),"",IF(COUNTIFS(Circulation!$B$2:$B$500,A429,Circulation!$H$2:$H$500,"Active")&gt;0,"On Loan","Available"))</f>
        <v/>
      </c>
      <c r="AA429" s="9" t="n"/>
      <c r="AB429" s="9" t="n"/>
      <c r="AC429" s="9" t="n"/>
      <c r="AD429" s="9" t="n"/>
      <c r="AE429" s="9" t="n"/>
      <c r="AF429" s="9" t="n"/>
      <c r="AG429" s="9" t="n"/>
    </row>
    <row r="430">
      <c r="A430" s="13">
        <f>IF(ISBLANK(D430),"",ROW()-1)</f>
        <v/>
      </c>
      <c r="B430" s="14" t="n"/>
      <c r="C430" s="13">
        <f>IF(ISBLANK(D430),"",MID(K430,SEARCH("(",K430)+1,SEARCH(")",K430)-SEARCH("(",K430)-1)&amp;"-"&amp;MID(L430,SEARCH("(",L430)+1,SEARCH(")",L430)-SEARCH("(",L430)-1)&amp;"-"&amp;H430&amp;"-"&amp;TEXT(A430,"000")&amp;IF(ISBLANK(N430),"","-"&amp;SUBSTITUTE(N430," ","")))</f>
        <v/>
      </c>
      <c r="D430" s="9" t="n"/>
      <c r="E430" s="9" t="n"/>
      <c r="F430" s="9" t="n"/>
      <c r="G430" s="9" t="n"/>
      <c r="H430" s="13">
        <f>IF(ISBLANK(F430),"",IF(G430&lt;&gt;"",UPPER(TRIM(G430)),IF(ISNUMBER(SEARCH(" ",TRIM(F430))),UPPER(LEFT(TRIM(RIGHT(SUBSTITUTE(TRIM(F430)," ",REPT(" ",100)),100)),Settings!$B$9)),UPPER(LEFT(TRIM(F430),Settings!$B$9)))))</f>
        <v/>
      </c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15">
        <f>IF(ISBLANK(D430),"",IF(COUNTIFS(Circulation!$B$2:$B$500,A430,Circulation!$H$2:$H$500,"Active")&gt;0,"On Loan","Available"))</f>
        <v/>
      </c>
      <c r="AA430" s="9" t="n"/>
      <c r="AB430" s="9" t="n"/>
      <c r="AC430" s="9" t="n"/>
      <c r="AD430" s="9" t="n"/>
      <c r="AE430" s="9" t="n"/>
      <c r="AF430" s="9" t="n"/>
      <c r="AG430" s="9" t="n"/>
    </row>
    <row r="431">
      <c r="A431" s="13">
        <f>IF(ISBLANK(D431),"",ROW()-1)</f>
        <v/>
      </c>
      <c r="B431" s="14" t="n"/>
      <c r="C431" s="13">
        <f>IF(ISBLANK(D431),"",MID(K431,SEARCH("(",K431)+1,SEARCH(")",K431)-SEARCH("(",K431)-1)&amp;"-"&amp;MID(L431,SEARCH("(",L431)+1,SEARCH(")",L431)-SEARCH("(",L431)-1)&amp;"-"&amp;H431&amp;"-"&amp;TEXT(A431,"000")&amp;IF(ISBLANK(N431),"","-"&amp;SUBSTITUTE(N431," ","")))</f>
        <v/>
      </c>
      <c r="D431" s="9" t="n"/>
      <c r="E431" s="9" t="n"/>
      <c r="F431" s="9" t="n"/>
      <c r="G431" s="9" t="n"/>
      <c r="H431" s="13">
        <f>IF(ISBLANK(F431),"",IF(G431&lt;&gt;"",UPPER(TRIM(G431)),IF(ISNUMBER(SEARCH(" ",TRIM(F431))),UPPER(LEFT(TRIM(RIGHT(SUBSTITUTE(TRIM(F431)," ",REPT(" ",100)),100)),Settings!$B$9)),UPPER(LEFT(TRIM(F431),Settings!$B$9)))))</f>
        <v/>
      </c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15">
        <f>IF(ISBLANK(D431),"",IF(COUNTIFS(Circulation!$B$2:$B$500,A431,Circulation!$H$2:$H$500,"Active")&gt;0,"On Loan","Available"))</f>
        <v/>
      </c>
      <c r="AA431" s="9" t="n"/>
      <c r="AB431" s="9" t="n"/>
      <c r="AC431" s="9" t="n"/>
      <c r="AD431" s="9" t="n"/>
      <c r="AE431" s="9" t="n"/>
      <c r="AF431" s="9" t="n"/>
      <c r="AG431" s="9" t="n"/>
    </row>
    <row r="432">
      <c r="A432" s="13">
        <f>IF(ISBLANK(D432),"",ROW()-1)</f>
        <v/>
      </c>
      <c r="B432" s="14" t="n"/>
      <c r="C432" s="13">
        <f>IF(ISBLANK(D432),"",MID(K432,SEARCH("(",K432)+1,SEARCH(")",K432)-SEARCH("(",K432)-1)&amp;"-"&amp;MID(L432,SEARCH("(",L432)+1,SEARCH(")",L432)-SEARCH("(",L432)-1)&amp;"-"&amp;H432&amp;"-"&amp;TEXT(A432,"000")&amp;IF(ISBLANK(N432),"","-"&amp;SUBSTITUTE(N432," ","")))</f>
        <v/>
      </c>
      <c r="D432" s="9" t="n"/>
      <c r="E432" s="9" t="n"/>
      <c r="F432" s="9" t="n"/>
      <c r="G432" s="9" t="n"/>
      <c r="H432" s="13">
        <f>IF(ISBLANK(F432),"",IF(G432&lt;&gt;"",UPPER(TRIM(G432)),IF(ISNUMBER(SEARCH(" ",TRIM(F432))),UPPER(LEFT(TRIM(RIGHT(SUBSTITUTE(TRIM(F432)," ",REPT(" ",100)),100)),Settings!$B$9)),UPPER(LEFT(TRIM(F432),Settings!$B$9)))))</f>
        <v/>
      </c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15">
        <f>IF(ISBLANK(D432),"",IF(COUNTIFS(Circulation!$B$2:$B$500,A432,Circulation!$H$2:$H$500,"Active")&gt;0,"On Loan","Available"))</f>
        <v/>
      </c>
      <c r="AA432" s="9" t="n"/>
      <c r="AB432" s="9" t="n"/>
      <c r="AC432" s="9" t="n"/>
      <c r="AD432" s="9" t="n"/>
      <c r="AE432" s="9" t="n"/>
      <c r="AF432" s="9" t="n"/>
      <c r="AG432" s="9" t="n"/>
    </row>
    <row r="433">
      <c r="A433" s="13">
        <f>IF(ISBLANK(D433),"",ROW()-1)</f>
        <v/>
      </c>
      <c r="B433" s="14" t="n"/>
      <c r="C433" s="13">
        <f>IF(ISBLANK(D433),"",MID(K433,SEARCH("(",K433)+1,SEARCH(")",K433)-SEARCH("(",K433)-1)&amp;"-"&amp;MID(L433,SEARCH("(",L433)+1,SEARCH(")",L433)-SEARCH("(",L433)-1)&amp;"-"&amp;H433&amp;"-"&amp;TEXT(A433,"000")&amp;IF(ISBLANK(N433),"","-"&amp;SUBSTITUTE(N433," ","")))</f>
        <v/>
      </c>
      <c r="D433" s="9" t="n"/>
      <c r="E433" s="9" t="n"/>
      <c r="F433" s="9" t="n"/>
      <c r="G433" s="9" t="n"/>
      <c r="H433" s="13">
        <f>IF(ISBLANK(F433),"",IF(G433&lt;&gt;"",UPPER(TRIM(G433)),IF(ISNUMBER(SEARCH(" ",TRIM(F433))),UPPER(LEFT(TRIM(RIGHT(SUBSTITUTE(TRIM(F433)," ",REPT(" ",100)),100)),Settings!$B$9)),UPPER(LEFT(TRIM(F433),Settings!$B$9)))))</f>
        <v/>
      </c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15">
        <f>IF(ISBLANK(D433),"",IF(COUNTIFS(Circulation!$B$2:$B$500,A433,Circulation!$H$2:$H$500,"Active")&gt;0,"On Loan","Available"))</f>
        <v/>
      </c>
      <c r="AA433" s="9" t="n"/>
      <c r="AB433" s="9" t="n"/>
      <c r="AC433" s="9" t="n"/>
      <c r="AD433" s="9" t="n"/>
      <c r="AE433" s="9" t="n"/>
      <c r="AF433" s="9" t="n"/>
      <c r="AG433" s="9" t="n"/>
    </row>
    <row r="434">
      <c r="A434" s="13">
        <f>IF(ISBLANK(D434),"",ROW()-1)</f>
        <v/>
      </c>
      <c r="B434" s="14" t="n"/>
      <c r="C434" s="13">
        <f>IF(ISBLANK(D434),"",MID(K434,SEARCH("(",K434)+1,SEARCH(")",K434)-SEARCH("(",K434)-1)&amp;"-"&amp;MID(L434,SEARCH("(",L434)+1,SEARCH(")",L434)-SEARCH("(",L434)-1)&amp;"-"&amp;H434&amp;"-"&amp;TEXT(A434,"000")&amp;IF(ISBLANK(N434),"","-"&amp;SUBSTITUTE(N434," ","")))</f>
        <v/>
      </c>
      <c r="D434" s="9" t="n"/>
      <c r="E434" s="9" t="n"/>
      <c r="F434" s="9" t="n"/>
      <c r="G434" s="9" t="n"/>
      <c r="H434" s="13">
        <f>IF(ISBLANK(F434),"",IF(G434&lt;&gt;"",UPPER(TRIM(G434)),IF(ISNUMBER(SEARCH(" ",TRIM(F434))),UPPER(LEFT(TRIM(RIGHT(SUBSTITUTE(TRIM(F434)," ",REPT(" ",100)),100)),Settings!$B$9)),UPPER(LEFT(TRIM(F434),Settings!$B$9)))))</f>
        <v/>
      </c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15">
        <f>IF(ISBLANK(D434),"",IF(COUNTIFS(Circulation!$B$2:$B$500,A434,Circulation!$H$2:$H$500,"Active")&gt;0,"On Loan","Available"))</f>
        <v/>
      </c>
      <c r="AA434" s="9" t="n"/>
      <c r="AB434" s="9" t="n"/>
      <c r="AC434" s="9" t="n"/>
      <c r="AD434" s="9" t="n"/>
      <c r="AE434" s="9" t="n"/>
      <c r="AF434" s="9" t="n"/>
      <c r="AG434" s="9" t="n"/>
    </row>
    <row r="435">
      <c r="A435" s="13">
        <f>IF(ISBLANK(D435),"",ROW()-1)</f>
        <v/>
      </c>
      <c r="B435" s="14" t="n"/>
      <c r="C435" s="13">
        <f>IF(ISBLANK(D435),"",MID(K435,SEARCH("(",K435)+1,SEARCH(")",K435)-SEARCH("(",K435)-1)&amp;"-"&amp;MID(L435,SEARCH("(",L435)+1,SEARCH(")",L435)-SEARCH("(",L435)-1)&amp;"-"&amp;H435&amp;"-"&amp;TEXT(A435,"000")&amp;IF(ISBLANK(N435),"","-"&amp;SUBSTITUTE(N435," ","")))</f>
        <v/>
      </c>
      <c r="D435" s="9" t="n"/>
      <c r="E435" s="9" t="n"/>
      <c r="F435" s="9" t="n"/>
      <c r="G435" s="9" t="n"/>
      <c r="H435" s="13">
        <f>IF(ISBLANK(F435),"",IF(G435&lt;&gt;"",UPPER(TRIM(G435)),IF(ISNUMBER(SEARCH(" ",TRIM(F435))),UPPER(LEFT(TRIM(RIGHT(SUBSTITUTE(TRIM(F435)," ",REPT(" ",100)),100)),Settings!$B$9)),UPPER(LEFT(TRIM(F435),Settings!$B$9)))))</f>
        <v/>
      </c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15">
        <f>IF(ISBLANK(D435),"",IF(COUNTIFS(Circulation!$B$2:$B$500,A435,Circulation!$H$2:$H$500,"Active")&gt;0,"On Loan","Available"))</f>
        <v/>
      </c>
      <c r="AA435" s="9" t="n"/>
      <c r="AB435" s="9" t="n"/>
      <c r="AC435" s="9" t="n"/>
      <c r="AD435" s="9" t="n"/>
      <c r="AE435" s="9" t="n"/>
      <c r="AF435" s="9" t="n"/>
      <c r="AG435" s="9" t="n"/>
    </row>
    <row r="436">
      <c r="A436" s="13">
        <f>IF(ISBLANK(D436),"",ROW()-1)</f>
        <v/>
      </c>
      <c r="B436" s="14" t="n"/>
      <c r="C436" s="13">
        <f>IF(ISBLANK(D436),"",MID(K436,SEARCH("(",K436)+1,SEARCH(")",K436)-SEARCH("(",K436)-1)&amp;"-"&amp;MID(L436,SEARCH("(",L436)+1,SEARCH(")",L436)-SEARCH("(",L436)-1)&amp;"-"&amp;H436&amp;"-"&amp;TEXT(A436,"000")&amp;IF(ISBLANK(N436),"","-"&amp;SUBSTITUTE(N436," ","")))</f>
        <v/>
      </c>
      <c r="D436" s="9" t="n"/>
      <c r="E436" s="9" t="n"/>
      <c r="F436" s="9" t="n"/>
      <c r="G436" s="9" t="n"/>
      <c r="H436" s="13">
        <f>IF(ISBLANK(F436),"",IF(G436&lt;&gt;"",UPPER(TRIM(G436)),IF(ISNUMBER(SEARCH(" ",TRIM(F436))),UPPER(LEFT(TRIM(RIGHT(SUBSTITUTE(TRIM(F436)," ",REPT(" ",100)),100)),Settings!$B$9)),UPPER(LEFT(TRIM(F436),Settings!$B$9)))))</f>
        <v/>
      </c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15">
        <f>IF(ISBLANK(D436),"",IF(COUNTIFS(Circulation!$B$2:$B$500,A436,Circulation!$H$2:$H$500,"Active")&gt;0,"On Loan","Available"))</f>
        <v/>
      </c>
      <c r="AA436" s="9" t="n"/>
      <c r="AB436" s="9" t="n"/>
      <c r="AC436" s="9" t="n"/>
      <c r="AD436" s="9" t="n"/>
      <c r="AE436" s="9" t="n"/>
      <c r="AF436" s="9" t="n"/>
      <c r="AG436" s="9" t="n"/>
    </row>
    <row r="437">
      <c r="A437" s="13">
        <f>IF(ISBLANK(D437),"",ROW()-1)</f>
        <v/>
      </c>
      <c r="B437" s="14" t="n"/>
      <c r="C437" s="13">
        <f>IF(ISBLANK(D437),"",MID(K437,SEARCH("(",K437)+1,SEARCH(")",K437)-SEARCH("(",K437)-1)&amp;"-"&amp;MID(L437,SEARCH("(",L437)+1,SEARCH(")",L437)-SEARCH("(",L437)-1)&amp;"-"&amp;H437&amp;"-"&amp;TEXT(A437,"000")&amp;IF(ISBLANK(N437),"","-"&amp;SUBSTITUTE(N437," ","")))</f>
        <v/>
      </c>
      <c r="D437" s="9" t="n"/>
      <c r="E437" s="9" t="n"/>
      <c r="F437" s="9" t="n"/>
      <c r="G437" s="9" t="n"/>
      <c r="H437" s="13">
        <f>IF(ISBLANK(F437),"",IF(G437&lt;&gt;"",UPPER(TRIM(G437)),IF(ISNUMBER(SEARCH(" ",TRIM(F437))),UPPER(LEFT(TRIM(RIGHT(SUBSTITUTE(TRIM(F437)," ",REPT(" ",100)),100)),Settings!$B$9)),UPPER(LEFT(TRIM(F437),Settings!$B$9)))))</f>
        <v/>
      </c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15">
        <f>IF(ISBLANK(D437),"",IF(COUNTIFS(Circulation!$B$2:$B$500,A437,Circulation!$H$2:$H$500,"Active")&gt;0,"On Loan","Available"))</f>
        <v/>
      </c>
      <c r="AA437" s="9" t="n"/>
      <c r="AB437" s="9" t="n"/>
      <c r="AC437" s="9" t="n"/>
      <c r="AD437" s="9" t="n"/>
      <c r="AE437" s="9" t="n"/>
      <c r="AF437" s="9" t="n"/>
      <c r="AG437" s="9" t="n"/>
    </row>
    <row r="438">
      <c r="A438" s="13">
        <f>IF(ISBLANK(D438),"",ROW()-1)</f>
        <v/>
      </c>
      <c r="B438" s="14" t="n"/>
      <c r="C438" s="13">
        <f>IF(ISBLANK(D438),"",MID(K438,SEARCH("(",K438)+1,SEARCH(")",K438)-SEARCH("(",K438)-1)&amp;"-"&amp;MID(L438,SEARCH("(",L438)+1,SEARCH(")",L438)-SEARCH("(",L438)-1)&amp;"-"&amp;H438&amp;"-"&amp;TEXT(A438,"000")&amp;IF(ISBLANK(N438),"","-"&amp;SUBSTITUTE(N438," ","")))</f>
        <v/>
      </c>
      <c r="D438" s="9" t="n"/>
      <c r="E438" s="9" t="n"/>
      <c r="F438" s="9" t="n"/>
      <c r="G438" s="9" t="n"/>
      <c r="H438" s="13">
        <f>IF(ISBLANK(F438),"",IF(G438&lt;&gt;"",UPPER(TRIM(G438)),IF(ISNUMBER(SEARCH(" ",TRIM(F438))),UPPER(LEFT(TRIM(RIGHT(SUBSTITUTE(TRIM(F438)," ",REPT(" ",100)),100)),Settings!$B$9)),UPPER(LEFT(TRIM(F438),Settings!$B$9)))))</f>
        <v/>
      </c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15">
        <f>IF(ISBLANK(D438),"",IF(COUNTIFS(Circulation!$B$2:$B$500,A438,Circulation!$H$2:$H$500,"Active")&gt;0,"On Loan","Available"))</f>
        <v/>
      </c>
      <c r="AA438" s="9" t="n"/>
      <c r="AB438" s="9" t="n"/>
      <c r="AC438" s="9" t="n"/>
      <c r="AD438" s="9" t="n"/>
      <c r="AE438" s="9" t="n"/>
      <c r="AF438" s="9" t="n"/>
      <c r="AG438" s="9" t="n"/>
    </row>
    <row r="439">
      <c r="A439" s="13">
        <f>IF(ISBLANK(D439),"",ROW()-1)</f>
        <v/>
      </c>
      <c r="B439" s="14" t="n"/>
      <c r="C439" s="13">
        <f>IF(ISBLANK(D439),"",MID(K439,SEARCH("(",K439)+1,SEARCH(")",K439)-SEARCH("(",K439)-1)&amp;"-"&amp;MID(L439,SEARCH("(",L439)+1,SEARCH(")",L439)-SEARCH("(",L439)-1)&amp;"-"&amp;H439&amp;"-"&amp;TEXT(A439,"000")&amp;IF(ISBLANK(N439),"","-"&amp;SUBSTITUTE(N439," ","")))</f>
        <v/>
      </c>
      <c r="D439" s="9" t="n"/>
      <c r="E439" s="9" t="n"/>
      <c r="F439" s="9" t="n"/>
      <c r="G439" s="9" t="n"/>
      <c r="H439" s="13">
        <f>IF(ISBLANK(F439),"",IF(G439&lt;&gt;"",UPPER(TRIM(G439)),IF(ISNUMBER(SEARCH(" ",TRIM(F439))),UPPER(LEFT(TRIM(RIGHT(SUBSTITUTE(TRIM(F439)," ",REPT(" ",100)),100)),Settings!$B$9)),UPPER(LEFT(TRIM(F439),Settings!$B$9)))))</f>
        <v/>
      </c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15">
        <f>IF(ISBLANK(D439),"",IF(COUNTIFS(Circulation!$B$2:$B$500,A439,Circulation!$H$2:$H$500,"Active")&gt;0,"On Loan","Available"))</f>
        <v/>
      </c>
      <c r="AA439" s="9" t="n"/>
      <c r="AB439" s="9" t="n"/>
      <c r="AC439" s="9" t="n"/>
      <c r="AD439" s="9" t="n"/>
      <c r="AE439" s="9" t="n"/>
      <c r="AF439" s="9" t="n"/>
      <c r="AG439" s="9" t="n"/>
    </row>
    <row r="440">
      <c r="A440" s="13">
        <f>IF(ISBLANK(D440),"",ROW()-1)</f>
        <v/>
      </c>
      <c r="B440" s="14" t="n"/>
      <c r="C440" s="13">
        <f>IF(ISBLANK(D440),"",MID(K440,SEARCH("(",K440)+1,SEARCH(")",K440)-SEARCH("(",K440)-1)&amp;"-"&amp;MID(L440,SEARCH("(",L440)+1,SEARCH(")",L440)-SEARCH("(",L440)-1)&amp;"-"&amp;H440&amp;"-"&amp;TEXT(A440,"000")&amp;IF(ISBLANK(N440),"","-"&amp;SUBSTITUTE(N440," ","")))</f>
        <v/>
      </c>
      <c r="D440" s="9" t="n"/>
      <c r="E440" s="9" t="n"/>
      <c r="F440" s="9" t="n"/>
      <c r="G440" s="9" t="n"/>
      <c r="H440" s="13">
        <f>IF(ISBLANK(F440),"",IF(G440&lt;&gt;"",UPPER(TRIM(G440)),IF(ISNUMBER(SEARCH(" ",TRIM(F440))),UPPER(LEFT(TRIM(RIGHT(SUBSTITUTE(TRIM(F440)," ",REPT(" ",100)),100)),Settings!$B$9)),UPPER(LEFT(TRIM(F440),Settings!$B$9)))))</f>
        <v/>
      </c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15">
        <f>IF(ISBLANK(D440),"",IF(COUNTIFS(Circulation!$B$2:$B$500,A440,Circulation!$H$2:$H$500,"Active")&gt;0,"On Loan","Available"))</f>
        <v/>
      </c>
      <c r="AA440" s="9" t="n"/>
      <c r="AB440" s="9" t="n"/>
      <c r="AC440" s="9" t="n"/>
      <c r="AD440" s="9" t="n"/>
      <c r="AE440" s="9" t="n"/>
      <c r="AF440" s="9" t="n"/>
      <c r="AG440" s="9" t="n"/>
    </row>
    <row r="441">
      <c r="A441" s="13">
        <f>IF(ISBLANK(D441),"",ROW()-1)</f>
        <v/>
      </c>
      <c r="B441" s="14" t="n"/>
      <c r="C441" s="13">
        <f>IF(ISBLANK(D441),"",MID(K441,SEARCH("(",K441)+1,SEARCH(")",K441)-SEARCH("(",K441)-1)&amp;"-"&amp;MID(L441,SEARCH("(",L441)+1,SEARCH(")",L441)-SEARCH("(",L441)-1)&amp;"-"&amp;H441&amp;"-"&amp;TEXT(A441,"000")&amp;IF(ISBLANK(N441),"","-"&amp;SUBSTITUTE(N441," ","")))</f>
        <v/>
      </c>
      <c r="D441" s="9" t="n"/>
      <c r="E441" s="9" t="n"/>
      <c r="F441" s="9" t="n"/>
      <c r="G441" s="9" t="n"/>
      <c r="H441" s="13">
        <f>IF(ISBLANK(F441),"",IF(G441&lt;&gt;"",UPPER(TRIM(G441)),IF(ISNUMBER(SEARCH(" ",TRIM(F441))),UPPER(LEFT(TRIM(RIGHT(SUBSTITUTE(TRIM(F441)," ",REPT(" ",100)),100)),Settings!$B$9)),UPPER(LEFT(TRIM(F441),Settings!$B$9)))))</f>
        <v/>
      </c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15">
        <f>IF(ISBLANK(D441),"",IF(COUNTIFS(Circulation!$B$2:$B$500,A441,Circulation!$H$2:$H$500,"Active")&gt;0,"On Loan","Available"))</f>
        <v/>
      </c>
      <c r="AA441" s="9" t="n"/>
      <c r="AB441" s="9" t="n"/>
      <c r="AC441" s="9" t="n"/>
      <c r="AD441" s="9" t="n"/>
      <c r="AE441" s="9" t="n"/>
      <c r="AF441" s="9" t="n"/>
      <c r="AG441" s="9" t="n"/>
    </row>
    <row r="442">
      <c r="A442" s="13">
        <f>IF(ISBLANK(D442),"",ROW()-1)</f>
        <v/>
      </c>
      <c r="B442" s="14" t="n"/>
      <c r="C442" s="13">
        <f>IF(ISBLANK(D442),"",MID(K442,SEARCH("(",K442)+1,SEARCH(")",K442)-SEARCH("(",K442)-1)&amp;"-"&amp;MID(L442,SEARCH("(",L442)+1,SEARCH(")",L442)-SEARCH("(",L442)-1)&amp;"-"&amp;H442&amp;"-"&amp;TEXT(A442,"000")&amp;IF(ISBLANK(N442),"","-"&amp;SUBSTITUTE(N442," ","")))</f>
        <v/>
      </c>
      <c r="D442" s="9" t="n"/>
      <c r="E442" s="9" t="n"/>
      <c r="F442" s="9" t="n"/>
      <c r="G442" s="9" t="n"/>
      <c r="H442" s="13">
        <f>IF(ISBLANK(F442),"",IF(G442&lt;&gt;"",UPPER(TRIM(G442)),IF(ISNUMBER(SEARCH(" ",TRIM(F442))),UPPER(LEFT(TRIM(RIGHT(SUBSTITUTE(TRIM(F442)," ",REPT(" ",100)),100)),Settings!$B$9)),UPPER(LEFT(TRIM(F442),Settings!$B$9)))))</f>
        <v/>
      </c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15">
        <f>IF(ISBLANK(D442),"",IF(COUNTIFS(Circulation!$B$2:$B$500,A442,Circulation!$H$2:$H$500,"Active")&gt;0,"On Loan","Available"))</f>
        <v/>
      </c>
      <c r="AA442" s="9" t="n"/>
      <c r="AB442" s="9" t="n"/>
      <c r="AC442" s="9" t="n"/>
      <c r="AD442" s="9" t="n"/>
      <c r="AE442" s="9" t="n"/>
      <c r="AF442" s="9" t="n"/>
      <c r="AG442" s="9" t="n"/>
    </row>
    <row r="443">
      <c r="A443" s="13">
        <f>IF(ISBLANK(D443),"",ROW()-1)</f>
        <v/>
      </c>
      <c r="B443" s="14" t="n"/>
      <c r="C443" s="13">
        <f>IF(ISBLANK(D443),"",MID(K443,SEARCH("(",K443)+1,SEARCH(")",K443)-SEARCH("(",K443)-1)&amp;"-"&amp;MID(L443,SEARCH("(",L443)+1,SEARCH(")",L443)-SEARCH("(",L443)-1)&amp;"-"&amp;H443&amp;"-"&amp;TEXT(A443,"000")&amp;IF(ISBLANK(N443),"","-"&amp;SUBSTITUTE(N443," ","")))</f>
        <v/>
      </c>
      <c r="D443" s="9" t="n"/>
      <c r="E443" s="9" t="n"/>
      <c r="F443" s="9" t="n"/>
      <c r="G443" s="9" t="n"/>
      <c r="H443" s="13">
        <f>IF(ISBLANK(F443),"",IF(G443&lt;&gt;"",UPPER(TRIM(G443)),IF(ISNUMBER(SEARCH(" ",TRIM(F443))),UPPER(LEFT(TRIM(RIGHT(SUBSTITUTE(TRIM(F443)," ",REPT(" ",100)),100)),Settings!$B$9)),UPPER(LEFT(TRIM(F443),Settings!$B$9)))))</f>
        <v/>
      </c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15">
        <f>IF(ISBLANK(D443),"",IF(COUNTIFS(Circulation!$B$2:$B$500,A443,Circulation!$H$2:$H$500,"Active")&gt;0,"On Loan","Available"))</f>
        <v/>
      </c>
      <c r="AA443" s="9" t="n"/>
      <c r="AB443" s="9" t="n"/>
      <c r="AC443" s="9" t="n"/>
      <c r="AD443" s="9" t="n"/>
      <c r="AE443" s="9" t="n"/>
      <c r="AF443" s="9" t="n"/>
      <c r="AG443" s="9" t="n"/>
    </row>
    <row r="444">
      <c r="A444" s="13">
        <f>IF(ISBLANK(D444),"",ROW()-1)</f>
        <v/>
      </c>
      <c r="B444" s="14" t="n"/>
      <c r="C444" s="13">
        <f>IF(ISBLANK(D444),"",MID(K444,SEARCH("(",K444)+1,SEARCH(")",K444)-SEARCH("(",K444)-1)&amp;"-"&amp;MID(L444,SEARCH("(",L444)+1,SEARCH(")",L444)-SEARCH("(",L444)-1)&amp;"-"&amp;H444&amp;"-"&amp;TEXT(A444,"000")&amp;IF(ISBLANK(N444),"","-"&amp;SUBSTITUTE(N444," ","")))</f>
        <v/>
      </c>
      <c r="D444" s="9" t="n"/>
      <c r="E444" s="9" t="n"/>
      <c r="F444" s="9" t="n"/>
      <c r="G444" s="9" t="n"/>
      <c r="H444" s="13">
        <f>IF(ISBLANK(F444),"",IF(G444&lt;&gt;"",UPPER(TRIM(G444)),IF(ISNUMBER(SEARCH(" ",TRIM(F444))),UPPER(LEFT(TRIM(RIGHT(SUBSTITUTE(TRIM(F444)," ",REPT(" ",100)),100)),Settings!$B$9)),UPPER(LEFT(TRIM(F444),Settings!$B$9)))))</f>
        <v/>
      </c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15">
        <f>IF(ISBLANK(D444),"",IF(COUNTIFS(Circulation!$B$2:$B$500,A444,Circulation!$H$2:$H$500,"Active")&gt;0,"On Loan","Available"))</f>
        <v/>
      </c>
      <c r="AA444" s="9" t="n"/>
      <c r="AB444" s="9" t="n"/>
      <c r="AC444" s="9" t="n"/>
      <c r="AD444" s="9" t="n"/>
      <c r="AE444" s="9" t="n"/>
      <c r="AF444" s="9" t="n"/>
      <c r="AG444" s="9" t="n"/>
    </row>
    <row r="445">
      <c r="A445" s="13">
        <f>IF(ISBLANK(D445),"",ROW()-1)</f>
        <v/>
      </c>
      <c r="B445" s="14" t="n"/>
      <c r="C445" s="13">
        <f>IF(ISBLANK(D445),"",MID(K445,SEARCH("(",K445)+1,SEARCH(")",K445)-SEARCH("(",K445)-1)&amp;"-"&amp;MID(L445,SEARCH("(",L445)+1,SEARCH(")",L445)-SEARCH("(",L445)-1)&amp;"-"&amp;H445&amp;"-"&amp;TEXT(A445,"000")&amp;IF(ISBLANK(N445),"","-"&amp;SUBSTITUTE(N445," ","")))</f>
        <v/>
      </c>
      <c r="D445" s="9" t="n"/>
      <c r="E445" s="9" t="n"/>
      <c r="F445" s="9" t="n"/>
      <c r="G445" s="9" t="n"/>
      <c r="H445" s="13">
        <f>IF(ISBLANK(F445),"",IF(G445&lt;&gt;"",UPPER(TRIM(G445)),IF(ISNUMBER(SEARCH(" ",TRIM(F445))),UPPER(LEFT(TRIM(RIGHT(SUBSTITUTE(TRIM(F445)," ",REPT(" ",100)),100)),Settings!$B$9)),UPPER(LEFT(TRIM(F445),Settings!$B$9)))))</f>
        <v/>
      </c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15">
        <f>IF(ISBLANK(D445),"",IF(COUNTIFS(Circulation!$B$2:$B$500,A445,Circulation!$H$2:$H$500,"Active")&gt;0,"On Loan","Available"))</f>
        <v/>
      </c>
      <c r="AA445" s="9" t="n"/>
      <c r="AB445" s="9" t="n"/>
      <c r="AC445" s="9" t="n"/>
      <c r="AD445" s="9" t="n"/>
      <c r="AE445" s="9" t="n"/>
      <c r="AF445" s="9" t="n"/>
      <c r="AG445" s="9" t="n"/>
    </row>
    <row r="446">
      <c r="A446" s="13">
        <f>IF(ISBLANK(D446),"",ROW()-1)</f>
        <v/>
      </c>
      <c r="B446" s="14" t="n"/>
      <c r="C446" s="13">
        <f>IF(ISBLANK(D446),"",MID(K446,SEARCH("(",K446)+1,SEARCH(")",K446)-SEARCH("(",K446)-1)&amp;"-"&amp;MID(L446,SEARCH("(",L446)+1,SEARCH(")",L446)-SEARCH("(",L446)-1)&amp;"-"&amp;H446&amp;"-"&amp;TEXT(A446,"000")&amp;IF(ISBLANK(N446),"","-"&amp;SUBSTITUTE(N446," ","")))</f>
        <v/>
      </c>
      <c r="D446" s="9" t="n"/>
      <c r="E446" s="9" t="n"/>
      <c r="F446" s="9" t="n"/>
      <c r="G446" s="9" t="n"/>
      <c r="H446" s="13">
        <f>IF(ISBLANK(F446),"",IF(G446&lt;&gt;"",UPPER(TRIM(G446)),IF(ISNUMBER(SEARCH(" ",TRIM(F446))),UPPER(LEFT(TRIM(RIGHT(SUBSTITUTE(TRIM(F446)," ",REPT(" ",100)),100)),Settings!$B$9)),UPPER(LEFT(TRIM(F446),Settings!$B$9)))))</f>
        <v/>
      </c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15">
        <f>IF(ISBLANK(D446),"",IF(COUNTIFS(Circulation!$B$2:$B$500,A446,Circulation!$H$2:$H$500,"Active")&gt;0,"On Loan","Available"))</f>
        <v/>
      </c>
      <c r="AA446" s="9" t="n"/>
      <c r="AB446" s="9" t="n"/>
      <c r="AC446" s="9" t="n"/>
      <c r="AD446" s="9" t="n"/>
      <c r="AE446" s="9" t="n"/>
      <c r="AF446" s="9" t="n"/>
      <c r="AG446" s="9" t="n"/>
    </row>
    <row r="447">
      <c r="A447" s="13">
        <f>IF(ISBLANK(D447),"",ROW()-1)</f>
        <v/>
      </c>
      <c r="B447" s="14" t="n"/>
      <c r="C447" s="13">
        <f>IF(ISBLANK(D447),"",MID(K447,SEARCH("(",K447)+1,SEARCH(")",K447)-SEARCH("(",K447)-1)&amp;"-"&amp;MID(L447,SEARCH("(",L447)+1,SEARCH(")",L447)-SEARCH("(",L447)-1)&amp;"-"&amp;H447&amp;"-"&amp;TEXT(A447,"000")&amp;IF(ISBLANK(N447),"","-"&amp;SUBSTITUTE(N447," ","")))</f>
        <v/>
      </c>
      <c r="D447" s="9" t="n"/>
      <c r="E447" s="9" t="n"/>
      <c r="F447" s="9" t="n"/>
      <c r="G447" s="9" t="n"/>
      <c r="H447" s="13">
        <f>IF(ISBLANK(F447),"",IF(G447&lt;&gt;"",UPPER(TRIM(G447)),IF(ISNUMBER(SEARCH(" ",TRIM(F447))),UPPER(LEFT(TRIM(RIGHT(SUBSTITUTE(TRIM(F447)," ",REPT(" ",100)),100)),Settings!$B$9)),UPPER(LEFT(TRIM(F447),Settings!$B$9)))))</f>
        <v/>
      </c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15">
        <f>IF(ISBLANK(D447),"",IF(COUNTIFS(Circulation!$B$2:$B$500,A447,Circulation!$H$2:$H$500,"Active")&gt;0,"On Loan","Available"))</f>
        <v/>
      </c>
      <c r="AA447" s="9" t="n"/>
      <c r="AB447" s="9" t="n"/>
      <c r="AC447" s="9" t="n"/>
      <c r="AD447" s="9" t="n"/>
      <c r="AE447" s="9" t="n"/>
      <c r="AF447" s="9" t="n"/>
      <c r="AG447" s="9" t="n"/>
    </row>
    <row r="448">
      <c r="A448" s="13">
        <f>IF(ISBLANK(D448),"",ROW()-1)</f>
        <v/>
      </c>
      <c r="B448" s="14" t="n"/>
      <c r="C448" s="13">
        <f>IF(ISBLANK(D448),"",MID(K448,SEARCH("(",K448)+1,SEARCH(")",K448)-SEARCH("(",K448)-1)&amp;"-"&amp;MID(L448,SEARCH("(",L448)+1,SEARCH(")",L448)-SEARCH("(",L448)-1)&amp;"-"&amp;H448&amp;"-"&amp;TEXT(A448,"000")&amp;IF(ISBLANK(N448),"","-"&amp;SUBSTITUTE(N448," ","")))</f>
        <v/>
      </c>
      <c r="D448" s="9" t="n"/>
      <c r="E448" s="9" t="n"/>
      <c r="F448" s="9" t="n"/>
      <c r="G448" s="9" t="n"/>
      <c r="H448" s="13">
        <f>IF(ISBLANK(F448),"",IF(G448&lt;&gt;"",UPPER(TRIM(G448)),IF(ISNUMBER(SEARCH(" ",TRIM(F448))),UPPER(LEFT(TRIM(RIGHT(SUBSTITUTE(TRIM(F448)," ",REPT(" ",100)),100)),Settings!$B$9)),UPPER(LEFT(TRIM(F448),Settings!$B$9)))))</f>
        <v/>
      </c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15">
        <f>IF(ISBLANK(D448),"",IF(COUNTIFS(Circulation!$B$2:$B$500,A448,Circulation!$H$2:$H$500,"Active")&gt;0,"On Loan","Available"))</f>
        <v/>
      </c>
      <c r="AA448" s="9" t="n"/>
      <c r="AB448" s="9" t="n"/>
      <c r="AC448" s="9" t="n"/>
      <c r="AD448" s="9" t="n"/>
      <c r="AE448" s="9" t="n"/>
      <c r="AF448" s="9" t="n"/>
      <c r="AG448" s="9" t="n"/>
    </row>
    <row r="449">
      <c r="A449" s="13">
        <f>IF(ISBLANK(D449),"",ROW()-1)</f>
        <v/>
      </c>
      <c r="B449" s="14" t="n"/>
      <c r="C449" s="13">
        <f>IF(ISBLANK(D449),"",MID(K449,SEARCH("(",K449)+1,SEARCH(")",K449)-SEARCH("(",K449)-1)&amp;"-"&amp;MID(L449,SEARCH("(",L449)+1,SEARCH(")",L449)-SEARCH("(",L449)-1)&amp;"-"&amp;H449&amp;"-"&amp;TEXT(A449,"000")&amp;IF(ISBLANK(N449),"","-"&amp;SUBSTITUTE(N449," ","")))</f>
        <v/>
      </c>
      <c r="D449" s="9" t="n"/>
      <c r="E449" s="9" t="n"/>
      <c r="F449" s="9" t="n"/>
      <c r="G449" s="9" t="n"/>
      <c r="H449" s="13">
        <f>IF(ISBLANK(F449),"",IF(G449&lt;&gt;"",UPPER(TRIM(G449)),IF(ISNUMBER(SEARCH(" ",TRIM(F449))),UPPER(LEFT(TRIM(RIGHT(SUBSTITUTE(TRIM(F449)," ",REPT(" ",100)),100)),Settings!$B$9)),UPPER(LEFT(TRIM(F449),Settings!$B$9)))))</f>
        <v/>
      </c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15">
        <f>IF(ISBLANK(D449),"",IF(COUNTIFS(Circulation!$B$2:$B$500,A449,Circulation!$H$2:$H$500,"Active")&gt;0,"On Loan","Available"))</f>
        <v/>
      </c>
      <c r="AA449" s="9" t="n"/>
      <c r="AB449" s="9" t="n"/>
      <c r="AC449" s="9" t="n"/>
      <c r="AD449" s="9" t="n"/>
      <c r="AE449" s="9" t="n"/>
      <c r="AF449" s="9" t="n"/>
      <c r="AG449" s="9" t="n"/>
    </row>
    <row r="450">
      <c r="A450" s="13">
        <f>IF(ISBLANK(D450),"",ROW()-1)</f>
        <v/>
      </c>
      <c r="B450" s="14" t="n"/>
      <c r="C450" s="13">
        <f>IF(ISBLANK(D450),"",MID(K450,SEARCH("(",K450)+1,SEARCH(")",K450)-SEARCH("(",K450)-1)&amp;"-"&amp;MID(L450,SEARCH("(",L450)+1,SEARCH(")",L450)-SEARCH("(",L450)-1)&amp;"-"&amp;H450&amp;"-"&amp;TEXT(A450,"000")&amp;IF(ISBLANK(N450),"","-"&amp;SUBSTITUTE(N450," ","")))</f>
        <v/>
      </c>
      <c r="D450" s="9" t="n"/>
      <c r="E450" s="9" t="n"/>
      <c r="F450" s="9" t="n"/>
      <c r="G450" s="9" t="n"/>
      <c r="H450" s="13">
        <f>IF(ISBLANK(F450),"",IF(G450&lt;&gt;"",UPPER(TRIM(G450)),IF(ISNUMBER(SEARCH(" ",TRIM(F450))),UPPER(LEFT(TRIM(RIGHT(SUBSTITUTE(TRIM(F450)," ",REPT(" ",100)),100)),Settings!$B$9)),UPPER(LEFT(TRIM(F450),Settings!$B$9)))))</f>
        <v/>
      </c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15">
        <f>IF(ISBLANK(D450),"",IF(COUNTIFS(Circulation!$B$2:$B$500,A450,Circulation!$H$2:$H$500,"Active")&gt;0,"On Loan","Available"))</f>
        <v/>
      </c>
      <c r="AA450" s="9" t="n"/>
      <c r="AB450" s="9" t="n"/>
      <c r="AC450" s="9" t="n"/>
      <c r="AD450" s="9" t="n"/>
      <c r="AE450" s="9" t="n"/>
      <c r="AF450" s="9" t="n"/>
      <c r="AG450" s="9" t="n"/>
    </row>
    <row r="451">
      <c r="A451" s="13">
        <f>IF(ISBLANK(D451),"",ROW()-1)</f>
        <v/>
      </c>
      <c r="B451" s="14" t="n"/>
      <c r="C451" s="13">
        <f>IF(ISBLANK(D451),"",MID(K451,SEARCH("(",K451)+1,SEARCH(")",K451)-SEARCH("(",K451)-1)&amp;"-"&amp;MID(L451,SEARCH("(",L451)+1,SEARCH(")",L451)-SEARCH("(",L451)-1)&amp;"-"&amp;H451&amp;"-"&amp;TEXT(A451,"000")&amp;IF(ISBLANK(N451),"","-"&amp;SUBSTITUTE(N451," ","")))</f>
        <v/>
      </c>
      <c r="D451" s="9" t="n"/>
      <c r="E451" s="9" t="n"/>
      <c r="F451" s="9" t="n"/>
      <c r="G451" s="9" t="n"/>
      <c r="H451" s="13">
        <f>IF(ISBLANK(F451),"",IF(G451&lt;&gt;"",UPPER(TRIM(G451)),IF(ISNUMBER(SEARCH(" ",TRIM(F451))),UPPER(LEFT(TRIM(RIGHT(SUBSTITUTE(TRIM(F451)," ",REPT(" ",100)),100)),Settings!$B$9)),UPPER(LEFT(TRIM(F451),Settings!$B$9)))))</f>
        <v/>
      </c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15">
        <f>IF(ISBLANK(D451),"",IF(COUNTIFS(Circulation!$B$2:$B$500,A451,Circulation!$H$2:$H$500,"Active")&gt;0,"On Loan","Available"))</f>
        <v/>
      </c>
      <c r="AA451" s="9" t="n"/>
      <c r="AB451" s="9" t="n"/>
      <c r="AC451" s="9" t="n"/>
      <c r="AD451" s="9" t="n"/>
      <c r="AE451" s="9" t="n"/>
      <c r="AF451" s="9" t="n"/>
      <c r="AG451" s="9" t="n"/>
    </row>
    <row r="452">
      <c r="A452" s="13">
        <f>IF(ISBLANK(D452),"",ROW()-1)</f>
        <v/>
      </c>
      <c r="B452" s="14" t="n"/>
      <c r="C452" s="13">
        <f>IF(ISBLANK(D452),"",MID(K452,SEARCH("(",K452)+1,SEARCH(")",K452)-SEARCH("(",K452)-1)&amp;"-"&amp;MID(L452,SEARCH("(",L452)+1,SEARCH(")",L452)-SEARCH("(",L452)-1)&amp;"-"&amp;H452&amp;"-"&amp;TEXT(A452,"000")&amp;IF(ISBLANK(N452),"","-"&amp;SUBSTITUTE(N452," ","")))</f>
        <v/>
      </c>
      <c r="D452" s="9" t="n"/>
      <c r="E452" s="9" t="n"/>
      <c r="F452" s="9" t="n"/>
      <c r="G452" s="9" t="n"/>
      <c r="H452" s="13">
        <f>IF(ISBLANK(F452),"",IF(G452&lt;&gt;"",UPPER(TRIM(G452)),IF(ISNUMBER(SEARCH(" ",TRIM(F452))),UPPER(LEFT(TRIM(RIGHT(SUBSTITUTE(TRIM(F452)," ",REPT(" ",100)),100)),Settings!$B$9)),UPPER(LEFT(TRIM(F452),Settings!$B$9)))))</f>
        <v/>
      </c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15">
        <f>IF(ISBLANK(D452),"",IF(COUNTIFS(Circulation!$B$2:$B$500,A452,Circulation!$H$2:$H$500,"Active")&gt;0,"On Loan","Available"))</f>
        <v/>
      </c>
      <c r="AA452" s="9" t="n"/>
      <c r="AB452" s="9" t="n"/>
      <c r="AC452" s="9" t="n"/>
      <c r="AD452" s="9" t="n"/>
      <c r="AE452" s="9" t="n"/>
      <c r="AF452" s="9" t="n"/>
      <c r="AG452" s="9" t="n"/>
    </row>
    <row r="453">
      <c r="A453" s="13">
        <f>IF(ISBLANK(D453),"",ROW()-1)</f>
        <v/>
      </c>
      <c r="B453" s="14" t="n"/>
      <c r="C453" s="13">
        <f>IF(ISBLANK(D453),"",MID(K453,SEARCH("(",K453)+1,SEARCH(")",K453)-SEARCH("(",K453)-1)&amp;"-"&amp;MID(L453,SEARCH("(",L453)+1,SEARCH(")",L453)-SEARCH("(",L453)-1)&amp;"-"&amp;H453&amp;"-"&amp;TEXT(A453,"000")&amp;IF(ISBLANK(N453),"","-"&amp;SUBSTITUTE(N453," ","")))</f>
        <v/>
      </c>
      <c r="D453" s="9" t="n"/>
      <c r="E453" s="9" t="n"/>
      <c r="F453" s="9" t="n"/>
      <c r="G453" s="9" t="n"/>
      <c r="H453" s="13">
        <f>IF(ISBLANK(F453),"",IF(G453&lt;&gt;"",UPPER(TRIM(G453)),IF(ISNUMBER(SEARCH(" ",TRIM(F453))),UPPER(LEFT(TRIM(RIGHT(SUBSTITUTE(TRIM(F453)," ",REPT(" ",100)),100)),Settings!$B$9)),UPPER(LEFT(TRIM(F453),Settings!$B$9)))))</f>
        <v/>
      </c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15">
        <f>IF(ISBLANK(D453),"",IF(COUNTIFS(Circulation!$B$2:$B$500,A453,Circulation!$H$2:$H$500,"Active")&gt;0,"On Loan","Available"))</f>
        <v/>
      </c>
      <c r="AA453" s="9" t="n"/>
      <c r="AB453" s="9" t="n"/>
      <c r="AC453" s="9" t="n"/>
      <c r="AD453" s="9" t="n"/>
      <c r="AE453" s="9" t="n"/>
      <c r="AF453" s="9" t="n"/>
      <c r="AG453" s="9" t="n"/>
    </row>
    <row r="454">
      <c r="A454" s="13">
        <f>IF(ISBLANK(D454),"",ROW()-1)</f>
        <v/>
      </c>
      <c r="B454" s="14" t="n"/>
      <c r="C454" s="13">
        <f>IF(ISBLANK(D454),"",MID(K454,SEARCH("(",K454)+1,SEARCH(")",K454)-SEARCH("(",K454)-1)&amp;"-"&amp;MID(L454,SEARCH("(",L454)+1,SEARCH(")",L454)-SEARCH("(",L454)-1)&amp;"-"&amp;H454&amp;"-"&amp;TEXT(A454,"000")&amp;IF(ISBLANK(N454),"","-"&amp;SUBSTITUTE(N454," ","")))</f>
        <v/>
      </c>
      <c r="D454" s="9" t="n"/>
      <c r="E454" s="9" t="n"/>
      <c r="F454" s="9" t="n"/>
      <c r="G454" s="9" t="n"/>
      <c r="H454" s="13">
        <f>IF(ISBLANK(F454),"",IF(G454&lt;&gt;"",UPPER(TRIM(G454)),IF(ISNUMBER(SEARCH(" ",TRIM(F454))),UPPER(LEFT(TRIM(RIGHT(SUBSTITUTE(TRIM(F454)," ",REPT(" ",100)),100)),Settings!$B$9)),UPPER(LEFT(TRIM(F454),Settings!$B$9)))))</f>
        <v/>
      </c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15">
        <f>IF(ISBLANK(D454),"",IF(COUNTIFS(Circulation!$B$2:$B$500,A454,Circulation!$H$2:$H$500,"Active")&gt;0,"On Loan","Available"))</f>
        <v/>
      </c>
      <c r="AA454" s="9" t="n"/>
      <c r="AB454" s="9" t="n"/>
      <c r="AC454" s="9" t="n"/>
      <c r="AD454" s="9" t="n"/>
      <c r="AE454" s="9" t="n"/>
      <c r="AF454" s="9" t="n"/>
      <c r="AG454" s="9" t="n"/>
    </row>
    <row r="455">
      <c r="A455" s="13">
        <f>IF(ISBLANK(D455),"",ROW()-1)</f>
        <v/>
      </c>
      <c r="B455" s="14" t="n"/>
      <c r="C455" s="13">
        <f>IF(ISBLANK(D455),"",MID(K455,SEARCH("(",K455)+1,SEARCH(")",K455)-SEARCH("(",K455)-1)&amp;"-"&amp;MID(L455,SEARCH("(",L455)+1,SEARCH(")",L455)-SEARCH("(",L455)-1)&amp;"-"&amp;H455&amp;"-"&amp;TEXT(A455,"000")&amp;IF(ISBLANK(N455),"","-"&amp;SUBSTITUTE(N455," ","")))</f>
        <v/>
      </c>
      <c r="D455" s="9" t="n"/>
      <c r="E455" s="9" t="n"/>
      <c r="F455" s="9" t="n"/>
      <c r="G455" s="9" t="n"/>
      <c r="H455" s="13">
        <f>IF(ISBLANK(F455),"",IF(G455&lt;&gt;"",UPPER(TRIM(G455)),IF(ISNUMBER(SEARCH(" ",TRIM(F455))),UPPER(LEFT(TRIM(RIGHT(SUBSTITUTE(TRIM(F455)," ",REPT(" ",100)),100)),Settings!$B$9)),UPPER(LEFT(TRIM(F455),Settings!$B$9)))))</f>
        <v/>
      </c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15">
        <f>IF(ISBLANK(D455),"",IF(COUNTIFS(Circulation!$B$2:$B$500,A455,Circulation!$H$2:$H$500,"Active")&gt;0,"On Loan","Available"))</f>
        <v/>
      </c>
      <c r="AA455" s="9" t="n"/>
      <c r="AB455" s="9" t="n"/>
      <c r="AC455" s="9" t="n"/>
      <c r="AD455" s="9" t="n"/>
      <c r="AE455" s="9" t="n"/>
      <c r="AF455" s="9" t="n"/>
      <c r="AG455" s="9" t="n"/>
    </row>
    <row r="456">
      <c r="A456" s="13">
        <f>IF(ISBLANK(D456),"",ROW()-1)</f>
        <v/>
      </c>
      <c r="B456" s="14" t="n"/>
      <c r="C456" s="13">
        <f>IF(ISBLANK(D456),"",MID(K456,SEARCH("(",K456)+1,SEARCH(")",K456)-SEARCH("(",K456)-1)&amp;"-"&amp;MID(L456,SEARCH("(",L456)+1,SEARCH(")",L456)-SEARCH("(",L456)-1)&amp;"-"&amp;H456&amp;"-"&amp;TEXT(A456,"000")&amp;IF(ISBLANK(N456),"","-"&amp;SUBSTITUTE(N456," ","")))</f>
        <v/>
      </c>
      <c r="D456" s="9" t="n"/>
      <c r="E456" s="9" t="n"/>
      <c r="F456" s="9" t="n"/>
      <c r="G456" s="9" t="n"/>
      <c r="H456" s="13">
        <f>IF(ISBLANK(F456),"",IF(G456&lt;&gt;"",UPPER(TRIM(G456)),IF(ISNUMBER(SEARCH(" ",TRIM(F456))),UPPER(LEFT(TRIM(RIGHT(SUBSTITUTE(TRIM(F456)," ",REPT(" ",100)),100)),Settings!$B$9)),UPPER(LEFT(TRIM(F456),Settings!$B$9)))))</f>
        <v/>
      </c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15">
        <f>IF(ISBLANK(D456),"",IF(COUNTIFS(Circulation!$B$2:$B$500,A456,Circulation!$H$2:$H$500,"Active")&gt;0,"On Loan","Available"))</f>
        <v/>
      </c>
      <c r="AA456" s="9" t="n"/>
      <c r="AB456" s="9" t="n"/>
      <c r="AC456" s="9" t="n"/>
      <c r="AD456" s="9" t="n"/>
      <c r="AE456" s="9" t="n"/>
      <c r="AF456" s="9" t="n"/>
      <c r="AG456" s="9" t="n"/>
    </row>
    <row r="457">
      <c r="A457" s="13">
        <f>IF(ISBLANK(D457),"",ROW()-1)</f>
        <v/>
      </c>
      <c r="B457" s="14" t="n"/>
      <c r="C457" s="13">
        <f>IF(ISBLANK(D457),"",MID(K457,SEARCH("(",K457)+1,SEARCH(")",K457)-SEARCH("(",K457)-1)&amp;"-"&amp;MID(L457,SEARCH("(",L457)+1,SEARCH(")",L457)-SEARCH("(",L457)-1)&amp;"-"&amp;H457&amp;"-"&amp;TEXT(A457,"000")&amp;IF(ISBLANK(N457),"","-"&amp;SUBSTITUTE(N457," ","")))</f>
        <v/>
      </c>
      <c r="D457" s="9" t="n"/>
      <c r="E457" s="9" t="n"/>
      <c r="F457" s="9" t="n"/>
      <c r="G457" s="9" t="n"/>
      <c r="H457" s="13">
        <f>IF(ISBLANK(F457),"",IF(G457&lt;&gt;"",UPPER(TRIM(G457)),IF(ISNUMBER(SEARCH(" ",TRIM(F457))),UPPER(LEFT(TRIM(RIGHT(SUBSTITUTE(TRIM(F457)," ",REPT(" ",100)),100)),Settings!$B$9)),UPPER(LEFT(TRIM(F457),Settings!$B$9)))))</f>
        <v/>
      </c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15">
        <f>IF(ISBLANK(D457),"",IF(COUNTIFS(Circulation!$B$2:$B$500,A457,Circulation!$H$2:$H$500,"Active")&gt;0,"On Loan","Available"))</f>
        <v/>
      </c>
      <c r="AA457" s="9" t="n"/>
      <c r="AB457" s="9" t="n"/>
      <c r="AC457" s="9" t="n"/>
      <c r="AD457" s="9" t="n"/>
      <c r="AE457" s="9" t="n"/>
      <c r="AF457" s="9" t="n"/>
      <c r="AG457" s="9" t="n"/>
    </row>
    <row r="458">
      <c r="A458" s="13">
        <f>IF(ISBLANK(D458),"",ROW()-1)</f>
        <v/>
      </c>
      <c r="B458" s="14" t="n"/>
      <c r="C458" s="13">
        <f>IF(ISBLANK(D458),"",MID(K458,SEARCH("(",K458)+1,SEARCH(")",K458)-SEARCH("(",K458)-1)&amp;"-"&amp;MID(L458,SEARCH("(",L458)+1,SEARCH(")",L458)-SEARCH("(",L458)-1)&amp;"-"&amp;H458&amp;"-"&amp;TEXT(A458,"000")&amp;IF(ISBLANK(N458),"","-"&amp;SUBSTITUTE(N458," ","")))</f>
        <v/>
      </c>
      <c r="D458" s="9" t="n"/>
      <c r="E458" s="9" t="n"/>
      <c r="F458" s="9" t="n"/>
      <c r="G458" s="9" t="n"/>
      <c r="H458" s="13">
        <f>IF(ISBLANK(F458),"",IF(G458&lt;&gt;"",UPPER(TRIM(G458)),IF(ISNUMBER(SEARCH(" ",TRIM(F458))),UPPER(LEFT(TRIM(RIGHT(SUBSTITUTE(TRIM(F458)," ",REPT(" ",100)),100)),Settings!$B$9)),UPPER(LEFT(TRIM(F458),Settings!$B$9)))))</f>
        <v/>
      </c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15">
        <f>IF(ISBLANK(D458),"",IF(COUNTIFS(Circulation!$B$2:$B$500,A458,Circulation!$H$2:$H$500,"Active")&gt;0,"On Loan","Available"))</f>
        <v/>
      </c>
      <c r="AA458" s="9" t="n"/>
      <c r="AB458" s="9" t="n"/>
      <c r="AC458" s="9" t="n"/>
      <c r="AD458" s="9" t="n"/>
      <c r="AE458" s="9" t="n"/>
      <c r="AF458" s="9" t="n"/>
      <c r="AG458" s="9" t="n"/>
    </row>
    <row r="459">
      <c r="A459" s="13">
        <f>IF(ISBLANK(D459),"",ROW()-1)</f>
        <v/>
      </c>
      <c r="B459" s="14" t="n"/>
      <c r="C459" s="13">
        <f>IF(ISBLANK(D459),"",MID(K459,SEARCH("(",K459)+1,SEARCH(")",K459)-SEARCH("(",K459)-1)&amp;"-"&amp;MID(L459,SEARCH("(",L459)+1,SEARCH(")",L459)-SEARCH("(",L459)-1)&amp;"-"&amp;H459&amp;"-"&amp;TEXT(A459,"000")&amp;IF(ISBLANK(N459),"","-"&amp;SUBSTITUTE(N459," ","")))</f>
        <v/>
      </c>
      <c r="D459" s="9" t="n"/>
      <c r="E459" s="9" t="n"/>
      <c r="F459" s="9" t="n"/>
      <c r="G459" s="9" t="n"/>
      <c r="H459" s="13">
        <f>IF(ISBLANK(F459),"",IF(G459&lt;&gt;"",UPPER(TRIM(G459)),IF(ISNUMBER(SEARCH(" ",TRIM(F459))),UPPER(LEFT(TRIM(RIGHT(SUBSTITUTE(TRIM(F459)," ",REPT(" ",100)),100)),Settings!$B$9)),UPPER(LEFT(TRIM(F459),Settings!$B$9)))))</f>
        <v/>
      </c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15">
        <f>IF(ISBLANK(D459),"",IF(COUNTIFS(Circulation!$B$2:$B$500,A459,Circulation!$H$2:$H$500,"Active")&gt;0,"On Loan","Available"))</f>
        <v/>
      </c>
      <c r="AA459" s="9" t="n"/>
      <c r="AB459" s="9" t="n"/>
      <c r="AC459" s="9" t="n"/>
      <c r="AD459" s="9" t="n"/>
      <c r="AE459" s="9" t="n"/>
      <c r="AF459" s="9" t="n"/>
      <c r="AG459" s="9" t="n"/>
    </row>
    <row r="460">
      <c r="A460" s="13">
        <f>IF(ISBLANK(D460),"",ROW()-1)</f>
        <v/>
      </c>
      <c r="B460" s="14" t="n"/>
      <c r="C460" s="13">
        <f>IF(ISBLANK(D460),"",MID(K460,SEARCH("(",K460)+1,SEARCH(")",K460)-SEARCH("(",K460)-1)&amp;"-"&amp;MID(L460,SEARCH("(",L460)+1,SEARCH(")",L460)-SEARCH("(",L460)-1)&amp;"-"&amp;H460&amp;"-"&amp;TEXT(A460,"000")&amp;IF(ISBLANK(N460),"","-"&amp;SUBSTITUTE(N460," ","")))</f>
        <v/>
      </c>
      <c r="D460" s="9" t="n"/>
      <c r="E460" s="9" t="n"/>
      <c r="F460" s="9" t="n"/>
      <c r="G460" s="9" t="n"/>
      <c r="H460" s="13">
        <f>IF(ISBLANK(F460),"",IF(G460&lt;&gt;"",UPPER(TRIM(G460)),IF(ISNUMBER(SEARCH(" ",TRIM(F460))),UPPER(LEFT(TRIM(RIGHT(SUBSTITUTE(TRIM(F460)," ",REPT(" ",100)),100)),Settings!$B$9)),UPPER(LEFT(TRIM(F460),Settings!$B$9)))))</f>
        <v/>
      </c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15">
        <f>IF(ISBLANK(D460),"",IF(COUNTIFS(Circulation!$B$2:$B$500,A460,Circulation!$H$2:$H$500,"Active")&gt;0,"On Loan","Available"))</f>
        <v/>
      </c>
      <c r="AA460" s="9" t="n"/>
      <c r="AB460" s="9" t="n"/>
      <c r="AC460" s="9" t="n"/>
      <c r="AD460" s="9" t="n"/>
      <c r="AE460" s="9" t="n"/>
      <c r="AF460" s="9" t="n"/>
      <c r="AG460" s="9" t="n"/>
    </row>
    <row r="461">
      <c r="A461" s="13">
        <f>IF(ISBLANK(D461),"",ROW()-1)</f>
        <v/>
      </c>
      <c r="B461" s="14" t="n"/>
      <c r="C461" s="13">
        <f>IF(ISBLANK(D461),"",MID(K461,SEARCH("(",K461)+1,SEARCH(")",K461)-SEARCH("(",K461)-1)&amp;"-"&amp;MID(L461,SEARCH("(",L461)+1,SEARCH(")",L461)-SEARCH("(",L461)-1)&amp;"-"&amp;H461&amp;"-"&amp;TEXT(A461,"000")&amp;IF(ISBLANK(N461),"","-"&amp;SUBSTITUTE(N461," ","")))</f>
        <v/>
      </c>
      <c r="D461" s="9" t="n"/>
      <c r="E461" s="9" t="n"/>
      <c r="F461" s="9" t="n"/>
      <c r="G461" s="9" t="n"/>
      <c r="H461" s="13">
        <f>IF(ISBLANK(F461),"",IF(G461&lt;&gt;"",UPPER(TRIM(G461)),IF(ISNUMBER(SEARCH(" ",TRIM(F461))),UPPER(LEFT(TRIM(RIGHT(SUBSTITUTE(TRIM(F461)," ",REPT(" ",100)),100)),Settings!$B$9)),UPPER(LEFT(TRIM(F461),Settings!$B$9)))))</f>
        <v/>
      </c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15">
        <f>IF(ISBLANK(D461),"",IF(COUNTIFS(Circulation!$B$2:$B$500,A461,Circulation!$H$2:$H$500,"Active")&gt;0,"On Loan","Available"))</f>
        <v/>
      </c>
      <c r="AA461" s="9" t="n"/>
      <c r="AB461" s="9" t="n"/>
      <c r="AC461" s="9" t="n"/>
      <c r="AD461" s="9" t="n"/>
      <c r="AE461" s="9" t="n"/>
      <c r="AF461" s="9" t="n"/>
      <c r="AG461" s="9" t="n"/>
    </row>
    <row r="462">
      <c r="A462" s="13">
        <f>IF(ISBLANK(D462),"",ROW()-1)</f>
        <v/>
      </c>
      <c r="B462" s="14" t="n"/>
      <c r="C462" s="13">
        <f>IF(ISBLANK(D462),"",MID(K462,SEARCH("(",K462)+1,SEARCH(")",K462)-SEARCH("(",K462)-1)&amp;"-"&amp;MID(L462,SEARCH("(",L462)+1,SEARCH(")",L462)-SEARCH("(",L462)-1)&amp;"-"&amp;H462&amp;"-"&amp;TEXT(A462,"000")&amp;IF(ISBLANK(N462),"","-"&amp;SUBSTITUTE(N462," ","")))</f>
        <v/>
      </c>
      <c r="D462" s="9" t="n"/>
      <c r="E462" s="9" t="n"/>
      <c r="F462" s="9" t="n"/>
      <c r="G462" s="9" t="n"/>
      <c r="H462" s="13">
        <f>IF(ISBLANK(F462),"",IF(G462&lt;&gt;"",UPPER(TRIM(G462)),IF(ISNUMBER(SEARCH(" ",TRIM(F462))),UPPER(LEFT(TRIM(RIGHT(SUBSTITUTE(TRIM(F462)," ",REPT(" ",100)),100)),Settings!$B$9)),UPPER(LEFT(TRIM(F462),Settings!$B$9)))))</f>
        <v/>
      </c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15">
        <f>IF(ISBLANK(D462),"",IF(COUNTIFS(Circulation!$B$2:$B$500,A462,Circulation!$H$2:$H$500,"Active")&gt;0,"On Loan","Available"))</f>
        <v/>
      </c>
      <c r="AA462" s="9" t="n"/>
      <c r="AB462" s="9" t="n"/>
      <c r="AC462" s="9" t="n"/>
      <c r="AD462" s="9" t="n"/>
      <c r="AE462" s="9" t="n"/>
      <c r="AF462" s="9" t="n"/>
      <c r="AG462" s="9" t="n"/>
    </row>
    <row r="463">
      <c r="A463" s="13">
        <f>IF(ISBLANK(D463),"",ROW()-1)</f>
        <v/>
      </c>
      <c r="B463" s="14" t="n"/>
      <c r="C463" s="13">
        <f>IF(ISBLANK(D463),"",MID(K463,SEARCH("(",K463)+1,SEARCH(")",K463)-SEARCH("(",K463)-1)&amp;"-"&amp;MID(L463,SEARCH("(",L463)+1,SEARCH(")",L463)-SEARCH("(",L463)-1)&amp;"-"&amp;H463&amp;"-"&amp;TEXT(A463,"000")&amp;IF(ISBLANK(N463),"","-"&amp;SUBSTITUTE(N463," ","")))</f>
        <v/>
      </c>
      <c r="D463" s="9" t="n"/>
      <c r="E463" s="9" t="n"/>
      <c r="F463" s="9" t="n"/>
      <c r="G463" s="9" t="n"/>
      <c r="H463" s="13">
        <f>IF(ISBLANK(F463),"",IF(G463&lt;&gt;"",UPPER(TRIM(G463)),IF(ISNUMBER(SEARCH(" ",TRIM(F463))),UPPER(LEFT(TRIM(RIGHT(SUBSTITUTE(TRIM(F463)," ",REPT(" ",100)),100)),Settings!$B$9)),UPPER(LEFT(TRIM(F463),Settings!$B$9)))))</f>
        <v/>
      </c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15">
        <f>IF(ISBLANK(D463),"",IF(COUNTIFS(Circulation!$B$2:$B$500,A463,Circulation!$H$2:$H$500,"Active")&gt;0,"On Loan","Available"))</f>
        <v/>
      </c>
      <c r="AA463" s="9" t="n"/>
      <c r="AB463" s="9" t="n"/>
      <c r="AC463" s="9" t="n"/>
      <c r="AD463" s="9" t="n"/>
      <c r="AE463" s="9" t="n"/>
      <c r="AF463" s="9" t="n"/>
      <c r="AG463" s="9" t="n"/>
    </row>
    <row r="464">
      <c r="A464" s="13">
        <f>IF(ISBLANK(D464),"",ROW()-1)</f>
        <v/>
      </c>
      <c r="B464" s="14" t="n"/>
      <c r="C464" s="13">
        <f>IF(ISBLANK(D464),"",MID(K464,SEARCH("(",K464)+1,SEARCH(")",K464)-SEARCH("(",K464)-1)&amp;"-"&amp;MID(L464,SEARCH("(",L464)+1,SEARCH(")",L464)-SEARCH("(",L464)-1)&amp;"-"&amp;H464&amp;"-"&amp;TEXT(A464,"000")&amp;IF(ISBLANK(N464),"","-"&amp;SUBSTITUTE(N464," ","")))</f>
        <v/>
      </c>
      <c r="D464" s="9" t="n"/>
      <c r="E464" s="9" t="n"/>
      <c r="F464" s="9" t="n"/>
      <c r="G464" s="9" t="n"/>
      <c r="H464" s="13">
        <f>IF(ISBLANK(F464),"",IF(G464&lt;&gt;"",UPPER(TRIM(G464)),IF(ISNUMBER(SEARCH(" ",TRIM(F464))),UPPER(LEFT(TRIM(RIGHT(SUBSTITUTE(TRIM(F464)," ",REPT(" ",100)),100)),Settings!$B$9)),UPPER(LEFT(TRIM(F464),Settings!$B$9)))))</f>
        <v/>
      </c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15">
        <f>IF(ISBLANK(D464),"",IF(COUNTIFS(Circulation!$B$2:$B$500,A464,Circulation!$H$2:$H$500,"Active")&gt;0,"On Loan","Available"))</f>
        <v/>
      </c>
      <c r="AA464" s="9" t="n"/>
      <c r="AB464" s="9" t="n"/>
      <c r="AC464" s="9" t="n"/>
      <c r="AD464" s="9" t="n"/>
      <c r="AE464" s="9" t="n"/>
      <c r="AF464" s="9" t="n"/>
      <c r="AG464" s="9" t="n"/>
    </row>
    <row r="465">
      <c r="A465" s="13">
        <f>IF(ISBLANK(D465),"",ROW()-1)</f>
        <v/>
      </c>
      <c r="B465" s="14" t="n"/>
      <c r="C465" s="13">
        <f>IF(ISBLANK(D465),"",MID(K465,SEARCH("(",K465)+1,SEARCH(")",K465)-SEARCH("(",K465)-1)&amp;"-"&amp;MID(L465,SEARCH("(",L465)+1,SEARCH(")",L465)-SEARCH("(",L465)-1)&amp;"-"&amp;H465&amp;"-"&amp;TEXT(A465,"000")&amp;IF(ISBLANK(N465),"","-"&amp;SUBSTITUTE(N465," ","")))</f>
        <v/>
      </c>
      <c r="D465" s="9" t="n"/>
      <c r="E465" s="9" t="n"/>
      <c r="F465" s="9" t="n"/>
      <c r="G465" s="9" t="n"/>
      <c r="H465" s="13">
        <f>IF(ISBLANK(F465),"",IF(G465&lt;&gt;"",UPPER(TRIM(G465)),IF(ISNUMBER(SEARCH(" ",TRIM(F465))),UPPER(LEFT(TRIM(RIGHT(SUBSTITUTE(TRIM(F465)," ",REPT(" ",100)),100)),Settings!$B$9)),UPPER(LEFT(TRIM(F465),Settings!$B$9)))))</f>
        <v/>
      </c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15">
        <f>IF(ISBLANK(D465),"",IF(COUNTIFS(Circulation!$B$2:$B$500,A465,Circulation!$H$2:$H$500,"Active")&gt;0,"On Loan","Available"))</f>
        <v/>
      </c>
      <c r="AA465" s="9" t="n"/>
      <c r="AB465" s="9" t="n"/>
      <c r="AC465" s="9" t="n"/>
      <c r="AD465" s="9" t="n"/>
      <c r="AE465" s="9" t="n"/>
      <c r="AF465" s="9" t="n"/>
      <c r="AG465" s="9" t="n"/>
    </row>
    <row r="466">
      <c r="A466" s="13">
        <f>IF(ISBLANK(D466),"",ROW()-1)</f>
        <v/>
      </c>
      <c r="B466" s="14" t="n"/>
      <c r="C466" s="13">
        <f>IF(ISBLANK(D466),"",MID(K466,SEARCH("(",K466)+1,SEARCH(")",K466)-SEARCH("(",K466)-1)&amp;"-"&amp;MID(L466,SEARCH("(",L466)+1,SEARCH(")",L466)-SEARCH("(",L466)-1)&amp;"-"&amp;H466&amp;"-"&amp;TEXT(A466,"000")&amp;IF(ISBLANK(N466),"","-"&amp;SUBSTITUTE(N466," ","")))</f>
        <v/>
      </c>
      <c r="D466" s="9" t="n"/>
      <c r="E466" s="9" t="n"/>
      <c r="F466" s="9" t="n"/>
      <c r="G466" s="9" t="n"/>
      <c r="H466" s="13">
        <f>IF(ISBLANK(F466),"",IF(G466&lt;&gt;"",UPPER(TRIM(G466)),IF(ISNUMBER(SEARCH(" ",TRIM(F466))),UPPER(LEFT(TRIM(RIGHT(SUBSTITUTE(TRIM(F466)," ",REPT(" ",100)),100)),Settings!$B$9)),UPPER(LEFT(TRIM(F466),Settings!$B$9)))))</f>
        <v/>
      </c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15">
        <f>IF(ISBLANK(D466),"",IF(COUNTIFS(Circulation!$B$2:$B$500,A466,Circulation!$H$2:$H$500,"Active")&gt;0,"On Loan","Available"))</f>
        <v/>
      </c>
      <c r="AA466" s="9" t="n"/>
      <c r="AB466" s="9" t="n"/>
      <c r="AC466" s="9" t="n"/>
      <c r="AD466" s="9" t="n"/>
      <c r="AE466" s="9" t="n"/>
      <c r="AF466" s="9" t="n"/>
      <c r="AG466" s="9" t="n"/>
    </row>
    <row r="467">
      <c r="A467" s="13">
        <f>IF(ISBLANK(D467),"",ROW()-1)</f>
        <v/>
      </c>
      <c r="B467" s="14" t="n"/>
      <c r="C467" s="13">
        <f>IF(ISBLANK(D467),"",MID(K467,SEARCH("(",K467)+1,SEARCH(")",K467)-SEARCH("(",K467)-1)&amp;"-"&amp;MID(L467,SEARCH("(",L467)+1,SEARCH(")",L467)-SEARCH("(",L467)-1)&amp;"-"&amp;H467&amp;"-"&amp;TEXT(A467,"000")&amp;IF(ISBLANK(N467),"","-"&amp;SUBSTITUTE(N467," ","")))</f>
        <v/>
      </c>
      <c r="D467" s="9" t="n"/>
      <c r="E467" s="9" t="n"/>
      <c r="F467" s="9" t="n"/>
      <c r="G467" s="9" t="n"/>
      <c r="H467" s="13">
        <f>IF(ISBLANK(F467),"",IF(G467&lt;&gt;"",UPPER(TRIM(G467)),IF(ISNUMBER(SEARCH(" ",TRIM(F467))),UPPER(LEFT(TRIM(RIGHT(SUBSTITUTE(TRIM(F467)," ",REPT(" ",100)),100)),Settings!$B$9)),UPPER(LEFT(TRIM(F467),Settings!$B$9)))))</f>
        <v/>
      </c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15">
        <f>IF(ISBLANK(D467),"",IF(COUNTIFS(Circulation!$B$2:$B$500,A467,Circulation!$H$2:$H$500,"Active")&gt;0,"On Loan","Available"))</f>
        <v/>
      </c>
      <c r="AA467" s="9" t="n"/>
      <c r="AB467" s="9" t="n"/>
      <c r="AC467" s="9" t="n"/>
      <c r="AD467" s="9" t="n"/>
      <c r="AE467" s="9" t="n"/>
      <c r="AF467" s="9" t="n"/>
      <c r="AG467" s="9" t="n"/>
    </row>
    <row r="468">
      <c r="A468" s="13">
        <f>IF(ISBLANK(D468),"",ROW()-1)</f>
        <v/>
      </c>
      <c r="B468" s="14" t="n"/>
      <c r="C468" s="13">
        <f>IF(ISBLANK(D468),"",MID(K468,SEARCH("(",K468)+1,SEARCH(")",K468)-SEARCH("(",K468)-1)&amp;"-"&amp;MID(L468,SEARCH("(",L468)+1,SEARCH(")",L468)-SEARCH("(",L468)-1)&amp;"-"&amp;H468&amp;"-"&amp;TEXT(A468,"000")&amp;IF(ISBLANK(N468),"","-"&amp;SUBSTITUTE(N468," ","")))</f>
        <v/>
      </c>
      <c r="D468" s="9" t="n"/>
      <c r="E468" s="9" t="n"/>
      <c r="F468" s="9" t="n"/>
      <c r="G468" s="9" t="n"/>
      <c r="H468" s="13">
        <f>IF(ISBLANK(F468),"",IF(G468&lt;&gt;"",UPPER(TRIM(G468)),IF(ISNUMBER(SEARCH(" ",TRIM(F468))),UPPER(LEFT(TRIM(RIGHT(SUBSTITUTE(TRIM(F468)," ",REPT(" ",100)),100)),Settings!$B$9)),UPPER(LEFT(TRIM(F468),Settings!$B$9)))))</f>
        <v/>
      </c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15">
        <f>IF(ISBLANK(D468),"",IF(COUNTIFS(Circulation!$B$2:$B$500,A468,Circulation!$H$2:$H$500,"Active")&gt;0,"On Loan","Available"))</f>
        <v/>
      </c>
      <c r="AA468" s="9" t="n"/>
      <c r="AB468" s="9" t="n"/>
      <c r="AC468" s="9" t="n"/>
      <c r="AD468" s="9" t="n"/>
      <c r="AE468" s="9" t="n"/>
      <c r="AF468" s="9" t="n"/>
      <c r="AG468" s="9" t="n"/>
    </row>
    <row r="469">
      <c r="A469" s="13">
        <f>IF(ISBLANK(D469),"",ROW()-1)</f>
        <v/>
      </c>
      <c r="B469" s="14" t="n"/>
      <c r="C469" s="13">
        <f>IF(ISBLANK(D469),"",MID(K469,SEARCH("(",K469)+1,SEARCH(")",K469)-SEARCH("(",K469)-1)&amp;"-"&amp;MID(L469,SEARCH("(",L469)+1,SEARCH(")",L469)-SEARCH("(",L469)-1)&amp;"-"&amp;H469&amp;"-"&amp;TEXT(A469,"000")&amp;IF(ISBLANK(N469),"","-"&amp;SUBSTITUTE(N469," ","")))</f>
        <v/>
      </c>
      <c r="D469" s="9" t="n"/>
      <c r="E469" s="9" t="n"/>
      <c r="F469" s="9" t="n"/>
      <c r="G469" s="9" t="n"/>
      <c r="H469" s="13">
        <f>IF(ISBLANK(F469),"",IF(G469&lt;&gt;"",UPPER(TRIM(G469)),IF(ISNUMBER(SEARCH(" ",TRIM(F469))),UPPER(LEFT(TRIM(RIGHT(SUBSTITUTE(TRIM(F469)," ",REPT(" ",100)),100)),Settings!$B$9)),UPPER(LEFT(TRIM(F469),Settings!$B$9)))))</f>
        <v/>
      </c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15">
        <f>IF(ISBLANK(D469),"",IF(COUNTIFS(Circulation!$B$2:$B$500,A469,Circulation!$H$2:$H$500,"Active")&gt;0,"On Loan","Available"))</f>
        <v/>
      </c>
      <c r="AA469" s="9" t="n"/>
      <c r="AB469" s="9" t="n"/>
      <c r="AC469" s="9" t="n"/>
      <c r="AD469" s="9" t="n"/>
      <c r="AE469" s="9" t="n"/>
      <c r="AF469" s="9" t="n"/>
      <c r="AG469" s="9" t="n"/>
    </row>
    <row r="470">
      <c r="A470" s="13">
        <f>IF(ISBLANK(D470),"",ROW()-1)</f>
        <v/>
      </c>
      <c r="B470" s="14" t="n"/>
      <c r="C470" s="13">
        <f>IF(ISBLANK(D470),"",MID(K470,SEARCH("(",K470)+1,SEARCH(")",K470)-SEARCH("(",K470)-1)&amp;"-"&amp;MID(L470,SEARCH("(",L470)+1,SEARCH(")",L470)-SEARCH("(",L470)-1)&amp;"-"&amp;H470&amp;"-"&amp;TEXT(A470,"000")&amp;IF(ISBLANK(N470),"","-"&amp;SUBSTITUTE(N470," ","")))</f>
        <v/>
      </c>
      <c r="D470" s="9" t="n"/>
      <c r="E470" s="9" t="n"/>
      <c r="F470" s="9" t="n"/>
      <c r="G470" s="9" t="n"/>
      <c r="H470" s="13">
        <f>IF(ISBLANK(F470),"",IF(G470&lt;&gt;"",UPPER(TRIM(G470)),IF(ISNUMBER(SEARCH(" ",TRIM(F470))),UPPER(LEFT(TRIM(RIGHT(SUBSTITUTE(TRIM(F470)," ",REPT(" ",100)),100)),Settings!$B$9)),UPPER(LEFT(TRIM(F470),Settings!$B$9)))))</f>
        <v/>
      </c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15">
        <f>IF(ISBLANK(D470),"",IF(COUNTIFS(Circulation!$B$2:$B$500,A470,Circulation!$H$2:$H$500,"Active")&gt;0,"On Loan","Available"))</f>
        <v/>
      </c>
      <c r="AA470" s="9" t="n"/>
      <c r="AB470" s="9" t="n"/>
      <c r="AC470" s="9" t="n"/>
      <c r="AD470" s="9" t="n"/>
      <c r="AE470" s="9" t="n"/>
      <c r="AF470" s="9" t="n"/>
      <c r="AG470" s="9" t="n"/>
    </row>
    <row r="471">
      <c r="A471" s="13">
        <f>IF(ISBLANK(D471),"",ROW()-1)</f>
        <v/>
      </c>
      <c r="B471" s="14" t="n"/>
      <c r="C471" s="13">
        <f>IF(ISBLANK(D471),"",MID(K471,SEARCH("(",K471)+1,SEARCH(")",K471)-SEARCH("(",K471)-1)&amp;"-"&amp;MID(L471,SEARCH("(",L471)+1,SEARCH(")",L471)-SEARCH("(",L471)-1)&amp;"-"&amp;H471&amp;"-"&amp;TEXT(A471,"000")&amp;IF(ISBLANK(N471),"","-"&amp;SUBSTITUTE(N471," ","")))</f>
        <v/>
      </c>
      <c r="D471" s="9" t="n"/>
      <c r="E471" s="9" t="n"/>
      <c r="F471" s="9" t="n"/>
      <c r="G471" s="9" t="n"/>
      <c r="H471" s="13">
        <f>IF(ISBLANK(F471),"",IF(G471&lt;&gt;"",UPPER(TRIM(G471)),IF(ISNUMBER(SEARCH(" ",TRIM(F471))),UPPER(LEFT(TRIM(RIGHT(SUBSTITUTE(TRIM(F471)," ",REPT(" ",100)),100)),Settings!$B$9)),UPPER(LEFT(TRIM(F471),Settings!$B$9)))))</f>
        <v/>
      </c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15">
        <f>IF(ISBLANK(D471),"",IF(COUNTIFS(Circulation!$B$2:$B$500,A471,Circulation!$H$2:$H$500,"Active")&gt;0,"On Loan","Available"))</f>
        <v/>
      </c>
      <c r="AA471" s="9" t="n"/>
      <c r="AB471" s="9" t="n"/>
      <c r="AC471" s="9" t="n"/>
      <c r="AD471" s="9" t="n"/>
      <c r="AE471" s="9" t="n"/>
      <c r="AF471" s="9" t="n"/>
      <c r="AG471" s="9" t="n"/>
    </row>
    <row r="472">
      <c r="A472" s="13">
        <f>IF(ISBLANK(D472),"",ROW()-1)</f>
        <v/>
      </c>
      <c r="B472" s="14" t="n"/>
      <c r="C472" s="13">
        <f>IF(ISBLANK(D472),"",MID(K472,SEARCH("(",K472)+1,SEARCH(")",K472)-SEARCH("(",K472)-1)&amp;"-"&amp;MID(L472,SEARCH("(",L472)+1,SEARCH(")",L472)-SEARCH("(",L472)-1)&amp;"-"&amp;H472&amp;"-"&amp;TEXT(A472,"000")&amp;IF(ISBLANK(N472),"","-"&amp;SUBSTITUTE(N472," ","")))</f>
        <v/>
      </c>
      <c r="D472" s="9" t="n"/>
      <c r="E472" s="9" t="n"/>
      <c r="F472" s="9" t="n"/>
      <c r="G472" s="9" t="n"/>
      <c r="H472" s="13">
        <f>IF(ISBLANK(F472),"",IF(G472&lt;&gt;"",UPPER(TRIM(G472)),IF(ISNUMBER(SEARCH(" ",TRIM(F472))),UPPER(LEFT(TRIM(RIGHT(SUBSTITUTE(TRIM(F472)," ",REPT(" ",100)),100)),Settings!$B$9)),UPPER(LEFT(TRIM(F472),Settings!$B$9)))))</f>
        <v/>
      </c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15">
        <f>IF(ISBLANK(D472),"",IF(COUNTIFS(Circulation!$B$2:$B$500,A472,Circulation!$H$2:$H$500,"Active")&gt;0,"On Loan","Available"))</f>
        <v/>
      </c>
      <c r="AA472" s="9" t="n"/>
      <c r="AB472" s="9" t="n"/>
      <c r="AC472" s="9" t="n"/>
      <c r="AD472" s="9" t="n"/>
      <c r="AE472" s="9" t="n"/>
      <c r="AF472" s="9" t="n"/>
      <c r="AG472" s="9" t="n"/>
    </row>
    <row r="473">
      <c r="A473" s="13">
        <f>IF(ISBLANK(D473),"",ROW()-1)</f>
        <v/>
      </c>
      <c r="B473" s="14" t="n"/>
      <c r="C473" s="13">
        <f>IF(ISBLANK(D473),"",MID(K473,SEARCH("(",K473)+1,SEARCH(")",K473)-SEARCH("(",K473)-1)&amp;"-"&amp;MID(L473,SEARCH("(",L473)+1,SEARCH(")",L473)-SEARCH("(",L473)-1)&amp;"-"&amp;H473&amp;"-"&amp;TEXT(A473,"000")&amp;IF(ISBLANK(N473),"","-"&amp;SUBSTITUTE(N473," ","")))</f>
        <v/>
      </c>
      <c r="D473" s="9" t="n"/>
      <c r="E473" s="9" t="n"/>
      <c r="F473" s="9" t="n"/>
      <c r="G473" s="9" t="n"/>
      <c r="H473" s="13">
        <f>IF(ISBLANK(F473),"",IF(G473&lt;&gt;"",UPPER(TRIM(G473)),IF(ISNUMBER(SEARCH(" ",TRIM(F473))),UPPER(LEFT(TRIM(RIGHT(SUBSTITUTE(TRIM(F473)," ",REPT(" ",100)),100)),Settings!$B$9)),UPPER(LEFT(TRIM(F473),Settings!$B$9)))))</f>
        <v/>
      </c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15">
        <f>IF(ISBLANK(D473),"",IF(COUNTIFS(Circulation!$B$2:$B$500,A473,Circulation!$H$2:$H$500,"Active")&gt;0,"On Loan","Available"))</f>
        <v/>
      </c>
      <c r="AA473" s="9" t="n"/>
      <c r="AB473" s="9" t="n"/>
      <c r="AC473" s="9" t="n"/>
      <c r="AD473" s="9" t="n"/>
      <c r="AE473" s="9" t="n"/>
      <c r="AF473" s="9" t="n"/>
      <c r="AG473" s="9" t="n"/>
    </row>
    <row r="474">
      <c r="A474" s="13">
        <f>IF(ISBLANK(D474),"",ROW()-1)</f>
        <v/>
      </c>
      <c r="B474" s="14" t="n"/>
      <c r="C474" s="13">
        <f>IF(ISBLANK(D474),"",MID(K474,SEARCH("(",K474)+1,SEARCH(")",K474)-SEARCH("(",K474)-1)&amp;"-"&amp;MID(L474,SEARCH("(",L474)+1,SEARCH(")",L474)-SEARCH("(",L474)-1)&amp;"-"&amp;H474&amp;"-"&amp;TEXT(A474,"000")&amp;IF(ISBLANK(N474),"","-"&amp;SUBSTITUTE(N474," ","")))</f>
        <v/>
      </c>
      <c r="D474" s="9" t="n"/>
      <c r="E474" s="9" t="n"/>
      <c r="F474" s="9" t="n"/>
      <c r="G474" s="9" t="n"/>
      <c r="H474" s="13">
        <f>IF(ISBLANK(F474),"",IF(G474&lt;&gt;"",UPPER(TRIM(G474)),IF(ISNUMBER(SEARCH(" ",TRIM(F474))),UPPER(LEFT(TRIM(RIGHT(SUBSTITUTE(TRIM(F474)," ",REPT(" ",100)),100)),Settings!$B$9)),UPPER(LEFT(TRIM(F474),Settings!$B$9)))))</f>
        <v/>
      </c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15">
        <f>IF(ISBLANK(D474),"",IF(COUNTIFS(Circulation!$B$2:$B$500,A474,Circulation!$H$2:$H$500,"Active")&gt;0,"On Loan","Available"))</f>
        <v/>
      </c>
      <c r="AA474" s="9" t="n"/>
      <c r="AB474" s="9" t="n"/>
      <c r="AC474" s="9" t="n"/>
      <c r="AD474" s="9" t="n"/>
      <c r="AE474" s="9" t="n"/>
      <c r="AF474" s="9" t="n"/>
      <c r="AG474" s="9" t="n"/>
    </row>
    <row r="475">
      <c r="A475" s="13">
        <f>IF(ISBLANK(D475),"",ROW()-1)</f>
        <v/>
      </c>
      <c r="B475" s="14" t="n"/>
      <c r="C475" s="13">
        <f>IF(ISBLANK(D475),"",MID(K475,SEARCH("(",K475)+1,SEARCH(")",K475)-SEARCH("(",K475)-1)&amp;"-"&amp;MID(L475,SEARCH("(",L475)+1,SEARCH(")",L475)-SEARCH("(",L475)-1)&amp;"-"&amp;H475&amp;"-"&amp;TEXT(A475,"000")&amp;IF(ISBLANK(N475),"","-"&amp;SUBSTITUTE(N475," ","")))</f>
        <v/>
      </c>
      <c r="D475" s="9" t="n"/>
      <c r="E475" s="9" t="n"/>
      <c r="F475" s="9" t="n"/>
      <c r="G475" s="9" t="n"/>
      <c r="H475" s="13">
        <f>IF(ISBLANK(F475),"",IF(G475&lt;&gt;"",UPPER(TRIM(G475)),IF(ISNUMBER(SEARCH(" ",TRIM(F475))),UPPER(LEFT(TRIM(RIGHT(SUBSTITUTE(TRIM(F475)," ",REPT(" ",100)),100)),Settings!$B$9)),UPPER(LEFT(TRIM(F475),Settings!$B$9)))))</f>
        <v/>
      </c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15">
        <f>IF(ISBLANK(D475),"",IF(COUNTIFS(Circulation!$B$2:$B$500,A475,Circulation!$H$2:$H$500,"Active")&gt;0,"On Loan","Available"))</f>
        <v/>
      </c>
      <c r="AA475" s="9" t="n"/>
      <c r="AB475" s="9" t="n"/>
      <c r="AC475" s="9" t="n"/>
      <c r="AD475" s="9" t="n"/>
      <c r="AE475" s="9" t="n"/>
      <c r="AF475" s="9" t="n"/>
      <c r="AG475" s="9" t="n"/>
    </row>
    <row r="476">
      <c r="A476" s="13">
        <f>IF(ISBLANK(D476),"",ROW()-1)</f>
        <v/>
      </c>
      <c r="B476" s="14" t="n"/>
      <c r="C476" s="13">
        <f>IF(ISBLANK(D476),"",MID(K476,SEARCH("(",K476)+1,SEARCH(")",K476)-SEARCH("(",K476)-1)&amp;"-"&amp;MID(L476,SEARCH("(",L476)+1,SEARCH(")",L476)-SEARCH("(",L476)-1)&amp;"-"&amp;H476&amp;"-"&amp;TEXT(A476,"000")&amp;IF(ISBLANK(N476),"","-"&amp;SUBSTITUTE(N476," ","")))</f>
        <v/>
      </c>
      <c r="D476" s="9" t="n"/>
      <c r="E476" s="9" t="n"/>
      <c r="F476" s="9" t="n"/>
      <c r="G476" s="9" t="n"/>
      <c r="H476" s="13">
        <f>IF(ISBLANK(F476),"",IF(G476&lt;&gt;"",UPPER(TRIM(G476)),IF(ISNUMBER(SEARCH(" ",TRIM(F476))),UPPER(LEFT(TRIM(RIGHT(SUBSTITUTE(TRIM(F476)," ",REPT(" ",100)),100)),Settings!$B$9)),UPPER(LEFT(TRIM(F476),Settings!$B$9)))))</f>
        <v/>
      </c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15">
        <f>IF(ISBLANK(D476),"",IF(COUNTIFS(Circulation!$B$2:$B$500,A476,Circulation!$H$2:$H$500,"Active")&gt;0,"On Loan","Available"))</f>
        <v/>
      </c>
      <c r="AA476" s="9" t="n"/>
      <c r="AB476" s="9" t="n"/>
      <c r="AC476" s="9" t="n"/>
      <c r="AD476" s="9" t="n"/>
      <c r="AE476" s="9" t="n"/>
      <c r="AF476" s="9" t="n"/>
      <c r="AG476" s="9" t="n"/>
    </row>
    <row r="477">
      <c r="A477" s="13">
        <f>IF(ISBLANK(D477),"",ROW()-1)</f>
        <v/>
      </c>
      <c r="B477" s="14" t="n"/>
      <c r="C477" s="13">
        <f>IF(ISBLANK(D477),"",MID(K477,SEARCH("(",K477)+1,SEARCH(")",K477)-SEARCH("(",K477)-1)&amp;"-"&amp;MID(L477,SEARCH("(",L477)+1,SEARCH(")",L477)-SEARCH("(",L477)-1)&amp;"-"&amp;H477&amp;"-"&amp;TEXT(A477,"000")&amp;IF(ISBLANK(N477),"","-"&amp;SUBSTITUTE(N477," ","")))</f>
        <v/>
      </c>
      <c r="D477" s="9" t="n"/>
      <c r="E477" s="9" t="n"/>
      <c r="F477" s="9" t="n"/>
      <c r="G477" s="9" t="n"/>
      <c r="H477" s="13">
        <f>IF(ISBLANK(F477),"",IF(G477&lt;&gt;"",UPPER(TRIM(G477)),IF(ISNUMBER(SEARCH(" ",TRIM(F477))),UPPER(LEFT(TRIM(RIGHT(SUBSTITUTE(TRIM(F477)," ",REPT(" ",100)),100)),Settings!$B$9)),UPPER(LEFT(TRIM(F477),Settings!$B$9)))))</f>
        <v/>
      </c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15">
        <f>IF(ISBLANK(D477),"",IF(COUNTIFS(Circulation!$B$2:$B$500,A477,Circulation!$H$2:$H$500,"Active")&gt;0,"On Loan","Available"))</f>
        <v/>
      </c>
      <c r="AA477" s="9" t="n"/>
      <c r="AB477" s="9" t="n"/>
      <c r="AC477" s="9" t="n"/>
      <c r="AD477" s="9" t="n"/>
      <c r="AE477" s="9" t="n"/>
      <c r="AF477" s="9" t="n"/>
      <c r="AG477" s="9" t="n"/>
    </row>
    <row r="478">
      <c r="A478" s="13">
        <f>IF(ISBLANK(D478),"",ROW()-1)</f>
        <v/>
      </c>
      <c r="B478" s="14" t="n"/>
      <c r="C478" s="13">
        <f>IF(ISBLANK(D478),"",MID(K478,SEARCH("(",K478)+1,SEARCH(")",K478)-SEARCH("(",K478)-1)&amp;"-"&amp;MID(L478,SEARCH("(",L478)+1,SEARCH(")",L478)-SEARCH("(",L478)-1)&amp;"-"&amp;H478&amp;"-"&amp;TEXT(A478,"000")&amp;IF(ISBLANK(N478),"","-"&amp;SUBSTITUTE(N478," ","")))</f>
        <v/>
      </c>
      <c r="D478" s="9" t="n"/>
      <c r="E478" s="9" t="n"/>
      <c r="F478" s="9" t="n"/>
      <c r="G478" s="9" t="n"/>
      <c r="H478" s="13">
        <f>IF(ISBLANK(F478),"",IF(G478&lt;&gt;"",UPPER(TRIM(G478)),IF(ISNUMBER(SEARCH(" ",TRIM(F478))),UPPER(LEFT(TRIM(RIGHT(SUBSTITUTE(TRIM(F478)," ",REPT(" ",100)),100)),Settings!$B$9)),UPPER(LEFT(TRIM(F478),Settings!$B$9)))))</f>
        <v/>
      </c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15">
        <f>IF(ISBLANK(D478),"",IF(COUNTIFS(Circulation!$B$2:$B$500,A478,Circulation!$H$2:$H$500,"Active")&gt;0,"On Loan","Available"))</f>
        <v/>
      </c>
      <c r="AA478" s="9" t="n"/>
      <c r="AB478" s="9" t="n"/>
      <c r="AC478" s="9" t="n"/>
      <c r="AD478" s="9" t="n"/>
      <c r="AE478" s="9" t="n"/>
      <c r="AF478" s="9" t="n"/>
      <c r="AG478" s="9" t="n"/>
    </row>
    <row r="479">
      <c r="A479" s="13">
        <f>IF(ISBLANK(D479),"",ROW()-1)</f>
        <v/>
      </c>
      <c r="B479" s="14" t="n"/>
      <c r="C479" s="13">
        <f>IF(ISBLANK(D479),"",MID(K479,SEARCH("(",K479)+1,SEARCH(")",K479)-SEARCH("(",K479)-1)&amp;"-"&amp;MID(L479,SEARCH("(",L479)+1,SEARCH(")",L479)-SEARCH("(",L479)-1)&amp;"-"&amp;H479&amp;"-"&amp;TEXT(A479,"000")&amp;IF(ISBLANK(N479),"","-"&amp;SUBSTITUTE(N479," ","")))</f>
        <v/>
      </c>
      <c r="D479" s="9" t="n"/>
      <c r="E479" s="9" t="n"/>
      <c r="F479" s="9" t="n"/>
      <c r="G479" s="9" t="n"/>
      <c r="H479" s="13">
        <f>IF(ISBLANK(F479),"",IF(G479&lt;&gt;"",UPPER(TRIM(G479)),IF(ISNUMBER(SEARCH(" ",TRIM(F479))),UPPER(LEFT(TRIM(RIGHT(SUBSTITUTE(TRIM(F479)," ",REPT(" ",100)),100)),Settings!$B$9)),UPPER(LEFT(TRIM(F479),Settings!$B$9)))))</f>
        <v/>
      </c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15">
        <f>IF(ISBLANK(D479),"",IF(COUNTIFS(Circulation!$B$2:$B$500,A479,Circulation!$H$2:$H$500,"Active")&gt;0,"On Loan","Available"))</f>
        <v/>
      </c>
      <c r="AA479" s="9" t="n"/>
      <c r="AB479" s="9" t="n"/>
      <c r="AC479" s="9" t="n"/>
      <c r="AD479" s="9" t="n"/>
      <c r="AE479" s="9" t="n"/>
      <c r="AF479" s="9" t="n"/>
      <c r="AG479" s="9" t="n"/>
    </row>
    <row r="480">
      <c r="A480" s="13">
        <f>IF(ISBLANK(D480),"",ROW()-1)</f>
        <v/>
      </c>
      <c r="B480" s="14" t="n"/>
      <c r="C480" s="13">
        <f>IF(ISBLANK(D480),"",MID(K480,SEARCH("(",K480)+1,SEARCH(")",K480)-SEARCH("(",K480)-1)&amp;"-"&amp;MID(L480,SEARCH("(",L480)+1,SEARCH(")",L480)-SEARCH("(",L480)-1)&amp;"-"&amp;H480&amp;"-"&amp;TEXT(A480,"000")&amp;IF(ISBLANK(N480),"","-"&amp;SUBSTITUTE(N480," ","")))</f>
        <v/>
      </c>
      <c r="D480" s="9" t="n"/>
      <c r="E480" s="9" t="n"/>
      <c r="F480" s="9" t="n"/>
      <c r="G480" s="9" t="n"/>
      <c r="H480" s="13">
        <f>IF(ISBLANK(F480),"",IF(G480&lt;&gt;"",UPPER(TRIM(G480)),IF(ISNUMBER(SEARCH(" ",TRIM(F480))),UPPER(LEFT(TRIM(RIGHT(SUBSTITUTE(TRIM(F480)," ",REPT(" ",100)),100)),Settings!$B$9)),UPPER(LEFT(TRIM(F480),Settings!$B$9)))))</f>
        <v/>
      </c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15">
        <f>IF(ISBLANK(D480),"",IF(COUNTIFS(Circulation!$B$2:$B$500,A480,Circulation!$H$2:$H$500,"Active")&gt;0,"On Loan","Available"))</f>
        <v/>
      </c>
      <c r="AA480" s="9" t="n"/>
      <c r="AB480" s="9" t="n"/>
      <c r="AC480" s="9" t="n"/>
      <c r="AD480" s="9" t="n"/>
      <c r="AE480" s="9" t="n"/>
      <c r="AF480" s="9" t="n"/>
      <c r="AG480" s="9" t="n"/>
    </row>
    <row r="481">
      <c r="A481" s="13">
        <f>IF(ISBLANK(D481),"",ROW()-1)</f>
        <v/>
      </c>
      <c r="B481" s="14" t="n"/>
      <c r="C481" s="13">
        <f>IF(ISBLANK(D481),"",MID(K481,SEARCH("(",K481)+1,SEARCH(")",K481)-SEARCH("(",K481)-1)&amp;"-"&amp;MID(L481,SEARCH("(",L481)+1,SEARCH(")",L481)-SEARCH("(",L481)-1)&amp;"-"&amp;H481&amp;"-"&amp;TEXT(A481,"000")&amp;IF(ISBLANK(N481),"","-"&amp;SUBSTITUTE(N481," ","")))</f>
        <v/>
      </c>
      <c r="D481" s="9" t="n"/>
      <c r="E481" s="9" t="n"/>
      <c r="F481" s="9" t="n"/>
      <c r="G481" s="9" t="n"/>
      <c r="H481" s="13">
        <f>IF(ISBLANK(F481),"",IF(G481&lt;&gt;"",UPPER(TRIM(G481)),IF(ISNUMBER(SEARCH(" ",TRIM(F481))),UPPER(LEFT(TRIM(RIGHT(SUBSTITUTE(TRIM(F481)," ",REPT(" ",100)),100)),Settings!$B$9)),UPPER(LEFT(TRIM(F481),Settings!$B$9)))))</f>
        <v/>
      </c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15">
        <f>IF(ISBLANK(D481),"",IF(COUNTIFS(Circulation!$B$2:$B$500,A481,Circulation!$H$2:$H$500,"Active")&gt;0,"On Loan","Available"))</f>
        <v/>
      </c>
      <c r="AA481" s="9" t="n"/>
      <c r="AB481" s="9" t="n"/>
      <c r="AC481" s="9" t="n"/>
      <c r="AD481" s="9" t="n"/>
      <c r="AE481" s="9" t="n"/>
      <c r="AF481" s="9" t="n"/>
      <c r="AG481" s="9" t="n"/>
    </row>
    <row r="482">
      <c r="A482" s="13">
        <f>IF(ISBLANK(D482),"",ROW()-1)</f>
        <v/>
      </c>
      <c r="B482" s="14" t="n"/>
      <c r="C482" s="13">
        <f>IF(ISBLANK(D482),"",MID(K482,SEARCH("(",K482)+1,SEARCH(")",K482)-SEARCH("(",K482)-1)&amp;"-"&amp;MID(L482,SEARCH("(",L482)+1,SEARCH(")",L482)-SEARCH("(",L482)-1)&amp;"-"&amp;H482&amp;"-"&amp;TEXT(A482,"000")&amp;IF(ISBLANK(N482),"","-"&amp;SUBSTITUTE(N482," ","")))</f>
        <v/>
      </c>
      <c r="D482" s="9" t="n"/>
      <c r="E482" s="9" t="n"/>
      <c r="F482" s="9" t="n"/>
      <c r="G482" s="9" t="n"/>
      <c r="H482" s="13">
        <f>IF(ISBLANK(F482),"",IF(G482&lt;&gt;"",UPPER(TRIM(G482)),IF(ISNUMBER(SEARCH(" ",TRIM(F482))),UPPER(LEFT(TRIM(RIGHT(SUBSTITUTE(TRIM(F482)," ",REPT(" ",100)),100)),Settings!$B$9)),UPPER(LEFT(TRIM(F482),Settings!$B$9)))))</f>
        <v/>
      </c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15">
        <f>IF(ISBLANK(D482),"",IF(COUNTIFS(Circulation!$B$2:$B$500,A482,Circulation!$H$2:$H$500,"Active")&gt;0,"On Loan","Available"))</f>
        <v/>
      </c>
      <c r="AA482" s="9" t="n"/>
      <c r="AB482" s="9" t="n"/>
      <c r="AC482" s="9" t="n"/>
      <c r="AD482" s="9" t="n"/>
      <c r="AE482" s="9" t="n"/>
      <c r="AF482" s="9" t="n"/>
      <c r="AG482" s="9" t="n"/>
    </row>
    <row r="483">
      <c r="A483" s="13">
        <f>IF(ISBLANK(D483),"",ROW()-1)</f>
        <v/>
      </c>
      <c r="B483" s="14" t="n"/>
      <c r="C483" s="13">
        <f>IF(ISBLANK(D483),"",MID(K483,SEARCH("(",K483)+1,SEARCH(")",K483)-SEARCH("(",K483)-1)&amp;"-"&amp;MID(L483,SEARCH("(",L483)+1,SEARCH(")",L483)-SEARCH("(",L483)-1)&amp;"-"&amp;H483&amp;"-"&amp;TEXT(A483,"000")&amp;IF(ISBLANK(N483),"","-"&amp;SUBSTITUTE(N483," ","")))</f>
        <v/>
      </c>
      <c r="D483" s="9" t="n"/>
      <c r="E483" s="9" t="n"/>
      <c r="F483" s="9" t="n"/>
      <c r="G483" s="9" t="n"/>
      <c r="H483" s="13">
        <f>IF(ISBLANK(F483),"",IF(G483&lt;&gt;"",UPPER(TRIM(G483)),IF(ISNUMBER(SEARCH(" ",TRIM(F483))),UPPER(LEFT(TRIM(RIGHT(SUBSTITUTE(TRIM(F483)," ",REPT(" ",100)),100)),Settings!$B$9)),UPPER(LEFT(TRIM(F483),Settings!$B$9)))))</f>
        <v/>
      </c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15">
        <f>IF(ISBLANK(D483),"",IF(COUNTIFS(Circulation!$B$2:$B$500,A483,Circulation!$H$2:$H$500,"Active")&gt;0,"On Loan","Available"))</f>
        <v/>
      </c>
      <c r="AA483" s="9" t="n"/>
      <c r="AB483" s="9" t="n"/>
      <c r="AC483" s="9" t="n"/>
      <c r="AD483" s="9" t="n"/>
      <c r="AE483" s="9" t="n"/>
      <c r="AF483" s="9" t="n"/>
      <c r="AG483" s="9" t="n"/>
    </row>
    <row r="484">
      <c r="A484" s="13">
        <f>IF(ISBLANK(D484),"",ROW()-1)</f>
        <v/>
      </c>
      <c r="B484" s="14" t="n"/>
      <c r="C484" s="13">
        <f>IF(ISBLANK(D484),"",MID(K484,SEARCH("(",K484)+1,SEARCH(")",K484)-SEARCH("(",K484)-1)&amp;"-"&amp;MID(L484,SEARCH("(",L484)+1,SEARCH(")",L484)-SEARCH("(",L484)-1)&amp;"-"&amp;H484&amp;"-"&amp;TEXT(A484,"000")&amp;IF(ISBLANK(N484),"","-"&amp;SUBSTITUTE(N484," ","")))</f>
        <v/>
      </c>
      <c r="D484" s="9" t="n"/>
      <c r="E484" s="9" t="n"/>
      <c r="F484" s="9" t="n"/>
      <c r="G484" s="9" t="n"/>
      <c r="H484" s="13">
        <f>IF(ISBLANK(F484),"",IF(G484&lt;&gt;"",UPPER(TRIM(G484)),IF(ISNUMBER(SEARCH(" ",TRIM(F484))),UPPER(LEFT(TRIM(RIGHT(SUBSTITUTE(TRIM(F484)," ",REPT(" ",100)),100)),Settings!$B$9)),UPPER(LEFT(TRIM(F484),Settings!$B$9)))))</f>
        <v/>
      </c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15">
        <f>IF(ISBLANK(D484),"",IF(COUNTIFS(Circulation!$B$2:$B$500,A484,Circulation!$H$2:$H$500,"Active")&gt;0,"On Loan","Available"))</f>
        <v/>
      </c>
      <c r="AA484" s="9" t="n"/>
      <c r="AB484" s="9" t="n"/>
      <c r="AC484" s="9" t="n"/>
      <c r="AD484" s="9" t="n"/>
      <c r="AE484" s="9" t="n"/>
      <c r="AF484" s="9" t="n"/>
      <c r="AG484" s="9" t="n"/>
    </row>
    <row r="485">
      <c r="A485" s="13">
        <f>IF(ISBLANK(D485),"",ROW()-1)</f>
        <v/>
      </c>
      <c r="B485" s="14" t="n"/>
      <c r="C485" s="13">
        <f>IF(ISBLANK(D485),"",MID(K485,SEARCH("(",K485)+1,SEARCH(")",K485)-SEARCH("(",K485)-1)&amp;"-"&amp;MID(L485,SEARCH("(",L485)+1,SEARCH(")",L485)-SEARCH("(",L485)-1)&amp;"-"&amp;H485&amp;"-"&amp;TEXT(A485,"000")&amp;IF(ISBLANK(N485),"","-"&amp;SUBSTITUTE(N485," ","")))</f>
        <v/>
      </c>
      <c r="D485" s="9" t="n"/>
      <c r="E485" s="9" t="n"/>
      <c r="F485" s="9" t="n"/>
      <c r="G485" s="9" t="n"/>
      <c r="H485" s="13">
        <f>IF(ISBLANK(F485),"",IF(G485&lt;&gt;"",UPPER(TRIM(G485)),IF(ISNUMBER(SEARCH(" ",TRIM(F485))),UPPER(LEFT(TRIM(RIGHT(SUBSTITUTE(TRIM(F485)," ",REPT(" ",100)),100)),Settings!$B$9)),UPPER(LEFT(TRIM(F485),Settings!$B$9)))))</f>
        <v/>
      </c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15">
        <f>IF(ISBLANK(D485),"",IF(COUNTIFS(Circulation!$B$2:$B$500,A485,Circulation!$H$2:$H$500,"Active")&gt;0,"On Loan","Available"))</f>
        <v/>
      </c>
      <c r="AA485" s="9" t="n"/>
      <c r="AB485" s="9" t="n"/>
      <c r="AC485" s="9" t="n"/>
      <c r="AD485" s="9" t="n"/>
      <c r="AE485" s="9" t="n"/>
      <c r="AF485" s="9" t="n"/>
      <c r="AG485" s="9" t="n"/>
    </row>
    <row r="486">
      <c r="A486" s="13">
        <f>IF(ISBLANK(D486),"",ROW()-1)</f>
        <v/>
      </c>
      <c r="B486" s="14" t="n"/>
      <c r="C486" s="13">
        <f>IF(ISBLANK(D486),"",MID(K486,SEARCH("(",K486)+1,SEARCH(")",K486)-SEARCH("(",K486)-1)&amp;"-"&amp;MID(L486,SEARCH("(",L486)+1,SEARCH(")",L486)-SEARCH("(",L486)-1)&amp;"-"&amp;H486&amp;"-"&amp;TEXT(A486,"000")&amp;IF(ISBLANK(N486),"","-"&amp;SUBSTITUTE(N486," ","")))</f>
        <v/>
      </c>
      <c r="D486" s="9" t="n"/>
      <c r="E486" s="9" t="n"/>
      <c r="F486" s="9" t="n"/>
      <c r="G486" s="9" t="n"/>
      <c r="H486" s="13">
        <f>IF(ISBLANK(F486),"",IF(G486&lt;&gt;"",UPPER(TRIM(G486)),IF(ISNUMBER(SEARCH(" ",TRIM(F486))),UPPER(LEFT(TRIM(RIGHT(SUBSTITUTE(TRIM(F486)," ",REPT(" ",100)),100)),Settings!$B$9)),UPPER(LEFT(TRIM(F486),Settings!$B$9)))))</f>
        <v/>
      </c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15">
        <f>IF(ISBLANK(D486),"",IF(COUNTIFS(Circulation!$B$2:$B$500,A486,Circulation!$H$2:$H$500,"Active")&gt;0,"On Loan","Available"))</f>
        <v/>
      </c>
      <c r="AA486" s="9" t="n"/>
      <c r="AB486" s="9" t="n"/>
      <c r="AC486" s="9" t="n"/>
      <c r="AD486" s="9" t="n"/>
      <c r="AE486" s="9" t="n"/>
      <c r="AF486" s="9" t="n"/>
      <c r="AG486" s="9" t="n"/>
    </row>
    <row r="487">
      <c r="A487" s="13">
        <f>IF(ISBLANK(D487),"",ROW()-1)</f>
        <v/>
      </c>
      <c r="B487" s="14" t="n"/>
      <c r="C487" s="13">
        <f>IF(ISBLANK(D487),"",MID(K487,SEARCH("(",K487)+1,SEARCH(")",K487)-SEARCH("(",K487)-1)&amp;"-"&amp;MID(L487,SEARCH("(",L487)+1,SEARCH(")",L487)-SEARCH("(",L487)-1)&amp;"-"&amp;H487&amp;"-"&amp;TEXT(A487,"000")&amp;IF(ISBLANK(N487),"","-"&amp;SUBSTITUTE(N487," ","")))</f>
        <v/>
      </c>
      <c r="D487" s="9" t="n"/>
      <c r="E487" s="9" t="n"/>
      <c r="F487" s="9" t="n"/>
      <c r="G487" s="9" t="n"/>
      <c r="H487" s="13">
        <f>IF(ISBLANK(F487),"",IF(G487&lt;&gt;"",UPPER(TRIM(G487)),IF(ISNUMBER(SEARCH(" ",TRIM(F487))),UPPER(LEFT(TRIM(RIGHT(SUBSTITUTE(TRIM(F487)," ",REPT(" ",100)),100)),Settings!$B$9)),UPPER(LEFT(TRIM(F487),Settings!$B$9)))))</f>
        <v/>
      </c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15">
        <f>IF(ISBLANK(D487),"",IF(COUNTIFS(Circulation!$B$2:$B$500,A487,Circulation!$H$2:$H$500,"Active")&gt;0,"On Loan","Available"))</f>
        <v/>
      </c>
      <c r="AA487" s="9" t="n"/>
      <c r="AB487" s="9" t="n"/>
      <c r="AC487" s="9" t="n"/>
      <c r="AD487" s="9" t="n"/>
      <c r="AE487" s="9" t="n"/>
      <c r="AF487" s="9" t="n"/>
      <c r="AG487" s="9" t="n"/>
    </row>
    <row r="488">
      <c r="A488" s="13">
        <f>IF(ISBLANK(D488),"",ROW()-1)</f>
        <v/>
      </c>
      <c r="B488" s="14" t="n"/>
      <c r="C488" s="13">
        <f>IF(ISBLANK(D488),"",MID(K488,SEARCH("(",K488)+1,SEARCH(")",K488)-SEARCH("(",K488)-1)&amp;"-"&amp;MID(L488,SEARCH("(",L488)+1,SEARCH(")",L488)-SEARCH("(",L488)-1)&amp;"-"&amp;H488&amp;"-"&amp;TEXT(A488,"000")&amp;IF(ISBLANK(N488),"","-"&amp;SUBSTITUTE(N488," ","")))</f>
        <v/>
      </c>
      <c r="D488" s="9" t="n"/>
      <c r="E488" s="9" t="n"/>
      <c r="F488" s="9" t="n"/>
      <c r="G488" s="9" t="n"/>
      <c r="H488" s="13">
        <f>IF(ISBLANK(F488),"",IF(G488&lt;&gt;"",UPPER(TRIM(G488)),IF(ISNUMBER(SEARCH(" ",TRIM(F488))),UPPER(LEFT(TRIM(RIGHT(SUBSTITUTE(TRIM(F488)," ",REPT(" ",100)),100)),Settings!$B$9)),UPPER(LEFT(TRIM(F488),Settings!$B$9)))))</f>
        <v/>
      </c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15">
        <f>IF(ISBLANK(D488),"",IF(COUNTIFS(Circulation!$B$2:$B$500,A488,Circulation!$H$2:$H$500,"Active")&gt;0,"On Loan","Available"))</f>
        <v/>
      </c>
      <c r="AA488" s="9" t="n"/>
      <c r="AB488" s="9" t="n"/>
      <c r="AC488" s="9" t="n"/>
      <c r="AD488" s="9" t="n"/>
      <c r="AE488" s="9" t="n"/>
      <c r="AF488" s="9" t="n"/>
      <c r="AG488" s="9" t="n"/>
    </row>
    <row r="489">
      <c r="A489" s="13">
        <f>IF(ISBLANK(D489),"",ROW()-1)</f>
        <v/>
      </c>
      <c r="B489" s="14" t="n"/>
      <c r="C489" s="13">
        <f>IF(ISBLANK(D489),"",MID(K489,SEARCH("(",K489)+1,SEARCH(")",K489)-SEARCH("(",K489)-1)&amp;"-"&amp;MID(L489,SEARCH("(",L489)+1,SEARCH(")",L489)-SEARCH("(",L489)-1)&amp;"-"&amp;H489&amp;"-"&amp;TEXT(A489,"000")&amp;IF(ISBLANK(N489),"","-"&amp;SUBSTITUTE(N489," ","")))</f>
        <v/>
      </c>
      <c r="D489" s="9" t="n"/>
      <c r="E489" s="9" t="n"/>
      <c r="F489" s="9" t="n"/>
      <c r="G489" s="9" t="n"/>
      <c r="H489" s="13">
        <f>IF(ISBLANK(F489),"",IF(G489&lt;&gt;"",UPPER(TRIM(G489)),IF(ISNUMBER(SEARCH(" ",TRIM(F489))),UPPER(LEFT(TRIM(RIGHT(SUBSTITUTE(TRIM(F489)," ",REPT(" ",100)),100)),Settings!$B$9)),UPPER(LEFT(TRIM(F489),Settings!$B$9)))))</f>
        <v/>
      </c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15">
        <f>IF(ISBLANK(D489),"",IF(COUNTIFS(Circulation!$B$2:$B$500,A489,Circulation!$H$2:$H$500,"Active")&gt;0,"On Loan","Available"))</f>
        <v/>
      </c>
      <c r="AA489" s="9" t="n"/>
      <c r="AB489" s="9" t="n"/>
      <c r="AC489" s="9" t="n"/>
      <c r="AD489" s="9" t="n"/>
      <c r="AE489" s="9" t="n"/>
      <c r="AF489" s="9" t="n"/>
      <c r="AG489" s="9" t="n"/>
    </row>
    <row r="490">
      <c r="A490" s="13">
        <f>IF(ISBLANK(D490),"",ROW()-1)</f>
        <v/>
      </c>
      <c r="B490" s="14" t="n"/>
      <c r="C490" s="13">
        <f>IF(ISBLANK(D490),"",MID(K490,SEARCH("(",K490)+1,SEARCH(")",K490)-SEARCH("(",K490)-1)&amp;"-"&amp;MID(L490,SEARCH("(",L490)+1,SEARCH(")",L490)-SEARCH("(",L490)-1)&amp;"-"&amp;H490&amp;"-"&amp;TEXT(A490,"000")&amp;IF(ISBLANK(N490),"","-"&amp;SUBSTITUTE(N490," ","")))</f>
        <v/>
      </c>
      <c r="D490" s="9" t="n"/>
      <c r="E490" s="9" t="n"/>
      <c r="F490" s="9" t="n"/>
      <c r="G490" s="9" t="n"/>
      <c r="H490" s="13">
        <f>IF(ISBLANK(F490),"",IF(G490&lt;&gt;"",UPPER(TRIM(G490)),IF(ISNUMBER(SEARCH(" ",TRIM(F490))),UPPER(LEFT(TRIM(RIGHT(SUBSTITUTE(TRIM(F490)," ",REPT(" ",100)),100)),Settings!$B$9)),UPPER(LEFT(TRIM(F490),Settings!$B$9)))))</f>
        <v/>
      </c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15">
        <f>IF(ISBLANK(D490),"",IF(COUNTIFS(Circulation!$B$2:$B$500,A490,Circulation!$H$2:$H$500,"Active")&gt;0,"On Loan","Available"))</f>
        <v/>
      </c>
      <c r="AA490" s="9" t="n"/>
      <c r="AB490" s="9" t="n"/>
      <c r="AC490" s="9" t="n"/>
      <c r="AD490" s="9" t="n"/>
      <c r="AE490" s="9" t="n"/>
      <c r="AF490" s="9" t="n"/>
      <c r="AG490" s="9" t="n"/>
    </row>
    <row r="491">
      <c r="A491" s="13">
        <f>IF(ISBLANK(D491),"",ROW()-1)</f>
        <v/>
      </c>
      <c r="B491" s="14" t="n"/>
      <c r="C491" s="13">
        <f>IF(ISBLANK(D491),"",MID(K491,SEARCH("(",K491)+1,SEARCH(")",K491)-SEARCH("(",K491)-1)&amp;"-"&amp;MID(L491,SEARCH("(",L491)+1,SEARCH(")",L491)-SEARCH("(",L491)-1)&amp;"-"&amp;H491&amp;"-"&amp;TEXT(A491,"000")&amp;IF(ISBLANK(N491),"","-"&amp;SUBSTITUTE(N491," ","")))</f>
        <v/>
      </c>
      <c r="D491" s="9" t="n"/>
      <c r="E491" s="9" t="n"/>
      <c r="F491" s="9" t="n"/>
      <c r="G491" s="9" t="n"/>
      <c r="H491" s="13">
        <f>IF(ISBLANK(F491),"",IF(G491&lt;&gt;"",UPPER(TRIM(G491)),IF(ISNUMBER(SEARCH(" ",TRIM(F491))),UPPER(LEFT(TRIM(RIGHT(SUBSTITUTE(TRIM(F491)," ",REPT(" ",100)),100)),Settings!$B$9)),UPPER(LEFT(TRIM(F491),Settings!$B$9)))))</f>
        <v/>
      </c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15">
        <f>IF(ISBLANK(D491),"",IF(COUNTIFS(Circulation!$B$2:$B$500,A491,Circulation!$H$2:$H$500,"Active")&gt;0,"On Loan","Available"))</f>
        <v/>
      </c>
      <c r="AA491" s="9" t="n"/>
      <c r="AB491" s="9" t="n"/>
      <c r="AC491" s="9" t="n"/>
      <c r="AD491" s="9" t="n"/>
      <c r="AE491" s="9" t="n"/>
      <c r="AF491" s="9" t="n"/>
      <c r="AG491" s="9" t="n"/>
    </row>
    <row r="492">
      <c r="A492" s="13">
        <f>IF(ISBLANK(D492),"",ROW()-1)</f>
        <v/>
      </c>
      <c r="B492" s="14" t="n"/>
      <c r="C492" s="13">
        <f>IF(ISBLANK(D492),"",MID(K492,SEARCH("(",K492)+1,SEARCH(")",K492)-SEARCH("(",K492)-1)&amp;"-"&amp;MID(L492,SEARCH("(",L492)+1,SEARCH(")",L492)-SEARCH("(",L492)-1)&amp;"-"&amp;H492&amp;"-"&amp;TEXT(A492,"000")&amp;IF(ISBLANK(N492),"","-"&amp;SUBSTITUTE(N492," ","")))</f>
        <v/>
      </c>
      <c r="D492" s="9" t="n"/>
      <c r="E492" s="9" t="n"/>
      <c r="F492" s="9" t="n"/>
      <c r="G492" s="9" t="n"/>
      <c r="H492" s="13">
        <f>IF(ISBLANK(F492),"",IF(G492&lt;&gt;"",UPPER(TRIM(G492)),IF(ISNUMBER(SEARCH(" ",TRIM(F492))),UPPER(LEFT(TRIM(RIGHT(SUBSTITUTE(TRIM(F492)," ",REPT(" ",100)),100)),Settings!$B$9)),UPPER(LEFT(TRIM(F492),Settings!$B$9)))))</f>
        <v/>
      </c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15">
        <f>IF(ISBLANK(D492),"",IF(COUNTIFS(Circulation!$B$2:$B$500,A492,Circulation!$H$2:$H$500,"Active")&gt;0,"On Loan","Available"))</f>
        <v/>
      </c>
      <c r="AA492" s="9" t="n"/>
      <c r="AB492" s="9" t="n"/>
      <c r="AC492" s="9" t="n"/>
      <c r="AD492" s="9" t="n"/>
      <c r="AE492" s="9" t="n"/>
      <c r="AF492" s="9" t="n"/>
      <c r="AG492" s="9" t="n"/>
    </row>
    <row r="493">
      <c r="A493" s="13">
        <f>IF(ISBLANK(D493),"",ROW()-1)</f>
        <v/>
      </c>
      <c r="B493" s="14" t="n"/>
      <c r="C493" s="13">
        <f>IF(ISBLANK(D493),"",MID(K493,SEARCH("(",K493)+1,SEARCH(")",K493)-SEARCH("(",K493)-1)&amp;"-"&amp;MID(L493,SEARCH("(",L493)+1,SEARCH(")",L493)-SEARCH("(",L493)-1)&amp;"-"&amp;H493&amp;"-"&amp;TEXT(A493,"000")&amp;IF(ISBLANK(N493),"","-"&amp;SUBSTITUTE(N493," ","")))</f>
        <v/>
      </c>
      <c r="D493" s="9" t="n"/>
      <c r="E493" s="9" t="n"/>
      <c r="F493" s="9" t="n"/>
      <c r="G493" s="9" t="n"/>
      <c r="H493" s="13">
        <f>IF(ISBLANK(F493),"",IF(G493&lt;&gt;"",UPPER(TRIM(G493)),IF(ISNUMBER(SEARCH(" ",TRIM(F493))),UPPER(LEFT(TRIM(RIGHT(SUBSTITUTE(TRIM(F493)," ",REPT(" ",100)),100)),Settings!$B$9)),UPPER(LEFT(TRIM(F493),Settings!$B$9)))))</f>
        <v/>
      </c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15">
        <f>IF(ISBLANK(D493),"",IF(COUNTIFS(Circulation!$B$2:$B$500,A493,Circulation!$H$2:$H$500,"Active")&gt;0,"On Loan","Available"))</f>
        <v/>
      </c>
      <c r="AA493" s="9" t="n"/>
      <c r="AB493" s="9" t="n"/>
      <c r="AC493" s="9" t="n"/>
      <c r="AD493" s="9" t="n"/>
      <c r="AE493" s="9" t="n"/>
      <c r="AF493" s="9" t="n"/>
      <c r="AG493" s="9" t="n"/>
    </row>
    <row r="494">
      <c r="A494" s="13">
        <f>IF(ISBLANK(D494),"",ROW()-1)</f>
        <v/>
      </c>
      <c r="B494" s="14" t="n"/>
      <c r="C494" s="13">
        <f>IF(ISBLANK(D494),"",MID(K494,SEARCH("(",K494)+1,SEARCH(")",K494)-SEARCH("(",K494)-1)&amp;"-"&amp;MID(L494,SEARCH("(",L494)+1,SEARCH(")",L494)-SEARCH("(",L494)-1)&amp;"-"&amp;H494&amp;"-"&amp;TEXT(A494,"000")&amp;IF(ISBLANK(N494),"","-"&amp;SUBSTITUTE(N494," ","")))</f>
        <v/>
      </c>
      <c r="D494" s="9" t="n"/>
      <c r="E494" s="9" t="n"/>
      <c r="F494" s="9" t="n"/>
      <c r="G494" s="9" t="n"/>
      <c r="H494" s="13">
        <f>IF(ISBLANK(F494),"",IF(G494&lt;&gt;"",UPPER(TRIM(G494)),IF(ISNUMBER(SEARCH(" ",TRIM(F494))),UPPER(LEFT(TRIM(RIGHT(SUBSTITUTE(TRIM(F494)," ",REPT(" ",100)),100)),Settings!$B$9)),UPPER(LEFT(TRIM(F494),Settings!$B$9)))))</f>
        <v/>
      </c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15">
        <f>IF(ISBLANK(D494),"",IF(COUNTIFS(Circulation!$B$2:$B$500,A494,Circulation!$H$2:$H$500,"Active")&gt;0,"On Loan","Available"))</f>
        <v/>
      </c>
      <c r="AA494" s="9" t="n"/>
      <c r="AB494" s="9" t="n"/>
      <c r="AC494" s="9" t="n"/>
      <c r="AD494" s="9" t="n"/>
      <c r="AE494" s="9" t="n"/>
      <c r="AF494" s="9" t="n"/>
      <c r="AG494" s="9" t="n"/>
    </row>
    <row r="495">
      <c r="A495" s="13">
        <f>IF(ISBLANK(D495),"",ROW()-1)</f>
        <v/>
      </c>
      <c r="B495" s="14" t="n"/>
      <c r="C495" s="13">
        <f>IF(ISBLANK(D495),"",MID(K495,SEARCH("(",K495)+1,SEARCH(")",K495)-SEARCH("(",K495)-1)&amp;"-"&amp;MID(L495,SEARCH("(",L495)+1,SEARCH(")",L495)-SEARCH("(",L495)-1)&amp;"-"&amp;H495&amp;"-"&amp;TEXT(A495,"000")&amp;IF(ISBLANK(N495),"","-"&amp;SUBSTITUTE(N495," ","")))</f>
        <v/>
      </c>
      <c r="D495" s="9" t="n"/>
      <c r="E495" s="9" t="n"/>
      <c r="F495" s="9" t="n"/>
      <c r="G495" s="9" t="n"/>
      <c r="H495" s="13">
        <f>IF(ISBLANK(F495),"",IF(G495&lt;&gt;"",UPPER(TRIM(G495)),IF(ISNUMBER(SEARCH(" ",TRIM(F495))),UPPER(LEFT(TRIM(RIGHT(SUBSTITUTE(TRIM(F495)," ",REPT(" ",100)),100)),Settings!$B$9)),UPPER(LEFT(TRIM(F495),Settings!$B$9)))))</f>
        <v/>
      </c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15">
        <f>IF(ISBLANK(D495),"",IF(COUNTIFS(Circulation!$B$2:$B$500,A495,Circulation!$H$2:$H$500,"Active")&gt;0,"On Loan","Available"))</f>
        <v/>
      </c>
      <c r="AA495" s="9" t="n"/>
      <c r="AB495" s="9" t="n"/>
      <c r="AC495" s="9" t="n"/>
      <c r="AD495" s="9" t="n"/>
      <c r="AE495" s="9" t="n"/>
      <c r="AF495" s="9" t="n"/>
      <c r="AG495" s="9" t="n"/>
    </row>
    <row r="496">
      <c r="A496" s="13">
        <f>IF(ISBLANK(D496),"",ROW()-1)</f>
        <v/>
      </c>
      <c r="B496" s="14" t="n"/>
      <c r="C496" s="13">
        <f>IF(ISBLANK(D496),"",MID(K496,SEARCH("(",K496)+1,SEARCH(")",K496)-SEARCH("(",K496)-1)&amp;"-"&amp;MID(L496,SEARCH("(",L496)+1,SEARCH(")",L496)-SEARCH("(",L496)-1)&amp;"-"&amp;H496&amp;"-"&amp;TEXT(A496,"000")&amp;IF(ISBLANK(N496),"","-"&amp;SUBSTITUTE(N496," ","")))</f>
        <v/>
      </c>
      <c r="D496" s="9" t="n"/>
      <c r="E496" s="9" t="n"/>
      <c r="F496" s="9" t="n"/>
      <c r="G496" s="9" t="n"/>
      <c r="H496" s="13">
        <f>IF(ISBLANK(F496),"",IF(G496&lt;&gt;"",UPPER(TRIM(G496)),IF(ISNUMBER(SEARCH(" ",TRIM(F496))),UPPER(LEFT(TRIM(RIGHT(SUBSTITUTE(TRIM(F496)," ",REPT(" ",100)),100)),Settings!$B$9)),UPPER(LEFT(TRIM(F496),Settings!$B$9)))))</f>
        <v/>
      </c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15">
        <f>IF(ISBLANK(D496),"",IF(COUNTIFS(Circulation!$B$2:$B$500,A496,Circulation!$H$2:$H$500,"Active")&gt;0,"On Loan","Available"))</f>
        <v/>
      </c>
      <c r="AA496" s="9" t="n"/>
      <c r="AB496" s="9" t="n"/>
      <c r="AC496" s="9" t="n"/>
      <c r="AD496" s="9" t="n"/>
      <c r="AE496" s="9" t="n"/>
      <c r="AF496" s="9" t="n"/>
      <c r="AG496" s="9" t="n"/>
    </row>
    <row r="497">
      <c r="A497" s="13">
        <f>IF(ISBLANK(D497),"",ROW()-1)</f>
        <v/>
      </c>
      <c r="B497" s="14" t="n"/>
      <c r="C497" s="13">
        <f>IF(ISBLANK(D497),"",MID(K497,SEARCH("(",K497)+1,SEARCH(")",K497)-SEARCH("(",K497)-1)&amp;"-"&amp;MID(L497,SEARCH("(",L497)+1,SEARCH(")",L497)-SEARCH("(",L497)-1)&amp;"-"&amp;H497&amp;"-"&amp;TEXT(A497,"000")&amp;IF(ISBLANK(N497),"","-"&amp;SUBSTITUTE(N497," ","")))</f>
        <v/>
      </c>
      <c r="D497" s="9" t="n"/>
      <c r="E497" s="9" t="n"/>
      <c r="F497" s="9" t="n"/>
      <c r="G497" s="9" t="n"/>
      <c r="H497" s="13">
        <f>IF(ISBLANK(F497),"",IF(G497&lt;&gt;"",UPPER(TRIM(G497)),IF(ISNUMBER(SEARCH(" ",TRIM(F497))),UPPER(LEFT(TRIM(RIGHT(SUBSTITUTE(TRIM(F497)," ",REPT(" ",100)),100)),Settings!$B$9)),UPPER(LEFT(TRIM(F497),Settings!$B$9)))))</f>
        <v/>
      </c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15">
        <f>IF(ISBLANK(D497),"",IF(COUNTIFS(Circulation!$B$2:$B$500,A497,Circulation!$H$2:$H$500,"Active")&gt;0,"On Loan","Available"))</f>
        <v/>
      </c>
      <c r="AA497" s="9" t="n"/>
      <c r="AB497" s="9" t="n"/>
      <c r="AC497" s="9" t="n"/>
      <c r="AD497" s="9" t="n"/>
      <c r="AE497" s="9" t="n"/>
      <c r="AF497" s="9" t="n"/>
      <c r="AG497" s="9" t="n"/>
    </row>
    <row r="498">
      <c r="A498" s="13">
        <f>IF(ISBLANK(D498),"",ROW()-1)</f>
        <v/>
      </c>
      <c r="B498" s="14" t="n"/>
      <c r="C498" s="13">
        <f>IF(ISBLANK(D498),"",MID(K498,SEARCH("(",K498)+1,SEARCH(")",K498)-SEARCH("(",K498)-1)&amp;"-"&amp;MID(L498,SEARCH("(",L498)+1,SEARCH(")",L498)-SEARCH("(",L498)-1)&amp;"-"&amp;H498&amp;"-"&amp;TEXT(A498,"000")&amp;IF(ISBLANK(N498),"","-"&amp;SUBSTITUTE(N498," ","")))</f>
        <v/>
      </c>
      <c r="D498" s="9" t="n"/>
      <c r="E498" s="9" t="n"/>
      <c r="F498" s="9" t="n"/>
      <c r="G498" s="9" t="n"/>
      <c r="H498" s="13">
        <f>IF(ISBLANK(F498),"",IF(G498&lt;&gt;"",UPPER(TRIM(G498)),IF(ISNUMBER(SEARCH(" ",TRIM(F498))),UPPER(LEFT(TRIM(RIGHT(SUBSTITUTE(TRIM(F498)," ",REPT(" ",100)),100)),Settings!$B$9)),UPPER(LEFT(TRIM(F498),Settings!$B$9)))))</f>
        <v/>
      </c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15">
        <f>IF(ISBLANK(D498),"",IF(COUNTIFS(Circulation!$B$2:$B$500,A498,Circulation!$H$2:$H$500,"Active")&gt;0,"On Loan","Available"))</f>
        <v/>
      </c>
      <c r="AA498" s="9" t="n"/>
      <c r="AB498" s="9" t="n"/>
      <c r="AC498" s="9" t="n"/>
      <c r="AD498" s="9" t="n"/>
      <c r="AE498" s="9" t="n"/>
      <c r="AF498" s="9" t="n"/>
      <c r="AG498" s="9" t="n"/>
    </row>
    <row r="499">
      <c r="A499" s="13">
        <f>IF(ISBLANK(D499),"",ROW()-1)</f>
        <v/>
      </c>
      <c r="B499" s="14" t="n"/>
      <c r="C499" s="13">
        <f>IF(ISBLANK(D499),"",MID(K499,SEARCH("(",K499)+1,SEARCH(")",K499)-SEARCH("(",K499)-1)&amp;"-"&amp;MID(L499,SEARCH("(",L499)+1,SEARCH(")",L499)-SEARCH("(",L499)-1)&amp;"-"&amp;H499&amp;"-"&amp;TEXT(A499,"000")&amp;IF(ISBLANK(N499),"","-"&amp;SUBSTITUTE(N499," ","")))</f>
        <v/>
      </c>
      <c r="D499" s="9" t="n"/>
      <c r="E499" s="9" t="n"/>
      <c r="F499" s="9" t="n"/>
      <c r="G499" s="9" t="n"/>
      <c r="H499" s="13">
        <f>IF(ISBLANK(F499),"",IF(G499&lt;&gt;"",UPPER(TRIM(G499)),IF(ISNUMBER(SEARCH(" ",TRIM(F499))),UPPER(LEFT(TRIM(RIGHT(SUBSTITUTE(TRIM(F499)," ",REPT(" ",100)),100)),Settings!$B$9)),UPPER(LEFT(TRIM(F499),Settings!$B$9)))))</f>
        <v/>
      </c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15">
        <f>IF(ISBLANK(D499),"",IF(COUNTIFS(Circulation!$B$2:$B$500,A499,Circulation!$H$2:$H$500,"Active")&gt;0,"On Loan","Available"))</f>
        <v/>
      </c>
      <c r="AA499" s="9" t="n"/>
      <c r="AB499" s="9" t="n"/>
      <c r="AC499" s="9" t="n"/>
      <c r="AD499" s="9" t="n"/>
      <c r="AE499" s="9" t="n"/>
      <c r="AF499" s="9" t="n"/>
      <c r="AG499" s="9" t="n"/>
    </row>
    <row r="500">
      <c r="A500" s="13">
        <f>IF(ISBLANK(D500),"",ROW()-1)</f>
        <v/>
      </c>
      <c r="B500" s="14" t="n"/>
      <c r="C500" s="13">
        <f>IF(ISBLANK(D500),"",MID(K500,SEARCH("(",K500)+1,SEARCH(")",K500)-SEARCH("(",K500)-1)&amp;"-"&amp;MID(L500,SEARCH("(",L500)+1,SEARCH(")",L500)-SEARCH("(",L500)-1)&amp;"-"&amp;H500&amp;"-"&amp;TEXT(A500,"000")&amp;IF(ISBLANK(N500),"","-"&amp;SUBSTITUTE(N500," ","")))</f>
        <v/>
      </c>
      <c r="D500" s="9" t="n"/>
      <c r="E500" s="9" t="n"/>
      <c r="F500" s="9" t="n"/>
      <c r="G500" s="9" t="n"/>
      <c r="H500" s="13">
        <f>IF(ISBLANK(F500),"",IF(G500&lt;&gt;"",UPPER(TRIM(G500)),IF(ISNUMBER(SEARCH(" ",TRIM(F500))),UPPER(LEFT(TRIM(RIGHT(SUBSTITUTE(TRIM(F500)," ",REPT(" ",100)),100)),Settings!$B$9)),UPPER(LEFT(TRIM(F500),Settings!$B$9)))))</f>
        <v/>
      </c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15">
        <f>IF(ISBLANK(D500),"",IF(COUNTIFS(Circulation!$B$2:$B$500,A500,Circulation!$H$2:$H$500,"Active")&gt;0,"On Loan","Available"))</f>
        <v/>
      </c>
      <c r="AA500" s="9" t="n"/>
      <c r="AB500" s="9" t="n"/>
      <c r="AC500" s="9" t="n"/>
      <c r="AD500" s="9" t="n"/>
      <c r="AE500" s="9" t="n"/>
      <c r="AF500" s="9" t="n"/>
      <c r="AG500" s="9" t="n"/>
    </row>
    <row r="501">
      <c r="A501" s="13">
        <f>IF(ISBLANK(D501),"",ROW()-1)</f>
        <v/>
      </c>
      <c r="B501" s="14" t="n"/>
      <c r="C501" s="13">
        <f>IF(ISBLANK(D501),"",MID(K501,SEARCH("(",K501)+1,SEARCH(")",K501)-SEARCH("(",K501)-1)&amp;"-"&amp;MID(L501,SEARCH("(",L501)+1,SEARCH(")",L501)-SEARCH("(",L501)-1)&amp;"-"&amp;H501&amp;"-"&amp;TEXT(A501,"000")&amp;IF(ISBLANK(N501),"","-"&amp;SUBSTITUTE(N501," ","")))</f>
        <v/>
      </c>
      <c r="D501" s="9" t="n"/>
      <c r="E501" s="9" t="n"/>
      <c r="F501" s="9" t="n"/>
      <c r="G501" s="9" t="n"/>
      <c r="H501" s="13">
        <f>IF(ISBLANK(F501),"",IF(G501&lt;&gt;"",UPPER(TRIM(G501)),IF(ISNUMBER(SEARCH(" ",TRIM(F501))),UPPER(LEFT(TRIM(RIGHT(SUBSTITUTE(TRIM(F501)," ",REPT(" ",100)),100)),Settings!$B$9)),UPPER(LEFT(TRIM(F501),Settings!$B$9)))))</f>
        <v/>
      </c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15">
        <f>IF(ISBLANK(D501),"",IF(COUNTIFS(Circulation!$B$2:$B$500,A501,Circulation!$H$2:$H$500,"Active")&gt;0,"On Loan","Available"))</f>
        <v/>
      </c>
      <c r="AA501" s="9" t="n"/>
      <c r="AB501" s="9" t="n"/>
      <c r="AC501" s="9" t="n"/>
      <c r="AD501" s="9" t="n"/>
      <c r="AE501" s="9" t="n"/>
      <c r="AF501" s="9" t="n"/>
      <c r="AG501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720"/>
  <autoFilter ref="A1:AG501"/>
  <conditionalFormatting sqref="D2:D501">
    <cfRule type="expression" priority="1" dxfId="0">
      <formula>ISBLANK($D2)</formula>
    </cfRule>
  </conditionalFormatting>
  <conditionalFormatting sqref="F2:F501">
    <cfRule type="expression" priority="2" dxfId="1">
      <formula>AND($D2&lt;&gt;"",ISBLANK($F2))</formula>
    </cfRule>
  </conditionalFormatting>
  <conditionalFormatting sqref="Z2:Z501">
    <cfRule type="expression" priority="3" dxfId="1">
      <formula>$Z2="On Loan"</formula>
    </cfRule>
  </conditionalFormatting>
  <dataValidations count="7">
    <dataValidation sqref="K2:K501" showDropDown="0" showInputMessage="0" showErrorMessage="0" allowBlank="1" type="list">
      <formula1>=ResourceTypeList</formula1>
    </dataValidation>
    <dataValidation sqref="L2:L501" showDropDown="0" showInputMessage="0" showErrorMessage="0" allowBlank="1" type="list">
      <formula1>=GenreList</formula1>
    </dataValidation>
    <dataValidation sqref="M2:M501" showDropDown="0" showInputMessage="0" showErrorMessage="0" allowBlank="1" type="list">
      <formula1>=LanguageList</formula1>
    </dataValidation>
    <dataValidation sqref="W2:W501" showDropDown="0" showInputMessage="0" showErrorMessage="0" allowBlank="1" type="list">
      <formula1>=LocationTypeList</formula1>
    </dataValidation>
    <dataValidation sqref="Y2:Y501" showDropDown="0" showInputMessage="0" showErrorMessage="0" allowBlank="1" type="list">
      <formula1>=ConditionList</formula1>
    </dataValidation>
    <dataValidation sqref="AB2:AB501" showDropDown="0" showInputMessage="0" showErrorMessage="0" allowBlank="1" type="list">
      <formula1>=AcqTypeList</formula1>
    </dataValidation>
    <dataValidation sqref="AF2:AF501" showDropDown="0" showInputMessage="0" showErrorMessage="0" allowBlank="1" type="list">
      <formula1>=RightsList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26" customWidth="1" min="4" max="4"/>
    <col width="22" customWidth="1" min="5" max="5"/>
    <col width="18" customWidth="1" min="6" max="6"/>
    <col width="18" customWidth="1" min="7" max="7"/>
    <col width="12" customWidth="1" min="8" max="8"/>
    <col width="12" customWidth="1" min="9" max="9"/>
    <col width="20" customWidth="1" min="10" max="10"/>
    <col width="12" customWidth="1" min="11" max="11"/>
    <col width="14" customWidth="1" min="12" max="12"/>
    <col width="32" customWidth="1" min="13" max="13"/>
    <col width="30" customWidth="1" min="14" max="14"/>
    <col width="20" customWidth="1" min="15" max="15"/>
    <col width="10" customWidth="1" min="16" max="16"/>
    <col width="14" customWidth="1" min="17" max="17"/>
    <col width="14" customWidth="1" min="18" max="18"/>
    <col width="16" customWidth="1" min="19" max="19"/>
    <col width="16" customWidth="1" min="20" max="20"/>
    <col width="30" customWidth="1" min="21" max="21"/>
    <col width="14" customWidth="1" min="22" max="22"/>
    <col width="12" customWidth="1" min="23" max="23"/>
    <col width="12" customWidth="1" min="24" max="24"/>
    <col width="24" customWidth="1" min="25" max="25"/>
    <col width="14" customWidth="1" min="26" max="26"/>
    <col width="14" customWidth="1" min="27" max="27"/>
  </cols>
  <sheetData>
    <row r="1" ht="34" customHeight="1">
      <c r="A1" s="6" t="inlineStr">
        <is>
          <t>Resource ID</t>
        </is>
      </c>
      <c r="B1" s="6" t="inlineStr">
        <is>
          <t>Digital Call Number</t>
        </is>
      </c>
      <c r="C1" s="6" t="inlineStr">
        <is>
          <t>Title</t>
        </is>
      </c>
      <c r="D1" s="6" t="inlineStr">
        <is>
          <t>Creator</t>
        </is>
      </c>
      <c r="E1" s="6" t="inlineStr">
        <is>
          <t>Contributor</t>
        </is>
      </c>
      <c r="F1" s="6" t="inlineStr">
        <is>
          <t>Resource Type</t>
        </is>
      </c>
      <c r="G1" s="6" t="inlineStr">
        <is>
          <t>Genre</t>
        </is>
      </c>
      <c r="H1" s="6" t="inlineStr">
        <is>
          <t>Language</t>
        </is>
      </c>
      <c r="I1" s="6" t="inlineStr">
        <is>
          <t>Format</t>
        </is>
      </c>
      <c r="J1" s="6" t="inlineStr">
        <is>
          <t>MIME Type</t>
        </is>
      </c>
      <c r="K1" s="6" t="inlineStr">
        <is>
          <t>File Extension</t>
        </is>
      </c>
      <c r="L1" s="6" t="inlineStr">
        <is>
          <t>File Size (bytes)</t>
        </is>
      </c>
      <c r="M1" s="6" t="inlineStr">
        <is>
          <t>Storage Path</t>
        </is>
      </c>
      <c r="N1" s="6" t="inlineStr">
        <is>
          <t>URI</t>
        </is>
      </c>
      <c r="O1" s="6" t="inlineStr">
        <is>
          <t>OCR Status</t>
        </is>
      </c>
      <c r="P1" s="6" t="inlineStr">
        <is>
          <t>Searchable</t>
        </is>
      </c>
      <c r="Q1" s="6" t="inlineStr">
        <is>
          <t>Date Created</t>
        </is>
      </c>
      <c r="R1" s="6" t="inlineStr">
        <is>
          <t>Date Added</t>
        </is>
      </c>
      <c r="S1" s="6" t="inlineStr">
        <is>
          <t>Rights</t>
        </is>
      </c>
      <c r="T1" s="6" t="inlineStr">
        <is>
          <t>Access Level</t>
        </is>
      </c>
      <c r="U1" s="6" t="inlineStr">
        <is>
          <t>Description</t>
        </is>
      </c>
      <c r="V1" s="6" t="inlineStr">
        <is>
          <t>Related Physical ID</t>
        </is>
      </c>
      <c r="W1" s="6" t="inlineStr">
        <is>
          <t>Related Work ID</t>
        </is>
      </c>
      <c r="X1" s="6" t="inlineStr">
        <is>
          <t>Archive ID</t>
        </is>
      </c>
      <c r="Y1" s="6" t="inlineStr">
        <is>
          <t>Checksum</t>
        </is>
      </c>
      <c r="Z1" s="6" t="inlineStr">
        <is>
          <t>Reading/Usage Status</t>
        </is>
      </c>
      <c r="AA1" s="6" t="inlineStr">
        <is>
          <t>Preservation Status</t>
        </is>
      </c>
    </row>
    <row r="2">
      <c r="A2" s="13">
        <f>IF(ISBLANK(C2),"",ROW()-1)</f>
        <v/>
      </c>
      <c r="B2" s="13">
        <f>IF(ISBLANK(C2),"","DIG-"&amp;MID(F2,SEARCH("(",F2)+1,3)&amp;"-"&amp;MID(G2,SEARCH("(",G2)+1,3)&amp;"-"&amp;UPPER(LEFT(TRIM(RIGHT(SUBSTITUTE(TRIM(D2)," ",REPT(" ",100)),100)),3))&amp;"-"&amp;TEXT(A2,"000"))</f>
        <v/>
      </c>
      <c r="C2" s="9" t="inlineStr">
        <is>
          <t>The Pocket Oracle</t>
        </is>
      </c>
      <c r="D2" s="9" t="inlineStr">
        <is>
          <t>Baltasar Gracian</t>
        </is>
      </c>
      <c r="E2" s="9" t="inlineStr"/>
      <c r="F2" s="9" t="inlineStr">
        <is>
          <t>Book</t>
        </is>
      </c>
      <c r="G2" s="9" t="inlineStr">
        <is>
          <t>Philosophy (PHI)</t>
        </is>
      </c>
      <c r="H2" s="9" t="inlineStr">
        <is>
          <t>English</t>
        </is>
      </c>
      <c r="I2" s="9" t="inlineStr">
        <is>
          <t>PDF</t>
        </is>
      </c>
      <c r="J2" s="9" t="inlineStr">
        <is>
          <t>application/pdf</t>
        </is>
      </c>
      <c r="K2" s="9" t="inlineStr">
        <is>
          <t>.pdf</t>
        </is>
      </c>
      <c r="L2" s="9" t="inlineStr"/>
      <c r="M2" s="9" t="inlineStr">
        <is>
          <t>Drive/Books/Philosophy</t>
        </is>
      </c>
      <c r="N2" s="9" t="inlineStr"/>
      <c r="O2" s="9" t="inlineStr">
        <is>
          <t>Searchable (OCR)</t>
        </is>
      </c>
      <c r="P2" s="9" t="inlineStr">
        <is>
          <t>Yes</t>
        </is>
      </c>
      <c r="Q2" s="9" t="inlineStr">
        <is>
          <t>2024-01-15</t>
        </is>
      </c>
      <c r="R2" s="15" t="n"/>
      <c r="S2" s="9" t="inlineStr">
        <is>
          <t>Copyright</t>
        </is>
      </c>
      <c r="T2" s="9" t="inlineStr">
        <is>
          <t>Private</t>
        </is>
      </c>
      <c r="U2" s="9" t="inlineStr">
        <is>
          <t>A pocket edition of Gracian's aphorisms.</t>
        </is>
      </c>
      <c r="V2" s="9" t="inlineStr"/>
      <c r="W2" s="9" t="inlineStr"/>
      <c r="X2" s="9" t="inlineStr"/>
      <c r="Y2" s="9" t="inlineStr"/>
      <c r="Z2" s="9" t="inlineStr">
        <is>
          <t>Unread</t>
        </is>
      </c>
      <c r="AA2" s="9" t="inlineStr">
        <is>
          <t>Master</t>
        </is>
      </c>
    </row>
    <row r="3">
      <c r="A3" s="13">
        <f>IF(ISBLANK(C3),"",ROW()-1)</f>
        <v/>
      </c>
      <c r="B3" s="13">
        <f>IF(ISBLANK(C3),"","DIG-"&amp;MID(F3,SEARCH("(",F3)+1,3)&amp;"-"&amp;MID(G3,SEARCH("(",G3)+1,3)&amp;"-"&amp;UPPER(LEFT(TRIM(RIGHT(SUBSTITUTE(TRIM(D3)," ",REPT(" ",100)),100)),3))&amp;"-"&amp;TEXT(A3,"000"))</f>
        <v/>
      </c>
      <c r="C3" s="9" t="inlineStr">
        <is>
          <t>নীলকণ্ঠ পাখির খোঁজে</t>
        </is>
      </c>
      <c r="D3" s="9" t="inlineStr">
        <is>
          <t>অতীন বন্দ্যোপাধ্যায়</t>
        </is>
      </c>
      <c r="E3" s="9" t="inlineStr"/>
      <c r="F3" s="9" t="inlineStr">
        <is>
          <t>Book</t>
        </is>
      </c>
      <c r="G3" s="9" t="inlineStr">
        <is>
          <t>Literature (LIT)</t>
        </is>
      </c>
      <c r="H3" s="9" t="inlineStr">
        <is>
          <t>Bengali</t>
        </is>
      </c>
      <c r="I3" s="9" t="inlineStr">
        <is>
          <t>PDF</t>
        </is>
      </c>
      <c r="J3" s="9" t="inlineStr">
        <is>
          <t>application/pdf</t>
        </is>
      </c>
      <c r="K3" s="9" t="inlineStr">
        <is>
          <t>.pdf</t>
        </is>
      </c>
      <c r="L3" s="9" t="inlineStr"/>
      <c r="M3" s="9" t="inlineStr">
        <is>
          <t>Drive/Books/Bengali_Classics</t>
        </is>
      </c>
      <c r="N3" s="9" t="inlineStr"/>
      <c r="O3" s="9" t="inlineStr">
        <is>
          <t>Scanned (No OCR)</t>
        </is>
      </c>
      <c r="P3" s="9" t="inlineStr">
        <is>
          <t>No</t>
        </is>
      </c>
      <c r="Q3" s="9" t="inlineStr">
        <is>
          <t>2023-06-01</t>
        </is>
      </c>
      <c r="R3" s="15" t="n"/>
      <c r="S3" s="9" t="inlineStr">
        <is>
          <t>Copyright</t>
        </is>
      </c>
      <c r="T3" s="9" t="inlineStr">
        <is>
          <t>Private</t>
        </is>
      </c>
      <c r="U3" s="9" t="inlineStr">
        <is>
          <t>Scanned copy of Bengali novel.</t>
        </is>
      </c>
      <c r="V3" s="9" t="inlineStr"/>
      <c r="W3" s="9" t="inlineStr"/>
      <c r="X3" s="9" t="inlineStr"/>
      <c r="Y3" s="9" t="inlineStr"/>
      <c r="Z3" s="9" t="inlineStr">
        <is>
          <t>Unread</t>
        </is>
      </c>
      <c r="AA3" s="9" t="inlineStr">
        <is>
          <t>Master</t>
        </is>
      </c>
    </row>
    <row r="4">
      <c r="A4" s="13">
        <f>IF(ISBLANK(C4),"",ROW()-1)</f>
        <v/>
      </c>
      <c r="B4" s="13">
        <f>IF(ISBLANK(C4),"","DIG-"&amp;MID(F4,SEARCH("(",F4)+1,3)&amp;"-"&amp;MID(G4,SEARCH("(",G4)+1,3)&amp;"-"&amp;UPPER(LEFT(TRIM(RIGHT(SUBSTITUTE(TRIM(D4)," ",REPT(" ",100)),100)),3))&amp;"-"&amp;TEXT(A4,"000"))</f>
        <v/>
      </c>
      <c r="C4" s="9" t="inlineStr">
        <is>
          <t>The Great Derangement</t>
        </is>
      </c>
      <c r="D4" s="9" t="inlineStr">
        <is>
          <t>Amitav Ghosh</t>
        </is>
      </c>
      <c r="E4" s="9" t="inlineStr"/>
      <c r="F4" s="9" t="inlineStr">
        <is>
          <t>Book</t>
        </is>
      </c>
      <c r="G4" s="9" t="inlineStr">
        <is>
          <t>Essays (ESS)</t>
        </is>
      </c>
      <c r="H4" s="9" t="inlineStr">
        <is>
          <t>English</t>
        </is>
      </c>
      <c r="I4" s="9" t="inlineStr">
        <is>
          <t>EPUB</t>
        </is>
      </c>
      <c r="J4" s="9" t="inlineStr">
        <is>
          <t>application/epub+zip</t>
        </is>
      </c>
      <c r="K4" s="9" t="inlineStr">
        <is>
          <t>.epub</t>
        </is>
      </c>
      <c r="L4" s="9" t="inlineStr"/>
      <c r="M4" s="9" t="inlineStr">
        <is>
          <t>Drive/Books/Essays</t>
        </is>
      </c>
      <c r="N4" s="9" t="inlineStr"/>
      <c r="O4" s="9" t="inlineStr">
        <is>
          <t>Searchable (OCR)</t>
        </is>
      </c>
      <c r="P4" s="9" t="inlineStr">
        <is>
          <t>Yes</t>
        </is>
      </c>
      <c r="Q4" s="9" t="inlineStr">
        <is>
          <t>2023-02-10</t>
        </is>
      </c>
      <c r="R4" s="15" t="n"/>
      <c r="S4" s="9" t="inlineStr">
        <is>
          <t>Copyright</t>
        </is>
      </c>
      <c r="T4" s="9" t="inlineStr">
        <is>
          <t>Private</t>
        </is>
      </c>
      <c r="U4" s="9" t="inlineStr">
        <is>
          <t>Climate change essays.</t>
        </is>
      </c>
      <c r="V4" s="9" t="inlineStr"/>
      <c r="W4" s="9" t="inlineStr"/>
      <c r="X4" s="9" t="inlineStr"/>
      <c r="Y4" s="9" t="inlineStr"/>
      <c r="Z4" s="9" t="inlineStr">
        <is>
          <t>Read</t>
        </is>
      </c>
      <c r="AA4" s="9" t="inlineStr">
        <is>
          <t>Master</t>
        </is>
      </c>
    </row>
    <row r="5">
      <c r="A5" s="13">
        <f>IF(ISBLANK(C5),"",ROW()-1)</f>
        <v/>
      </c>
      <c r="B5" s="13">
        <f>IF(ISBLANK(C5),"","DIG-"&amp;MID(F5,SEARCH("(",F5)+1,3)&amp;"-"&amp;MID(G5,SEARCH("(",G5)+1,3)&amp;"-"&amp;UPPER(LEFT(TRIM(RIGHT(SUBSTITUTE(TRIM(D5)," ",REPT(" ",100)),100)),3))&amp;"-"&amp;TEXT(A5,"000"))</f>
        <v/>
      </c>
      <c r="C5" s="9" t="inlineStr">
        <is>
          <t>Bengali literary reading</t>
        </is>
      </c>
      <c r="D5" s="9" t="inlineStr"/>
      <c r="E5" s="9" t="inlineStr"/>
      <c r="F5" s="9" t="inlineStr">
        <is>
          <t>Audio Recording</t>
        </is>
      </c>
      <c r="G5" s="9" t="inlineStr">
        <is>
          <t>Literature (LIT)</t>
        </is>
      </c>
      <c r="H5" s="9" t="inlineStr">
        <is>
          <t>Bengali</t>
        </is>
      </c>
      <c r="I5" s="9" t="inlineStr">
        <is>
          <t>FLAC</t>
        </is>
      </c>
      <c r="J5" s="9" t="inlineStr">
        <is>
          <t>audio/flac</t>
        </is>
      </c>
      <c r="K5" s="9" t="inlineStr">
        <is>
          <t>.flac</t>
        </is>
      </c>
      <c r="L5" s="9" t="inlineStr"/>
      <c r="M5" s="9" t="inlineStr">
        <is>
          <t>Drive/Archive/Audio</t>
        </is>
      </c>
      <c r="N5" s="9" t="inlineStr"/>
      <c r="O5" s="9" t="inlineStr">
        <is>
          <t>Not Applicable</t>
        </is>
      </c>
      <c r="P5" s="9" t="inlineStr">
        <is>
          <t>No</t>
        </is>
      </c>
      <c r="Q5" s="9" t="inlineStr">
        <is>
          <t>2023-08-12</t>
        </is>
      </c>
      <c r="R5" s="15" t="n"/>
      <c r="S5" s="9" t="inlineStr">
        <is>
          <t>User-Owned</t>
        </is>
      </c>
      <c r="T5" s="9" t="inlineStr">
        <is>
          <t>Private</t>
        </is>
      </c>
      <c r="U5" s="9" t="inlineStr">
        <is>
          <t>Live reading of Tagore poems.</t>
        </is>
      </c>
      <c r="V5" s="9" t="inlineStr"/>
      <c r="W5" s="9" t="inlineStr"/>
      <c r="X5" s="9" t="inlineStr"/>
      <c r="Y5" s="9" t="inlineStr"/>
      <c r="Z5" s="9" t="inlineStr">
        <is>
          <t>N/A</t>
        </is>
      </c>
      <c r="AA5" s="9" t="inlineStr">
        <is>
          <t>Master</t>
        </is>
      </c>
    </row>
    <row r="6">
      <c r="A6" s="13">
        <f>IF(ISBLANK(C6),"",ROW()-1)</f>
        <v/>
      </c>
      <c r="B6" s="13">
        <f>IF(ISBLANK(C6),"","DIG-"&amp;MID(F6,SEARCH("(",F6)+1,3)&amp;"-"&amp;MID(G6,SEARCH("(",G6)+1,3)&amp;"-"&amp;UPPER(LEFT(TRIM(RIGHT(SUBSTITUTE(TRIM(D6)," ",REPT(" ",100)),100)),3))&amp;"-"&amp;TEXT(A6,"000"))</f>
        <v/>
      </c>
      <c r="C6" s="9" t="inlineStr">
        <is>
          <t>Interview with an author</t>
        </is>
      </c>
      <c r="D6" s="9" t="inlineStr"/>
      <c r="E6" s="9" t="inlineStr"/>
      <c r="F6" s="9" t="inlineStr">
        <is>
          <t>Video Recording</t>
        </is>
      </c>
      <c r="G6" s="9" t="inlineStr">
        <is>
          <t>Literature (LIT)</t>
        </is>
      </c>
      <c r="H6" s="9" t="inlineStr">
        <is>
          <t>Bengali</t>
        </is>
      </c>
      <c r="I6" s="9" t="inlineStr">
        <is>
          <t>MP4</t>
        </is>
      </c>
      <c r="J6" s="9" t="inlineStr">
        <is>
          <t>video/mp4</t>
        </is>
      </c>
      <c r="K6" s="9" t="inlineStr">
        <is>
          <t>.mp4</t>
        </is>
      </c>
      <c r="L6" s="9" t="inlineStr"/>
      <c r="M6" s="9" t="inlineStr">
        <is>
          <t>Drive/Archive/Video</t>
        </is>
      </c>
      <c r="N6" s="9" t="inlineStr"/>
      <c r="O6" s="9" t="inlineStr">
        <is>
          <t>Not Applicable</t>
        </is>
      </c>
      <c r="P6" s="9" t="inlineStr">
        <is>
          <t>No</t>
        </is>
      </c>
      <c r="Q6" s="9" t="inlineStr">
        <is>
          <t>2024-03-01</t>
        </is>
      </c>
      <c r="R6" s="15" t="n"/>
      <c r="S6" s="9" t="inlineStr">
        <is>
          <t>User-Owned</t>
        </is>
      </c>
      <c r="T6" s="9" t="inlineStr">
        <is>
          <t>Restricted</t>
        </is>
      </c>
      <c r="U6" s="9" t="inlineStr">
        <is>
          <t>Recorded interview.</t>
        </is>
      </c>
      <c r="V6" s="9" t="inlineStr"/>
      <c r="W6" s="9" t="inlineStr"/>
      <c r="X6" s="9" t="inlineStr"/>
      <c r="Y6" s="9" t="inlineStr"/>
      <c r="Z6" s="9" t="inlineStr">
        <is>
          <t>N/A</t>
        </is>
      </c>
      <c r="AA6" s="9" t="inlineStr">
        <is>
          <t>Master</t>
        </is>
      </c>
    </row>
    <row r="7">
      <c r="A7" s="13">
        <f>IF(ISBLANK(C7),"",ROW()-1)</f>
        <v/>
      </c>
      <c r="B7" s="13">
        <f>IF(ISBLANK(C7),"","DIG-"&amp;MID(F7,SEARCH("(",F7)+1,3)&amp;"-"&amp;MID(G7,SEARCH("(",G7)+1,3)&amp;"-"&amp;UPPER(LEFT(TRIM(RIGHT(SUBSTITUTE(TRIM(D7)," ",REPT(" ",100)),100)),3))&amp;"-"&amp;TEXT(A7,"000"))</f>
        <v/>
      </c>
      <c r="C7" s="9" t="inlineStr">
        <is>
          <t>Scanned Bengali manuscript</t>
        </is>
      </c>
      <c r="D7" s="9" t="inlineStr"/>
      <c r="E7" s="9" t="inlineStr"/>
      <c r="F7" s="9" t="inlineStr">
        <is>
          <t>Manuscript</t>
        </is>
      </c>
      <c r="G7" s="9" t="inlineStr">
        <is>
          <t>Literature (LIT)</t>
        </is>
      </c>
      <c r="H7" s="9" t="inlineStr">
        <is>
          <t>Bengali</t>
        </is>
      </c>
      <c r="I7" s="9" t="inlineStr">
        <is>
          <t>TIFF</t>
        </is>
      </c>
      <c r="J7" s="9" t="inlineStr">
        <is>
          <t>image/tiff</t>
        </is>
      </c>
      <c r="K7" s="9" t="inlineStr">
        <is>
          <t>.tiff</t>
        </is>
      </c>
      <c r="L7" s="9" t="inlineStr"/>
      <c r="M7" s="9" t="inlineStr">
        <is>
          <t>Archive/Manuscripts</t>
        </is>
      </c>
      <c r="N7" s="9" t="inlineStr"/>
      <c r="O7" s="9" t="inlineStr">
        <is>
          <t>Scanned (No OCR)</t>
        </is>
      </c>
      <c r="P7" s="9" t="inlineStr">
        <is>
          <t>No</t>
        </is>
      </c>
      <c r="Q7" s="9" t="inlineStr">
        <is>
          <t>2022-01-01</t>
        </is>
      </c>
      <c r="R7" s="15" t="n"/>
      <c r="S7" s="9" t="inlineStr">
        <is>
          <t>Public Domain</t>
        </is>
      </c>
      <c r="T7" s="9" t="inlineStr">
        <is>
          <t>Research Only</t>
        </is>
      </c>
      <c r="U7" s="9" t="inlineStr">
        <is>
          <t>High-res scan of 19th-c manuscript.</t>
        </is>
      </c>
      <c r="V7" s="9" t="inlineStr"/>
      <c r="W7" s="9" t="inlineStr"/>
      <c r="X7" s="9" t="inlineStr">
        <is>
          <t>ARC-0001</t>
        </is>
      </c>
      <c r="Y7" s="9" t="inlineStr"/>
      <c r="Z7" s="9" t="inlineStr">
        <is>
          <t>N/A</t>
        </is>
      </c>
      <c r="AA7" s="9" t="inlineStr">
        <is>
          <t>Master</t>
        </is>
      </c>
    </row>
    <row r="8">
      <c r="A8" s="13">
        <f>IF(ISBLANK(C8),"",ROW()-1)</f>
        <v/>
      </c>
      <c r="B8" s="13">
        <f>IF(ISBLANK(C8),"","DIG-"&amp;MID(F8,SEARCH("(",F8)+1,3)&amp;"-"&amp;MID(G8,SEARCH("(",G8)+1,3)&amp;"-"&amp;UPPER(LEFT(TRIM(RIGHT(SUBSTITUTE(TRIM(D8)," ",REPT(" ",100)),100)),3))&amp;"-"&amp;TEXT(A8,"000"))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15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>
      <c r="A9" s="13">
        <f>IF(ISBLANK(C9),"",ROW()-1)</f>
        <v/>
      </c>
      <c r="B9" s="13">
        <f>IF(ISBLANK(C9),"","DIG-"&amp;MID(F9,SEARCH("(",F9)+1,3)&amp;"-"&amp;MID(G9,SEARCH("(",G9)+1,3)&amp;"-"&amp;UPPER(LEFT(TRIM(RIGHT(SUBSTITUTE(TRIM(D9)," ",REPT(" ",100)),100)),3))&amp;"-"&amp;TEXT(A9,"000"))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5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>
      <c r="A10" s="13">
        <f>IF(ISBLANK(C10),"",ROW()-1)</f>
        <v/>
      </c>
      <c r="B10" s="13">
        <f>IF(ISBLANK(C10),"","DIG-"&amp;MID(F10,SEARCH("(",F10)+1,3)&amp;"-"&amp;MID(G10,SEARCH("(",G10)+1,3)&amp;"-"&amp;UPPER(LEFT(TRIM(RIGHT(SUBSTITUTE(TRIM(D10)," ",REPT(" ",100)),100)),3))&amp;"-"&amp;TEXT(A10,"000"))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15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>
      <c r="A11" s="13">
        <f>IF(ISBLANK(C11),"",ROW()-1)</f>
        <v/>
      </c>
      <c r="B11" s="13">
        <f>IF(ISBLANK(C11),"","DIG-"&amp;MID(F11,SEARCH("(",F11)+1,3)&amp;"-"&amp;MID(G11,SEARCH("(",G11)+1,3)&amp;"-"&amp;UPPER(LEFT(TRIM(RIGHT(SUBSTITUTE(TRIM(D11)," ",REPT(" ",100)),100)),3))&amp;"-"&amp;TEXT(A11,"000"))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15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>
      <c r="A12" s="13">
        <f>IF(ISBLANK(C12),"",ROW()-1)</f>
        <v/>
      </c>
      <c r="B12" s="13">
        <f>IF(ISBLANK(C12),"","DIG-"&amp;MID(F12,SEARCH("(",F12)+1,3)&amp;"-"&amp;MID(G12,SEARCH("(",G12)+1,3)&amp;"-"&amp;UPPER(LEFT(TRIM(RIGHT(SUBSTITUTE(TRIM(D12)," ",REPT(" ",100)),100)),3))&amp;"-"&amp;TEXT(A12,"000"))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15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>
      <c r="A13" s="13">
        <f>IF(ISBLANK(C13),"",ROW()-1)</f>
        <v/>
      </c>
      <c r="B13" s="13">
        <f>IF(ISBLANK(C13),"","DIG-"&amp;MID(F13,SEARCH("(",F13)+1,3)&amp;"-"&amp;MID(G13,SEARCH("(",G13)+1,3)&amp;"-"&amp;UPPER(LEFT(TRIM(RIGHT(SUBSTITUTE(TRIM(D13)," ",REPT(" ",100)),100)),3))&amp;"-"&amp;TEXT(A13,"000"))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5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>
      <c r="A14" s="13">
        <f>IF(ISBLANK(C14),"",ROW()-1)</f>
        <v/>
      </c>
      <c r="B14" s="13">
        <f>IF(ISBLANK(C14),"","DIG-"&amp;MID(F14,SEARCH("(",F14)+1,3)&amp;"-"&amp;MID(G14,SEARCH("(",G14)+1,3)&amp;"-"&amp;UPPER(LEFT(TRIM(RIGHT(SUBSTITUTE(TRIM(D14)," ",REPT(" ",100)),100)),3))&amp;"-"&amp;TEXT(A14,"000"))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5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>
      <c r="A15" s="13">
        <f>IF(ISBLANK(C15),"",ROW()-1)</f>
        <v/>
      </c>
      <c r="B15" s="13">
        <f>IF(ISBLANK(C15),"","DIG-"&amp;MID(F15,SEARCH("(",F15)+1,3)&amp;"-"&amp;MID(G15,SEARCH("(",G15)+1,3)&amp;"-"&amp;UPPER(LEFT(TRIM(RIGHT(SUBSTITUTE(TRIM(D15)," ",REPT(" ",100)),100)),3))&amp;"-"&amp;TEXT(A15,"000"))</f>
        <v/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15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>
      <c r="A16" s="13">
        <f>IF(ISBLANK(C16),"",ROW()-1)</f>
        <v/>
      </c>
      <c r="B16" s="13">
        <f>IF(ISBLANK(C16),"","DIG-"&amp;MID(F16,SEARCH("(",F16)+1,3)&amp;"-"&amp;MID(G16,SEARCH("(",G16)+1,3)&amp;"-"&amp;UPPER(LEFT(TRIM(RIGHT(SUBSTITUTE(TRIM(D16)," ",REPT(" ",100)),100)),3))&amp;"-"&amp;TEXT(A16,"000"))</f>
        <v/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15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>
      <c r="A17" s="13">
        <f>IF(ISBLANK(C17),"",ROW()-1)</f>
        <v/>
      </c>
      <c r="B17" s="13">
        <f>IF(ISBLANK(C17),"","DIG-"&amp;MID(F17,SEARCH("(",F17)+1,3)&amp;"-"&amp;MID(G17,SEARCH("(",G17)+1,3)&amp;"-"&amp;UPPER(LEFT(TRIM(RIGHT(SUBSTITUTE(TRIM(D17)," ",REPT(" ",100)),100)),3))&amp;"-"&amp;TEXT(A17,"000"))</f>
        <v/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15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</row>
    <row r="18">
      <c r="A18" s="13">
        <f>IF(ISBLANK(C18),"",ROW()-1)</f>
        <v/>
      </c>
      <c r="B18" s="13">
        <f>IF(ISBLANK(C18),"","DIG-"&amp;MID(F18,SEARCH("(",F18)+1,3)&amp;"-"&amp;MID(G18,SEARCH("(",G18)+1,3)&amp;"-"&amp;UPPER(LEFT(TRIM(RIGHT(SUBSTITUTE(TRIM(D18)," ",REPT(" ",100)),100)),3))&amp;"-"&amp;TEXT(A18,"000"))</f>
        <v/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15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</row>
    <row r="19">
      <c r="A19" s="13">
        <f>IF(ISBLANK(C19),"",ROW()-1)</f>
        <v/>
      </c>
      <c r="B19" s="13">
        <f>IF(ISBLANK(C19),"","DIG-"&amp;MID(F19,SEARCH("(",F19)+1,3)&amp;"-"&amp;MID(G19,SEARCH("(",G19)+1,3)&amp;"-"&amp;UPPER(LEFT(TRIM(RIGHT(SUBSTITUTE(TRIM(D19)," ",REPT(" ",100)),100)),3))&amp;"-"&amp;TEXT(A19,"000"))</f>
        <v/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5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</row>
    <row r="20">
      <c r="A20" s="13">
        <f>IF(ISBLANK(C20),"",ROW()-1)</f>
        <v/>
      </c>
      <c r="B20" s="13">
        <f>IF(ISBLANK(C20),"","DIG-"&amp;MID(F20,SEARCH("(",F20)+1,3)&amp;"-"&amp;MID(G20,SEARCH("(",G20)+1,3)&amp;"-"&amp;UPPER(LEFT(TRIM(RIGHT(SUBSTITUTE(TRIM(D20)," ",REPT(" ",100)),100)),3))&amp;"-"&amp;TEXT(A20,"000"))</f>
        <v/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15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</row>
    <row r="21">
      <c r="A21" s="13">
        <f>IF(ISBLANK(C21),"",ROW()-1)</f>
        <v/>
      </c>
      <c r="B21" s="13">
        <f>IF(ISBLANK(C21),"","DIG-"&amp;MID(F21,SEARCH("(",F21)+1,3)&amp;"-"&amp;MID(G21,SEARCH("(",G21)+1,3)&amp;"-"&amp;UPPER(LEFT(TRIM(RIGHT(SUBSTITUTE(TRIM(D21)," ",REPT(" ",100)),100)),3))&amp;"-"&amp;TEXT(A21,"000"))</f>
        <v/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15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</row>
    <row r="22">
      <c r="A22" s="13">
        <f>IF(ISBLANK(C22),"",ROW()-1)</f>
        <v/>
      </c>
      <c r="B22" s="13">
        <f>IF(ISBLANK(C22),"","DIG-"&amp;MID(F22,SEARCH("(",F22)+1,3)&amp;"-"&amp;MID(G22,SEARCH("(",G22)+1,3)&amp;"-"&amp;UPPER(LEFT(TRIM(RIGHT(SUBSTITUTE(TRIM(D22)," ",REPT(" ",100)),100)),3))&amp;"-"&amp;TEXT(A22,"000"))</f>
        <v/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15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13">
        <f>IF(ISBLANK(C23),"",ROW()-1)</f>
        <v/>
      </c>
      <c r="B23" s="13">
        <f>IF(ISBLANK(C23),"","DIG-"&amp;MID(F23,SEARCH("(",F23)+1,3)&amp;"-"&amp;MID(G23,SEARCH("(",G23)+1,3)&amp;"-"&amp;UPPER(LEFT(TRIM(RIGHT(SUBSTITUTE(TRIM(D23)," ",REPT(" ",100)),100)),3))&amp;"-"&amp;TEXT(A23,"000"))</f>
        <v/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15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</row>
    <row r="24">
      <c r="A24" s="13">
        <f>IF(ISBLANK(C24),"",ROW()-1)</f>
        <v/>
      </c>
      <c r="B24" s="13">
        <f>IF(ISBLANK(C24),"","DIG-"&amp;MID(F24,SEARCH("(",F24)+1,3)&amp;"-"&amp;MID(G24,SEARCH("(",G24)+1,3)&amp;"-"&amp;UPPER(LEFT(TRIM(RIGHT(SUBSTITUTE(TRIM(D24)," ",REPT(" ",100)),100)),3))&amp;"-"&amp;TEXT(A24,"000"))</f>
        <v/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15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</row>
    <row r="25">
      <c r="A25" s="13">
        <f>IF(ISBLANK(C25),"",ROW()-1)</f>
        <v/>
      </c>
      <c r="B25" s="13">
        <f>IF(ISBLANK(C25),"","DIG-"&amp;MID(F25,SEARCH("(",F25)+1,3)&amp;"-"&amp;MID(G25,SEARCH("(",G25)+1,3)&amp;"-"&amp;UPPER(LEFT(TRIM(RIGHT(SUBSTITUTE(TRIM(D25)," ",REPT(" ",100)),100)),3))&amp;"-"&amp;TEXT(A25,"000"))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15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</row>
    <row r="26">
      <c r="A26" s="13">
        <f>IF(ISBLANK(C26),"",ROW()-1)</f>
        <v/>
      </c>
      <c r="B26" s="13">
        <f>IF(ISBLANK(C26),"","DIG-"&amp;MID(F26,SEARCH("(",F26)+1,3)&amp;"-"&amp;MID(G26,SEARCH("(",G26)+1,3)&amp;"-"&amp;UPPER(LEFT(TRIM(RIGHT(SUBSTITUTE(TRIM(D26)," ",REPT(" ",100)),100)),3))&amp;"-"&amp;TEXT(A26,"000"))</f>
        <v/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15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</row>
    <row r="27">
      <c r="A27" s="13">
        <f>IF(ISBLANK(C27),"",ROW()-1)</f>
        <v/>
      </c>
      <c r="B27" s="13">
        <f>IF(ISBLANK(C27),"","DIG-"&amp;MID(F27,SEARCH("(",F27)+1,3)&amp;"-"&amp;MID(G27,SEARCH("(",G27)+1,3)&amp;"-"&amp;UPPER(LEFT(TRIM(RIGHT(SUBSTITUTE(TRIM(D27)," ",REPT(" ",100)),100)),3))&amp;"-"&amp;TEXT(A27,"000"))</f>
        <v/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15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</row>
    <row r="28">
      <c r="A28" s="13">
        <f>IF(ISBLANK(C28),"",ROW()-1)</f>
        <v/>
      </c>
      <c r="B28" s="13">
        <f>IF(ISBLANK(C28),"","DIG-"&amp;MID(F28,SEARCH("(",F28)+1,3)&amp;"-"&amp;MID(G28,SEARCH("(",G28)+1,3)&amp;"-"&amp;UPPER(LEFT(TRIM(RIGHT(SUBSTITUTE(TRIM(D28)," ",REPT(" ",100)),100)),3))&amp;"-"&amp;TEXT(A28,"000"))</f>
        <v/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15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</row>
    <row r="29">
      <c r="A29" s="13">
        <f>IF(ISBLANK(C29),"",ROW()-1)</f>
        <v/>
      </c>
      <c r="B29" s="13">
        <f>IF(ISBLANK(C29),"","DIG-"&amp;MID(F29,SEARCH("(",F29)+1,3)&amp;"-"&amp;MID(G29,SEARCH("(",G29)+1,3)&amp;"-"&amp;UPPER(LEFT(TRIM(RIGHT(SUBSTITUTE(TRIM(D29)," ",REPT(" ",100)),100)),3))&amp;"-"&amp;TEXT(A29,"000"))</f>
        <v/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15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</row>
    <row r="30">
      <c r="A30" s="13">
        <f>IF(ISBLANK(C30),"",ROW()-1)</f>
        <v/>
      </c>
      <c r="B30" s="13">
        <f>IF(ISBLANK(C30),"","DIG-"&amp;MID(F30,SEARCH("(",F30)+1,3)&amp;"-"&amp;MID(G30,SEARCH("(",G30)+1,3)&amp;"-"&amp;UPPER(LEFT(TRIM(RIGHT(SUBSTITUTE(TRIM(D30)," ",REPT(" ",100)),100)),3))&amp;"-"&amp;TEXT(A30,"000"))</f>
        <v/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15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</row>
    <row r="31">
      <c r="A31" s="13">
        <f>IF(ISBLANK(C31),"",ROW()-1)</f>
        <v/>
      </c>
      <c r="B31" s="13">
        <f>IF(ISBLANK(C31),"","DIG-"&amp;MID(F31,SEARCH("(",F31)+1,3)&amp;"-"&amp;MID(G31,SEARCH("(",G31)+1,3)&amp;"-"&amp;UPPER(LEFT(TRIM(RIGHT(SUBSTITUTE(TRIM(D31)," ",REPT(" ",100)),100)),3))&amp;"-"&amp;TEXT(A31,"000"))</f>
        <v/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15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</row>
    <row r="32">
      <c r="A32" s="13">
        <f>IF(ISBLANK(C32),"",ROW()-1)</f>
        <v/>
      </c>
      <c r="B32" s="13">
        <f>IF(ISBLANK(C32),"","DIG-"&amp;MID(F32,SEARCH("(",F32)+1,3)&amp;"-"&amp;MID(G32,SEARCH("(",G32)+1,3)&amp;"-"&amp;UPPER(LEFT(TRIM(RIGHT(SUBSTITUTE(TRIM(D32)," ",REPT(" ",100)),100)),3))&amp;"-"&amp;TEXT(A32,"000"))</f>
        <v/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15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</row>
    <row r="33">
      <c r="A33" s="13">
        <f>IF(ISBLANK(C33),"",ROW()-1)</f>
        <v/>
      </c>
      <c r="B33" s="13">
        <f>IF(ISBLANK(C33),"","DIG-"&amp;MID(F33,SEARCH("(",F33)+1,3)&amp;"-"&amp;MID(G33,SEARCH("(",G33)+1,3)&amp;"-"&amp;UPPER(LEFT(TRIM(RIGHT(SUBSTITUTE(TRIM(D33)," ",REPT(" ",100)),100)),3))&amp;"-"&amp;TEXT(A33,"000"))</f>
        <v/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15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</row>
    <row r="34">
      <c r="A34" s="13">
        <f>IF(ISBLANK(C34),"",ROW()-1)</f>
        <v/>
      </c>
      <c r="B34" s="13">
        <f>IF(ISBLANK(C34),"","DIG-"&amp;MID(F34,SEARCH("(",F34)+1,3)&amp;"-"&amp;MID(G34,SEARCH("(",G34)+1,3)&amp;"-"&amp;UPPER(LEFT(TRIM(RIGHT(SUBSTITUTE(TRIM(D34)," ",REPT(" ",100)),100)),3))&amp;"-"&amp;TEXT(A34,"000"))</f>
        <v/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15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</row>
    <row r="35">
      <c r="A35" s="13">
        <f>IF(ISBLANK(C35),"",ROW()-1)</f>
        <v/>
      </c>
      <c r="B35" s="13">
        <f>IF(ISBLANK(C35),"","DIG-"&amp;MID(F35,SEARCH("(",F35)+1,3)&amp;"-"&amp;MID(G35,SEARCH("(",G35)+1,3)&amp;"-"&amp;UPPER(LEFT(TRIM(RIGHT(SUBSTITUTE(TRIM(D35)," ",REPT(" ",100)),100)),3))&amp;"-"&amp;TEXT(A35,"000"))</f>
        <v/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15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</row>
    <row r="36">
      <c r="A36" s="13">
        <f>IF(ISBLANK(C36),"",ROW()-1)</f>
        <v/>
      </c>
      <c r="B36" s="13">
        <f>IF(ISBLANK(C36),"","DIG-"&amp;MID(F36,SEARCH("(",F36)+1,3)&amp;"-"&amp;MID(G36,SEARCH("(",G36)+1,3)&amp;"-"&amp;UPPER(LEFT(TRIM(RIGHT(SUBSTITUTE(TRIM(D36)," ",REPT(" ",100)),100)),3))&amp;"-"&amp;TEXT(A36,"000"))</f>
        <v/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15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</row>
    <row r="37">
      <c r="A37" s="13">
        <f>IF(ISBLANK(C37),"",ROW()-1)</f>
        <v/>
      </c>
      <c r="B37" s="13">
        <f>IF(ISBLANK(C37),"","DIG-"&amp;MID(F37,SEARCH("(",F37)+1,3)&amp;"-"&amp;MID(G37,SEARCH("(",G37)+1,3)&amp;"-"&amp;UPPER(LEFT(TRIM(RIGHT(SUBSTITUTE(TRIM(D37)," ",REPT(" ",100)),100)),3))&amp;"-"&amp;TEXT(A37,"000"))</f>
        <v/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15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</row>
    <row r="38">
      <c r="A38" s="13">
        <f>IF(ISBLANK(C38),"",ROW()-1)</f>
        <v/>
      </c>
      <c r="B38" s="13">
        <f>IF(ISBLANK(C38),"","DIG-"&amp;MID(F38,SEARCH("(",F38)+1,3)&amp;"-"&amp;MID(G38,SEARCH("(",G38)+1,3)&amp;"-"&amp;UPPER(LEFT(TRIM(RIGHT(SUBSTITUTE(TRIM(D38)," ",REPT(" ",100)),100)),3))&amp;"-"&amp;TEXT(A38,"000"))</f>
        <v/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15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</row>
    <row r="39">
      <c r="A39" s="13">
        <f>IF(ISBLANK(C39),"",ROW()-1)</f>
        <v/>
      </c>
      <c r="B39" s="13">
        <f>IF(ISBLANK(C39),"","DIG-"&amp;MID(F39,SEARCH("(",F39)+1,3)&amp;"-"&amp;MID(G39,SEARCH("(",G39)+1,3)&amp;"-"&amp;UPPER(LEFT(TRIM(RIGHT(SUBSTITUTE(TRIM(D39)," ",REPT(" ",100)),100)),3))&amp;"-"&amp;TEXT(A39,"000"))</f>
        <v/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15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13">
        <f>IF(ISBLANK(C40),"",ROW()-1)</f>
        <v/>
      </c>
      <c r="B40" s="13">
        <f>IF(ISBLANK(C40),"","DIG-"&amp;MID(F40,SEARCH("(",F40)+1,3)&amp;"-"&amp;MID(G40,SEARCH("(",G40)+1,3)&amp;"-"&amp;UPPER(LEFT(TRIM(RIGHT(SUBSTITUTE(TRIM(D40)," ",REPT(" ",100)),100)),3))&amp;"-"&amp;TEXT(A40,"000"))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15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</row>
    <row r="41">
      <c r="A41" s="13">
        <f>IF(ISBLANK(C41),"",ROW()-1)</f>
        <v/>
      </c>
      <c r="B41" s="13">
        <f>IF(ISBLANK(C41),"","DIG-"&amp;MID(F41,SEARCH("(",F41)+1,3)&amp;"-"&amp;MID(G41,SEARCH("(",G41)+1,3)&amp;"-"&amp;UPPER(LEFT(TRIM(RIGHT(SUBSTITUTE(TRIM(D41)," ",REPT(" ",100)),100)),3))&amp;"-"&amp;TEXT(A41,"000"))</f>
        <v/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15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</row>
    <row r="42">
      <c r="A42" s="13">
        <f>IF(ISBLANK(C42),"",ROW()-1)</f>
        <v/>
      </c>
      <c r="B42" s="13">
        <f>IF(ISBLANK(C42),"","DIG-"&amp;MID(F42,SEARCH("(",F42)+1,3)&amp;"-"&amp;MID(G42,SEARCH("(",G42)+1,3)&amp;"-"&amp;UPPER(LEFT(TRIM(RIGHT(SUBSTITUTE(TRIM(D42)," ",REPT(" ",100)),100)),3))&amp;"-"&amp;TEXT(A42,"000"))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15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</row>
    <row r="43">
      <c r="A43" s="13">
        <f>IF(ISBLANK(C43),"",ROW()-1)</f>
        <v/>
      </c>
      <c r="B43" s="13">
        <f>IF(ISBLANK(C43),"","DIG-"&amp;MID(F43,SEARCH("(",F43)+1,3)&amp;"-"&amp;MID(G43,SEARCH("(",G43)+1,3)&amp;"-"&amp;UPPER(LEFT(TRIM(RIGHT(SUBSTITUTE(TRIM(D43)," ",REPT(" ",100)),100)),3))&amp;"-"&amp;TEXT(A43,"000"))</f>
        <v/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5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>
      <c r="A44" s="13">
        <f>IF(ISBLANK(C44),"",ROW()-1)</f>
        <v/>
      </c>
      <c r="B44" s="13">
        <f>IF(ISBLANK(C44),"","DIG-"&amp;MID(F44,SEARCH("(",F44)+1,3)&amp;"-"&amp;MID(G44,SEARCH("(",G44)+1,3)&amp;"-"&amp;UPPER(LEFT(TRIM(RIGHT(SUBSTITUTE(TRIM(D44)," ",REPT(" ",100)),100)),3))&amp;"-"&amp;TEXT(A44,"000"))</f>
        <v/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5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>
      <c r="A45" s="13">
        <f>IF(ISBLANK(C45),"",ROW()-1)</f>
        <v/>
      </c>
      <c r="B45" s="13">
        <f>IF(ISBLANK(C45),"","DIG-"&amp;MID(F45,SEARCH("(",F45)+1,3)&amp;"-"&amp;MID(G45,SEARCH("(",G45)+1,3)&amp;"-"&amp;UPPER(LEFT(TRIM(RIGHT(SUBSTITUTE(TRIM(D45)," ",REPT(" ",100)),100)),3))&amp;"-"&amp;TEXT(A45,"000"))</f>
        <v/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5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A46" s="13">
        <f>IF(ISBLANK(C46),"",ROW()-1)</f>
        <v/>
      </c>
      <c r="B46" s="13">
        <f>IF(ISBLANK(C46),"","DIG-"&amp;MID(F46,SEARCH("(",F46)+1,3)&amp;"-"&amp;MID(G46,SEARCH("(",G46)+1,3)&amp;"-"&amp;UPPER(LEFT(TRIM(RIGHT(SUBSTITUTE(TRIM(D46)," ",REPT(" ",100)),100)),3))&amp;"-"&amp;TEXT(A46,"000"))</f>
        <v/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15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</row>
    <row r="47">
      <c r="A47" s="13">
        <f>IF(ISBLANK(C47),"",ROW()-1)</f>
        <v/>
      </c>
      <c r="B47" s="13">
        <f>IF(ISBLANK(C47),"","DIG-"&amp;MID(F47,SEARCH("(",F47)+1,3)&amp;"-"&amp;MID(G47,SEARCH("(",G47)+1,3)&amp;"-"&amp;UPPER(LEFT(TRIM(RIGHT(SUBSTITUTE(TRIM(D47)," ",REPT(" ",100)),100)),3))&amp;"-"&amp;TEXT(A47,"000"))</f>
        <v/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15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</row>
    <row r="48">
      <c r="A48" s="13">
        <f>IF(ISBLANK(C48),"",ROW()-1)</f>
        <v/>
      </c>
      <c r="B48" s="13">
        <f>IF(ISBLANK(C48),"","DIG-"&amp;MID(F48,SEARCH("(",F48)+1,3)&amp;"-"&amp;MID(G48,SEARCH("(",G48)+1,3)&amp;"-"&amp;UPPER(LEFT(TRIM(RIGHT(SUBSTITUTE(TRIM(D48)," ",REPT(" ",100)),100)),3))&amp;"-"&amp;TEXT(A48,"000"))</f>
        <v/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15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</row>
    <row r="49">
      <c r="A49" s="13">
        <f>IF(ISBLANK(C49),"",ROW()-1)</f>
        <v/>
      </c>
      <c r="B49" s="13">
        <f>IF(ISBLANK(C49),"","DIG-"&amp;MID(F49,SEARCH("(",F49)+1,3)&amp;"-"&amp;MID(G49,SEARCH("(",G49)+1,3)&amp;"-"&amp;UPPER(LEFT(TRIM(RIGHT(SUBSTITUTE(TRIM(D49)," ",REPT(" ",100)),100)),3))&amp;"-"&amp;TEXT(A49,"000"))</f>
        <v/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15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</row>
    <row r="50">
      <c r="A50" s="13">
        <f>IF(ISBLANK(C50),"",ROW()-1)</f>
        <v/>
      </c>
      <c r="B50" s="13">
        <f>IF(ISBLANK(C50),"","DIG-"&amp;MID(F50,SEARCH("(",F50)+1,3)&amp;"-"&amp;MID(G50,SEARCH("(",G50)+1,3)&amp;"-"&amp;UPPER(LEFT(TRIM(RIGHT(SUBSTITUTE(TRIM(D50)," ",REPT(" ",100)),100)),3))&amp;"-"&amp;TEXT(A50,"000"))</f>
        <v/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15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</row>
    <row r="51">
      <c r="A51" s="13">
        <f>IF(ISBLANK(C51),"",ROW()-1)</f>
        <v/>
      </c>
      <c r="B51" s="13">
        <f>IF(ISBLANK(C51),"","DIG-"&amp;MID(F51,SEARCH("(",F51)+1,3)&amp;"-"&amp;MID(G51,SEARCH("(",G51)+1,3)&amp;"-"&amp;UPPER(LEFT(TRIM(RIGHT(SUBSTITUTE(TRIM(D51)," ",REPT(" ",100)),100)),3))&amp;"-"&amp;TEXT(A51,"000"))</f>
        <v/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15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</row>
    <row r="52">
      <c r="A52" s="13">
        <f>IF(ISBLANK(C52),"",ROW()-1)</f>
        <v/>
      </c>
      <c r="B52" s="13">
        <f>IF(ISBLANK(C52),"","DIG-"&amp;MID(F52,SEARCH("(",F52)+1,3)&amp;"-"&amp;MID(G52,SEARCH("(",G52)+1,3)&amp;"-"&amp;UPPER(LEFT(TRIM(RIGHT(SUBSTITUTE(TRIM(D52)," ",REPT(" ",100)),100)),3))&amp;"-"&amp;TEXT(A52,"000"))</f>
        <v/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15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</row>
    <row r="53">
      <c r="A53" s="13">
        <f>IF(ISBLANK(C53),"",ROW()-1)</f>
        <v/>
      </c>
      <c r="B53" s="13">
        <f>IF(ISBLANK(C53),"","DIG-"&amp;MID(F53,SEARCH("(",F53)+1,3)&amp;"-"&amp;MID(G53,SEARCH("(",G53)+1,3)&amp;"-"&amp;UPPER(LEFT(TRIM(RIGHT(SUBSTITUTE(TRIM(D53)," ",REPT(" ",100)),100)),3))&amp;"-"&amp;TEXT(A53,"000"))</f>
        <v/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15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</row>
    <row r="54">
      <c r="A54" s="13">
        <f>IF(ISBLANK(C54),"",ROW()-1)</f>
        <v/>
      </c>
      <c r="B54" s="13">
        <f>IF(ISBLANK(C54),"","DIG-"&amp;MID(F54,SEARCH("(",F54)+1,3)&amp;"-"&amp;MID(G54,SEARCH("(",G54)+1,3)&amp;"-"&amp;UPPER(LEFT(TRIM(RIGHT(SUBSTITUTE(TRIM(D54)," ",REPT(" ",100)),100)),3))&amp;"-"&amp;TEXT(A54,"000"))</f>
        <v/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15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</row>
    <row r="55">
      <c r="A55" s="13">
        <f>IF(ISBLANK(C55),"",ROW()-1)</f>
        <v/>
      </c>
      <c r="B55" s="13">
        <f>IF(ISBLANK(C55),"","DIG-"&amp;MID(F55,SEARCH("(",F55)+1,3)&amp;"-"&amp;MID(G55,SEARCH("(",G55)+1,3)&amp;"-"&amp;UPPER(LEFT(TRIM(RIGHT(SUBSTITUTE(TRIM(D55)," ",REPT(" ",100)),100)),3))&amp;"-"&amp;TEXT(A55,"000"))</f>
        <v/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15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</row>
    <row r="56">
      <c r="A56" s="13">
        <f>IF(ISBLANK(C56),"",ROW()-1)</f>
        <v/>
      </c>
      <c r="B56" s="13">
        <f>IF(ISBLANK(C56),"","DIG-"&amp;MID(F56,SEARCH("(",F56)+1,3)&amp;"-"&amp;MID(G56,SEARCH("(",G56)+1,3)&amp;"-"&amp;UPPER(LEFT(TRIM(RIGHT(SUBSTITUTE(TRIM(D56)," ",REPT(" ",100)),100)),3))&amp;"-"&amp;TEXT(A56,"000"))</f>
        <v/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15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</row>
    <row r="57">
      <c r="A57" s="13">
        <f>IF(ISBLANK(C57),"",ROW()-1)</f>
        <v/>
      </c>
      <c r="B57" s="13">
        <f>IF(ISBLANK(C57),"","DIG-"&amp;MID(F57,SEARCH("(",F57)+1,3)&amp;"-"&amp;MID(G57,SEARCH("(",G57)+1,3)&amp;"-"&amp;UPPER(LEFT(TRIM(RIGHT(SUBSTITUTE(TRIM(D57)," ",REPT(" ",100)),100)),3))&amp;"-"&amp;TEXT(A57,"000"))</f>
        <v/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15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</row>
    <row r="58">
      <c r="A58" s="13">
        <f>IF(ISBLANK(C58),"",ROW()-1)</f>
        <v/>
      </c>
      <c r="B58" s="13">
        <f>IF(ISBLANK(C58),"","DIG-"&amp;MID(F58,SEARCH("(",F58)+1,3)&amp;"-"&amp;MID(G58,SEARCH("(",G58)+1,3)&amp;"-"&amp;UPPER(LEFT(TRIM(RIGHT(SUBSTITUTE(TRIM(D58)," ",REPT(" ",100)),100)),3))&amp;"-"&amp;TEXT(A58,"000"))</f>
        <v/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15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</row>
    <row r="59">
      <c r="A59" s="13">
        <f>IF(ISBLANK(C59),"",ROW()-1)</f>
        <v/>
      </c>
      <c r="B59" s="13">
        <f>IF(ISBLANK(C59),"","DIG-"&amp;MID(F59,SEARCH("(",F59)+1,3)&amp;"-"&amp;MID(G59,SEARCH("(",G59)+1,3)&amp;"-"&amp;UPPER(LEFT(TRIM(RIGHT(SUBSTITUTE(TRIM(D59)," ",REPT(" ",100)),100)),3))&amp;"-"&amp;TEXT(A59,"000"))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15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</row>
    <row r="60">
      <c r="A60" s="13">
        <f>IF(ISBLANK(C60),"",ROW()-1)</f>
        <v/>
      </c>
      <c r="B60" s="13">
        <f>IF(ISBLANK(C60),"","DIG-"&amp;MID(F60,SEARCH("(",F60)+1,3)&amp;"-"&amp;MID(G60,SEARCH("(",G60)+1,3)&amp;"-"&amp;UPPER(LEFT(TRIM(RIGHT(SUBSTITUTE(TRIM(D60)," ",REPT(" ",100)),100)),3))&amp;"-"&amp;TEXT(A60,"000"))</f>
        <v/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5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</row>
    <row r="61">
      <c r="A61" s="13">
        <f>IF(ISBLANK(C61),"",ROW()-1)</f>
        <v/>
      </c>
      <c r="B61" s="13">
        <f>IF(ISBLANK(C61),"","DIG-"&amp;MID(F61,SEARCH("(",F61)+1,3)&amp;"-"&amp;MID(G61,SEARCH("(",G61)+1,3)&amp;"-"&amp;UPPER(LEFT(TRIM(RIGHT(SUBSTITUTE(TRIM(D61)," ",REPT(" ",100)),100)),3))&amp;"-"&amp;TEXT(A61,"000"))</f>
        <v/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15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</row>
    <row r="62">
      <c r="A62" s="13">
        <f>IF(ISBLANK(C62),"",ROW()-1)</f>
        <v/>
      </c>
      <c r="B62" s="13">
        <f>IF(ISBLANK(C62),"","DIG-"&amp;MID(F62,SEARCH("(",F62)+1,3)&amp;"-"&amp;MID(G62,SEARCH("(",G62)+1,3)&amp;"-"&amp;UPPER(LEFT(TRIM(RIGHT(SUBSTITUTE(TRIM(D62)," ",REPT(" ",100)),100)),3))&amp;"-"&amp;TEXT(A62,"000"))</f>
        <v/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15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</row>
    <row r="63">
      <c r="A63" s="13">
        <f>IF(ISBLANK(C63),"",ROW()-1)</f>
        <v/>
      </c>
      <c r="B63" s="13">
        <f>IF(ISBLANK(C63),"","DIG-"&amp;MID(F63,SEARCH("(",F63)+1,3)&amp;"-"&amp;MID(G63,SEARCH("(",G63)+1,3)&amp;"-"&amp;UPPER(LEFT(TRIM(RIGHT(SUBSTITUTE(TRIM(D63)," ",REPT(" ",100)),100)),3))&amp;"-"&amp;TEXT(A63,"000"))</f>
        <v/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15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</row>
    <row r="64">
      <c r="A64" s="13">
        <f>IF(ISBLANK(C64),"",ROW()-1)</f>
        <v/>
      </c>
      <c r="B64" s="13">
        <f>IF(ISBLANK(C64),"","DIG-"&amp;MID(F64,SEARCH("(",F64)+1,3)&amp;"-"&amp;MID(G64,SEARCH("(",G64)+1,3)&amp;"-"&amp;UPPER(LEFT(TRIM(RIGHT(SUBSTITUTE(TRIM(D64)," ",REPT(" ",100)),100)),3))&amp;"-"&amp;TEXT(A64,"000"))</f>
        <v/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15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</row>
    <row r="65">
      <c r="A65" s="13">
        <f>IF(ISBLANK(C65),"",ROW()-1)</f>
        <v/>
      </c>
      <c r="B65" s="13">
        <f>IF(ISBLANK(C65),"","DIG-"&amp;MID(F65,SEARCH("(",F65)+1,3)&amp;"-"&amp;MID(G65,SEARCH("(",G65)+1,3)&amp;"-"&amp;UPPER(LEFT(TRIM(RIGHT(SUBSTITUTE(TRIM(D65)," ",REPT(" ",100)),100)),3))&amp;"-"&amp;TEXT(A65,"000"))</f>
        <v/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15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</row>
    <row r="66">
      <c r="A66" s="13">
        <f>IF(ISBLANK(C66),"",ROW()-1)</f>
        <v/>
      </c>
      <c r="B66" s="13">
        <f>IF(ISBLANK(C66),"","DIG-"&amp;MID(F66,SEARCH("(",F66)+1,3)&amp;"-"&amp;MID(G66,SEARCH("(",G66)+1,3)&amp;"-"&amp;UPPER(LEFT(TRIM(RIGHT(SUBSTITUTE(TRIM(D66)," ",REPT(" ",100)),100)),3))&amp;"-"&amp;TEXT(A66,"000"))</f>
        <v/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15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</row>
    <row r="67">
      <c r="A67" s="13">
        <f>IF(ISBLANK(C67),"",ROW()-1)</f>
        <v/>
      </c>
      <c r="B67" s="13">
        <f>IF(ISBLANK(C67),"","DIG-"&amp;MID(F67,SEARCH("(",F67)+1,3)&amp;"-"&amp;MID(G67,SEARCH("(",G67)+1,3)&amp;"-"&amp;UPPER(LEFT(TRIM(RIGHT(SUBSTITUTE(TRIM(D67)," ",REPT(" ",100)),100)),3))&amp;"-"&amp;TEXT(A67,"000"))</f>
        <v/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15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</row>
    <row r="68">
      <c r="A68" s="13">
        <f>IF(ISBLANK(C68),"",ROW()-1)</f>
        <v/>
      </c>
      <c r="B68" s="13">
        <f>IF(ISBLANK(C68),"","DIG-"&amp;MID(F68,SEARCH("(",F68)+1,3)&amp;"-"&amp;MID(G68,SEARCH("(",G68)+1,3)&amp;"-"&amp;UPPER(LEFT(TRIM(RIGHT(SUBSTITUTE(TRIM(D68)," ",REPT(" ",100)),100)),3))&amp;"-"&amp;TEXT(A68,"000"))</f>
        <v/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15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</row>
    <row r="69">
      <c r="A69" s="13">
        <f>IF(ISBLANK(C69),"",ROW()-1)</f>
        <v/>
      </c>
      <c r="B69" s="13">
        <f>IF(ISBLANK(C69),"","DIG-"&amp;MID(F69,SEARCH("(",F69)+1,3)&amp;"-"&amp;MID(G69,SEARCH("(",G69)+1,3)&amp;"-"&amp;UPPER(LEFT(TRIM(RIGHT(SUBSTITUTE(TRIM(D69)," ",REPT(" ",100)),100)),3))&amp;"-"&amp;TEXT(A69,"000"))</f>
        <v/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15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</row>
    <row r="70">
      <c r="A70" s="13">
        <f>IF(ISBLANK(C70),"",ROW()-1)</f>
        <v/>
      </c>
      <c r="B70" s="13">
        <f>IF(ISBLANK(C70),"","DIG-"&amp;MID(F70,SEARCH("(",F70)+1,3)&amp;"-"&amp;MID(G70,SEARCH("(",G70)+1,3)&amp;"-"&amp;UPPER(LEFT(TRIM(RIGHT(SUBSTITUTE(TRIM(D70)," ",REPT(" ",100)),100)),3))&amp;"-"&amp;TEXT(A70,"000"))</f>
        <v/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15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</row>
    <row r="71">
      <c r="A71" s="13">
        <f>IF(ISBLANK(C71),"",ROW()-1)</f>
        <v/>
      </c>
      <c r="B71" s="13">
        <f>IF(ISBLANK(C71),"","DIG-"&amp;MID(F71,SEARCH("(",F71)+1,3)&amp;"-"&amp;MID(G71,SEARCH("(",G71)+1,3)&amp;"-"&amp;UPPER(LEFT(TRIM(RIGHT(SUBSTITUTE(TRIM(D71)," ",REPT(" ",100)),100)),3))&amp;"-"&amp;TEXT(A71,"000"))</f>
        <v/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15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</row>
    <row r="72">
      <c r="A72" s="13">
        <f>IF(ISBLANK(C72),"",ROW()-1)</f>
        <v/>
      </c>
      <c r="B72" s="13">
        <f>IF(ISBLANK(C72),"","DIG-"&amp;MID(F72,SEARCH("(",F72)+1,3)&amp;"-"&amp;MID(G72,SEARCH("(",G72)+1,3)&amp;"-"&amp;UPPER(LEFT(TRIM(RIGHT(SUBSTITUTE(TRIM(D72)," ",REPT(" ",100)),100)),3))&amp;"-"&amp;TEXT(A72,"000"))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15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</row>
    <row r="73">
      <c r="A73" s="13">
        <f>IF(ISBLANK(C73),"",ROW()-1)</f>
        <v/>
      </c>
      <c r="B73" s="13">
        <f>IF(ISBLANK(C73),"","DIG-"&amp;MID(F73,SEARCH("(",F73)+1,3)&amp;"-"&amp;MID(G73,SEARCH("(",G73)+1,3)&amp;"-"&amp;UPPER(LEFT(TRIM(RIGHT(SUBSTITUTE(TRIM(D73)," ",REPT(" ",100)),100)),3))&amp;"-"&amp;TEXT(A73,"000"))</f>
        <v/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15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</row>
    <row r="74">
      <c r="A74" s="13">
        <f>IF(ISBLANK(C74),"",ROW()-1)</f>
        <v/>
      </c>
      <c r="B74" s="13">
        <f>IF(ISBLANK(C74),"","DIG-"&amp;MID(F74,SEARCH("(",F74)+1,3)&amp;"-"&amp;MID(G74,SEARCH("(",G74)+1,3)&amp;"-"&amp;UPPER(LEFT(TRIM(RIGHT(SUBSTITUTE(TRIM(D74)," ",REPT(" ",100)),100)),3))&amp;"-"&amp;TEXT(A74,"000"))</f>
        <v/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15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</row>
    <row r="75">
      <c r="A75" s="13">
        <f>IF(ISBLANK(C75),"",ROW()-1)</f>
        <v/>
      </c>
      <c r="B75" s="13">
        <f>IF(ISBLANK(C75),"","DIG-"&amp;MID(F75,SEARCH("(",F75)+1,3)&amp;"-"&amp;MID(G75,SEARCH("(",G75)+1,3)&amp;"-"&amp;UPPER(LEFT(TRIM(RIGHT(SUBSTITUTE(TRIM(D75)," ",REPT(" ",100)),100)),3))&amp;"-"&amp;TEXT(A75,"000"))</f>
        <v/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15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</row>
    <row r="76">
      <c r="A76" s="13">
        <f>IF(ISBLANK(C76),"",ROW()-1)</f>
        <v/>
      </c>
      <c r="B76" s="13">
        <f>IF(ISBLANK(C76),"","DIG-"&amp;MID(F76,SEARCH("(",F76)+1,3)&amp;"-"&amp;MID(G76,SEARCH("(",G76)+1,3)&amp;"-"&amp;UPPER(LEFT(TRIM(RIGHT(SUBSTITUTE(TRIM(D76)," ",REPT(" ",100)),100)),3))&amp;"-"&amp;TEXT(A76,"000"))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15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</row>
    <row r="77">
      <c r="A77" s="13">
        <f>IF(ISBLANK(C77),"",ROW()-1)</f>
        <v/>
      </c>
      <c r="B77" s="13">
        <f>IF(ISBLANK(C77),"","DIG-"&amp;MID(F77,SEARCH("(",F77)+1,3)&amp;"-"&amp;MID(G77,SEARCH("(",G77)+1,3)&amp;"-"&amp;UPPER(LEFT(TRIM(RIGHT(SUBSTITUTE(TRIM(D77)," ",REPT(" ",100)),100)),3))&amp;"-"&amp;TEXT(A77,"000"))</f>
        <v/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15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</row>
    <row r="78">
      <c r="A78" s="13">
        <f>IF(ISBLANK(C78),"",ROW()-1)</f>
        <v/>
      </c>
      <c r="B78" s="13">
        <f>IF(ISBLANK(C78),"","DIG-"&amp;MID(F78,SEARCH("(",F78)+1,3)&amp;"-"&amp;MID(G78,SEARCH("(",G78)+1,3)&amp;"-"&amp;UPPER(LEFT(TRIM(RIGHT(SUBSTITUTE(TRIM(D78)," ",REPT(" ",100)),100)),3))&amp;"-"&amp;TEXT(A78,"000"))</f>
        <v/>
      </c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15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</row>
    <row r="79">
      <c r="A79" s="13">
        <f>IF(ISBLANK(C79),"",ROW()-1)</f>
        <v/>
      </c>
      <c r="B79" s="13">
        <f>IF(ISBLANK(C79),"","DIG-"&amp;MID(F79,SEARCH("(",F79)+1,3)&amp;"-"&amp;MID(G79,SEARCH("(",G79)+1,3)&amp;"-"&amp;UPPER(LEFT(TRIM(RIGHT(SUBSTITUTE(TRIM(D79)," ",REPT(" ",100)),100)),3))&amp;"-"&amp;TEXT(A79,"000"))</f>
        <v/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15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</row>
    <row r="80">
      <c r="A80" s="13">
        <f>IF(ISBLANK(C80),"",ROW()-1)</f>
        <v/>
      </c>
      <c r="B80" s="13">
        <f>IF(ISBLANK(C80),"","DIG-"&amp;MID(F80,SEARCH("(",F80)+1,3)&amp;"-"&amp;MID(G80,SEARCH("(",G80)+1,3)&amp;"-"&amp;UPPER(LEFT(TRIM(RIGHT(SUBSTITUTE(TRIM(D80)," ",REPT(" ",100)),100)),3))&amp;"-"&amp;TEXT(A80,"000"))</f>
        <v/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15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</row>
    <row r="81">
      <c r="A81" s="13">
        <f>IF(ISBLANK(C81),"",ROW()-1)</f>
        <v/>
      </c>
      <c r="B81" s="13">
        <f>IF(ISBLANK(C81),"","DIG-"&amp;MID(F81,SEARCH("(",F81)+1,3)&amp;"-"&amp;MID(G81,SEARCH("(",G81)+1,3)&amp;"-"&amp;UPPER(LEFT(TRIM(RIGHT(SUBSTITUTE(TRIM(D81)," ",REPT(" ",100)),100)),3))&amp;"-"&amp;TEXT(A81,"000"))</f>
        <v/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15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</row>
    <row r="82">
      <c r="A82" s="13">
        <f>IF(ISBLANK(C82),"",ROW()-1)</f>
        <v/>
      </c>
      <c r="B82" s="13">
        <f>IF(ISBLANK(C82),"","DIG-"&amp;MID(F82,SEARCH("(",F82)+1,3)&amp;"-"&amp;MID(G82,SEARCH("(",G82)+1,3)&amp;"-"&amp;UPPER(LEFT(TRIM(RIGHT(SUBSTITUTE(TRIM(D82)," ",REPT(" ",100)),100)),3))&amp;"-"&amp;TEXT(A82,"000"))</f>
        <v/>
      </c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15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</row>
    <row r="83">
      <c r="A83" s="13">
        <f>IF(ISBLANK(C83),"",ROW()-1)</f>
        <v/>
      </c>
      <c r="B83" s="13">
        <f>IF(ISBLANK(C83),"","DIG-"&amp;MID(F83,SEARCH("(",F83)+1,3)&amp;"-"&amp;MID(G83,SEARCH("(",G83)+1,3)&amp;"-"&amp;UPPER(LEFT(TRIM(RIGHT(SUBSTITUTE(TRIM(D83)," ",REPT(" ",100)),100)),3))&amp;"-"&amp;TEXT(A83,"000"))</f>
        <v/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15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</row>
    <row r="84">
      <c r="A84" s="13">
        <f>IF(ISBLANK(C84),"",ROW()-1)</f>
        <v/>
      </c>
      <c r="B84" s="13">
        <f>IF(ISBLANK(C84),"","DIG-"&amp;MID(F84,SEARCH("(",F84)+1,3)&amp;"-"&amp;MID(G84,SEARCH("(",G84)+1,3)&amp;"-"&amp;UPPER(LEFT(TRIM(RIGHT(SUBSTITUTE(TRIM(D84)," ",REPT(" ",100)),100)),3))&amp;"-"&amp;TEXT(A84,"000"))</f>
        <v/>
      </c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15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</row>
    <row r="85">
      <c r="A85" s="13">
        <f>IF(ISBLANK(C85),"",ROW()-1)</f>
        <v/>
      </c>
      <c r="B85" s="13">
        <f>IF(ISBLANK(C85),"","DIG-"&amp;MID(F85,SEARCH("(",F85)+1,3)&amp;"-"&amp;MID(G85,SEARCH("(",G85)+1,3)&amp;"-"&amp;UPPER(LEFT(TRIM(RIGHT(SUBSTITUTE(TRIM(D85)," ",REPT(" ",100)),100)),3))&amp;"-"&amp;TEXT(A85,"000"))</f>
        <v/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15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</row>
    <row r="86">
      <c r="A86" s="13">
        <f>IF(ISBLANK(C86),"",ROW()-1)</f>
        <v/>
      </c>
      <c r="B86" s="13">
        <f>IF(ISBLANK(C86),"","DIG-"&amp;MID(F86,SEARCH("(",F86)+1,3)&amp;"-"&amp;MID(G86,SEARCH("(",G86)+1,3)&amp;"-"&amp;UPPER(LEFT(TRIM(RIGHT(SUBSTITUTE(TRIM(D86)," ",REPT(" ",100)),100)),3))&amp;"-"&amp;TEXT(A86,"000"))</f>
        <v/>
      </c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15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</row>
    <row r="87">
      <c r="A87" s="13">
        <f>IF(ISBLANK(C87),"",ROW()-1)</f>
        <v/>
      </c>
      <c r="B87" s="13">
        <f>IF(ISBLANK(C87),"","DIG-"&amp;MID(F87,SEARCH("(",F87)+1,3)&amp;"-"&amp;MID(G87,SEARCH("(",G87)+1,3)&amp;"-"&amp;UPPER(LEFT(TRIM(RIGHT(SUBSTITUTE(TRIM(D87)," ",REPT(" ",100)),100)),3))&amp;"-"&amp;TEXT(A87,"000"))</f>
        <v/>
      </c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15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</row>
    <row r="88">
      <c r="A88" s="13">
        <f>IF(ISBLANK(C88),"",ROW()-1)</f>
        <v/>
      </c>
      <c r="B88" s="13">
        <f>IF(ISBLANK(C88),"","DIG-"&amp;MID(F88,SEARCH("(",F88)+1,3)&amp;"-"&amp;MID(G88,SEARCH("(",G88)+1,3)&amp;"-"&amp;UPPER(LEFT(TRIM(RIGHT(SUBSTITUTE(TRIM(D88)," ",REPT(" ",100)),100)),3))&amp;"-"&amp;TEXT(A88,"000"))</f>
        <v/>
      </c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15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</row>
    <row r="89">
      <c r="A89" s="13">
        <f>IF(ISBLANK(C89),"",ROW()-1)</f>
        <v/>
      </c>
      <c r="B89" s="13">
        <f>IF(ISBLANK(C89),"","DIG-"&amp;MID(F89,SEARCH("(",F89)+1,3)&amp;"-"&amp;MID(G89,SEARCH("(",G89)+1,3)&amp;"-"&amp;UPPER(LEFT(TRIM(RIGHT(SUBSTITUTE(TRIM(D89)," ",REPT(" ",100)),100)),3))&amp;"-"&amp;TEXT(A89,"000"))</f>
        <v/>
      </c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15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</row>
    <row r="90">
      <c r="A90" s="13">
        <f>IF(ISBLANK(C90),"",ROW()-1)</f>
        <v/>
      </c>
      <c r="B90" s="13">
        <f>IF(ISBLANK(C90),"","DIG-"&amp;MID(F90,SEARCH("(",F90)+1,3)&amp;"-"&amp;MID(G90,SEARCH("(",G90)+1,3)&amp;"-"&amp;UPPER(LEFT(TRIM(RIGHT(SUBSTITUTE(TRIM(D90)," ",REPT(" ",100)),100)),3))&amp;"-"&amp;TEXT(A90,"000"))</f>
        <v/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15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</row>
    <row r="91">
      <c r="A91" s="13">
        <f>IF(ISBLANK(C91),"",ROW()-1)</f>
        <v/>
      </c>
      <c r="B91" s="13">
        <f>IF(ISBLANK(C91),"","DIG-"&amp;MID(F91,SEARCH("(",F91)+1,3)&amp;"-"&amp;MID(G91,SEARCH("(",G91)+1,3)&amp;"-"&amp;UPPER(LEFT(TRIM(RIGHT(SUBSTITUTE(TRIM(D91)," ",REPT(" ",100)),100)),3))&amp;"-"&amp;TEXT(A91,"000"))</f>
        <v/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15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</row>
    <row r="92">
      <c r="A92" s="13">
        <f>IF(ISBLANK(C92),"",ROW()-1)</f>
        <v/>
      </c>
      <c r="B92" s="13">
        <f>IF(ISBLANK(C92),"","DIG-"&amp;MID(F92,SEARCH("(",F92)+1,3)&amp;"-"&amp;MID(G92,SEARCH("(",G92)+1,3)&amp;"-"&amp;UPPER(LEFT(TRIM(RIGHT(SUBSTITUTE(TRIM(D92)," ",REPT(" ",100)),100)),3))&amp;"-"&amp;TEXT(A92,"000"))</f>
        <v/>
      </c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15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</row>
    <row r="93">
      <c r="A93" s="13">
        <f>IF(ISBLANK(C93),"",ROW()-1)</f>
        <v/>
      </c>
      <c r="B93" s="13">
        <f>IF(ISBLANK(C93),"","DIG-"&amp;MID(F93,SEARCH("(",F93)+1,3)&amp;"-"&amp;MID(G93,SEARCH("(",G93)+1,3)&amp;"-"&amp;UPPER(LEFT(TRIM(RIGHT(SUBSTITUTE(TRIM(D93)," ",REPT(" ",100)),100)),3))&amp;"-"&amp;TEXT(A93,"000"))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15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</row>
    <row r="94">
      <c r="A94" s="13">
        <f>IF(ISBLANK(C94),"",ROW()-1)</f>
        <v/>
      </c>
      <c r="B94" s="13">
        <f>IF(ISBLANK(C94),"","DIG-"&amp;MID(F94,SEARCH("(",F94)+1,3)&amp;"-"&amp;MID(G94,SEARCH("(",G94)+1,3)&amp;"-"&amp;UPPER(LEFT(TRIM(RIGHT(SUBSTITUTE(TRIM(D94)," ",REPT(" ",100)),100)),3))&amp;"-"&amp;TEXT(A94,"000"))</f>
        <v/>
      </c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15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</row>
    <row r="95">
      <c r="A95" s="13">
        <f>IF(ISBLANK(C95),"",ROW()-1)</f>
        <v/>
      </c>
      <c r="B95" s="13">
        <f>IF(ISBLANK(C95),"","DIG-"&amp;MID(F95,SEARCH("(",F95)+1,3)&amp;"-"&amp;MID(G95,SEARCH("(",G95)+1,3)&amp;"-"&amp;UPPER(LEFT(TRIM(RIGHT(SUBSTITUTE(TRIM(D95)," ",REPT(" ",100)),100)),3))&amp;"-"&amp;TEXT(A95,"000"))</f>
        <v/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15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</row>
    <row r="96">
      <c r="A96" s="13">
        <f>IF(ISBLANK(C96),"",ROW()-1)</f>
        <v/>
      </c>
      <c r="B96" s="13">
        <f>IF(ISBLANK(C96),"","DIG-"&amp;MID(F96,SEARCH("(",F96)+1,3)&amp;"-"&amp;MID(G96,SEARCH("(",G96)+1,3)&amp;"-"&amp;UPPER(LEFT(TRIM(RIGHT(SUBSTITUTE(TRIM(D96)," ",REPT(" ",100)),100)),3))&amp;"-"&amp;TEXT(A96,"000"))</f>
        <v/>
      </c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15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</row>
    <row r="97">
      <c r="A97" s="13">
        <f>IF(ISBLANK(C97),"",ROW()-1)</f>
        <v/>
      </c>
      <c r="B97" s="13">
        <f>IF(ISBLANK(C97),"","DIG-"&amp;MID(F97,SEARCH("(",F97)+1,3)&amp;"-"&amp;MID(G97,SEARCH("(",G97)+1,3)&amp;"-"&amp;UPPER(LEFT(TRIM(RIGHT(SUBSTITUTE(TRIM(D97)," ",REPT(" ",100)),100)),3))&amp;"-"&amp;TEXT(A97,"000"))</f>
        <v/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15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</row>
    <row r="98">
      <c r="A98" s="13">
        <f>IF(ISBLANK(C98),"",ROW()-1)</f>
        <v/>
      </c>
      <c r="B98" s="13">
        <f>IF(ISBLANK(C98),"","DIG-"&amp;MID(F98,SEARCH("(",F98)+1,3)&amp;"-"&amp;MID(G98,SEARCH("(",G98)+1,3)&amp;"-"&amp;UPPER(LEFT(TRIM(RIGHT(SUBSTITUTE(TRIM(D98)," ",REPT(" ",100)),100)),3))&amp;"-"&amp;TEXT(A98,"000"))</f>
        <v/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15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</row>
    <row r="99">
      <c r="A99" s="13">
        <f>IF(ISBLANK(C99),"",ROW()-1)</f>
        <v/>
      </c>
      <c r="B99" s="13">
        <f>IF(ISBLANK(C99),"","DIG-"&amp;MID(F99,SEARCH("(",F99)+1,3)&amp;"-"&amp;MID(G99,SEARCH("(",G99)+1,3)&amp;"-"&amp;UPPER(LEFT(TRIM(RIGHT(SUBSTITUTE(TRIM(D99)," ",REPT(" ",100)),100)),3))&amp;"-"&amp;TEXT(A99,"000"))</f>
        <v/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15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</row>
    <row r="100">
      <c r="A100" s="13">
        <f>IF(ISBLANK(C100),"",ROW()-1)</f>
        <v/>
      </c>
      <c r="B100" s="13">
        <f>IF(ISBLANK(C100),"","DIG-"&amp;MID(F100,SEARCH("(",F100)+1,3)&amp;"-"&amp;MID(G100,SEARCH("(",G100)+1,3)&amp;"-"&amp;UPPER(LEFT(TRIM(RIGHT(SUBSTITUTE(TRIM(D100)," ",REPT(" ",100)),100)),3))&amp;"-"&amp;TEXT(A100,"000"))</f>
        <v/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15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</row>
    <row r="101">
      <c r="A101" s="13">
        <f>IF(ISBLANK(C101),"",ROW()-1)</f>
        <v/>
      </c>
      <c r="B101" s="13">
        <f>IF(ISBLANK(C101),"","DIG-"&amp;MID(F101,SEARCH("(",F101)+1,3)&amp;"-"&amp;MID(G101,SEARCH("(",G101)+1,3)&amp;"-"&amp;UPPER(LEFT(TRIM(RIGHT(SUBSTITUTE(TRIM(D101)," ",REPT(" ",100)),100)),3))&amp;"-"&amp;TEXT(A101,"000"))</f>
        <v/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15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</row>
    <row r="102">
      <c r="A102" s="13">
        <f>IF(ISBLANK(C102),"",ROW()-1)</f>
        <v/>
      </c>
      <c r="B102" s="13">
        <f>IF(ISBLANK(C102),"","DIG-"&amp;MID(F102,SEARCH("(",F102)+1,3)&amp;"-"&amp;MID(G102,SEARCH("(",G102)+1,3)&amp;"-"&amp;UPPER(LEFT(TRIM(RIGHT(SUBSTITUTE(TRIM(D102)," ",REPT(" ",100)),100)),3))&amp;"-"&amp;TEXT(A102,"000"))</f>
        <v/>
      </c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15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</row>
    <row r="103">
      <c r="A103" s="13">
        <f>IF(ISBLANK(C103),"",ROW()-1)</f>
        <v/>
      </c>
      <c r="B103" s="13">
        <f>IF(ISBLANK(C103),"","DIG-"&amp;MID(F103,SEARCH("(",F103)+1,3)&amp;"-"&amp;MID(G103,SEARCH("(",G103)+1,3)&amp;"-"&amp;UPPER(LEFT(TRIM(RIGHT(SUBSTITUTE(TRIM(D103)," ",REPT(" ",100)),100)),3))&amp;"-"&amp;TEXT(A103,"000"))</f>
        <v/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15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</row>
    <row r="104">
      <c r="A104" s="13">
        <f>IF(ISBLANK(C104),"",ROW()-1)</f>
        <v/>
      </c>
      <c r="B104" s="13">
        <f>IF(ISBLANK(C104),"","DIG-"&amp;MID(F104,SEARCH("(",F104)+1,3)&amp;"-"&amp;MID(G104,SEARCH("(",G104)+1,3)&amp;"-"&amp;UPPER(LEFT(TRIM(RIGHT(SUBSTITUTE(TRIM(D104)," ",REPT(" ",100)),100)),3))&amp;"-"&amp;TEXT(A104,"000"))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15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</row>
    <row r="105">
      <c r="A105" s="13">
        <f>IF(ISBLANK(C105),"",ROW()-1)</f>
        <v/>
      </c>
      <c r="B105" s="13">
        <f>IF(ISBLANK(C105),"","DIG-"&amp;MID(F105,SEARCH("(",F105)+1,3)&amp;"-"&amp;MID(G105,SEARCH("(",G105)+1,3)&amp;"-"&amp;UPPER(LEFT(TRIM(RIGHT(SUBSTITUTE(TRIM(D105)," ",REPT(" ",100)),100)),3))&amp;"-"&amp;TEXT(A105,"000"))</f>
        <v/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15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</row>
    <row r="106">
      <c r="A106" s="13">
        <f>IF(ISBLANK(C106),"",ROW()-1)</f>
        <v/>
      </c>
      <c r="B106" s="13">
        <f>IF(ISBLANK(C106),"","DIG-"&amp;MID(F106,SEARCH("(",F106)+1,3)&amp;"-"&amp;MID(G106,SEARCH("(",G106)+1,3)&amp;"-"&amp;UPPER(LEFT(TRIM(RIGHT(SUBSTITUTE(TRIM(D106)," ",REPT(" ",100)),100)),3))&amp;"-"&amp;TEXT(A106,"000"))</f>
        <v/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15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</row>
    <row r="107">
      <c r="A107" s="13">
        <f>IF(ISBLANK(C107),"",ROW()-1)</f>
        <v/>
      </c>
      <c r="B107" s="13">
        <f>IF(ISBLANK(C107),"","DIG-"&amp;MID(F107,SEARCH("(",F107)+1,3)&amp;"-"&amp;MID(G107,SEARCH("(",G107)+1,3)&amp;"-"&amp;UPPER(LEFT(TRIM(RIGHT(SUBSTITUTE(TRIM(D107)," ",REPT(" ",100)),100)),3))&amp;"-"&amp;TEXT(A107,"000"))</f>
        <v/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15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</row>
    <row r="108">
      <c r="A108" s="13">
        <f>IF(ISBLANK(C108),"",ROW()-1)</f>
        <v/>
      </c>
      <c r="B108" s="13">
        <f>IF(ISBLANK(C108),"","DIG-"&amp;MID(F108,SEARCH("(",F108)+1,3)&amp;"-"&amp;MID(G108,SEARCH("(",G108)+1,3)&amp;"-"&amp;UPPER(LEFT(TRIM(RIGHT(SUBSTITUTE(TRIM(D108)," ",REPT(" ",100)),100)),3))&amp;"-"&amp;TEXT(A108,"000"))</f>
        <v/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15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</row>
    <row r="109">
      <c r="A109" s="13">
        <f>IF(ISBLANK(C109),"",ROW()-1)</f>
        <v/>
      </c>
      <c r="B109" s="13">
        <f>IF(ISBLANK(C109),"","DIG-"&amp;MID(F109,SEARCH("(",F109)+1,3)&amp;"-"&amp;MID(G109,SEARCH("(",G109)+1,3)&amp;"-"&amp;UPPER(LEFT(TRIM(RIGHT(SUBSTITUTE(TRIM(D109)," ",REPT(" ",100)),100)),3))&amp;"-"&amp;TEXT(A109,"000"))</f>
        <v/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15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</row>
    <row r="110">
      <c r="A110" s="13">
        <f>IF(ISBLANK(C110),"",ROW()-1)</f>
        <v/>
      </c>
      <c r="B110" s="13">
        <f>IF(ISBLANK(C110),"","DIG-"&amp;MID(F110,SEARCH("(",F110)+1,3)&amp;"-"&amp;MID(G110,SEARCH("(",G110)+1,3)&amp;"-"&amp;UPPER(LEFT(TRIM(RIGHT(SUBSTITUTE(TRIM(D110)," ",REPT(" ",100)),100)),3))&amp;"-"&amp;TEXT(A110,"000"))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15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</row>
    <row r="111">
      <c r="A111" s="13">
        <f>IF(ISBLANK(C111),"",ROW()-1)</f>
        <v/>
      </c>
      <c r="B111" s="13">
        <f>IF(ISBLANK(C111),"","DIG-"&amp;MID(F111,SEARCH("(",F111)+1,3)&amp;"-"&amp;MID(G111,SEARCH("(",G111)+1,3)&amp;"-"&amp;UPPER(LEFT(TRIM(RIGHT(SUBSTITUTE(TRIM(D111)," ",REPT(" ",100)),100)),3))&amp;"-"&amp;TEXT(A111,"000"))</f>
        <v/>
      </c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15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</row>
    <row r="112">
      <c r="A112" s="13">
        <f>IF(ISBLANK(C112),"",ROW()-1)</f>
        <v/>
      </c>
      <c r="B112" s="13">
        <f>IF(ISBLANK(C112),"","DIG-"&amp;MID(F112,SEARCH("(",F112)+1,3)&amp;"-"&amp;MID(G112,SEARCH("(",G112)+1,3)&amp;"-"&amp;UPPER(LEFT(TRIM(RIGHT(SUBSTITUTE(TRIM(D112)," ",REPT(" ",100)),100)),3))&amp;"-"&amp;TEXT(A112,"000"))</f>
        <v/>
      </c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15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</row>
    <row r="113">
      <c r="A113" s="13">
        <f>IF(ISBLANK(C113),"",ROW()-1)</f>
        <v/>
      </c>
      <c r="B113" s="13">
        <f>IF(ISBLANK(C113),"","DIG-"&amp;MID(F113,SEARCH("(",F113)+1,3)&amp;"-"&amp;MID(G113,SEARCH("(",G113)+1,3)&amp;"-"&amp;UPPER(LEFT(TRIM(RIGHT(SUBSTITUTE(TRIM(D113)," ",REPT(" ",100)),100)),3))&amp;"-"&amp;TEXT(A113,"000"))</f>
        <v/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15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</row>
    <row r="114">
      <c r="A114" s="13">
        <f>IF(ISBLANK(C114),"",ROW()-1)</f>
        <v/>
      </c>
      <c r="B114" s="13">
        <f>IF(ISBLANK(C114),"","DIG-"&amp;MID(F114,SEARCH("(",F114)+1,3)&amp;"-"&amp;MID(G114,SEARCH("(",G114)+1,3)&amp;"-"&amp;UPPER(LEFT(TRIM(RIGHT(SUBSTITUTE(TRIM(D114)," ",REPT(" ",100)),100)),3))&amp;"-"&amp;TEXT(A114,"000"))</f>
        <v/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15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</row>
    <row r="115">
      <c r="A115" s="13">
        <f>IF(ISBLANK(C115),"",ROW()-1)</f>
        <v/>
      </c>
      <c r="B115" s="13">
        <f>IF(ISBLANK(C115),"","DIG-"&amp;MID(F115,SEARCH("(",F115)+1,3)&amp;"-"&amp;MID(G115,SEARCH("(",G115)+1,3)&amp;"-"&amp;UPPER(LEFT(TRIM(RIGHT(SUBSTITUTE(TRIM(D115)," ",REPT(" ",100)),100)),3))&amp;"-"&amp;TEXT(A115,"000"))</f>
        <v/>
      </c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15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</row>
    <row r="116">
      <c r="A116" s="13">
        <f>IF(ISBLANK(C116),"",ROW()-1)</f>
        <v/>
      </c>
      <c r="B116" s="13">
        <f>IF(ISBLANK(C116),"","DIG-"&amp;MID(F116,SEARCH("(",F116)+1,3)&amp;"-"&amp;MID(G116,SEARCH("(",G116)+1,3)&amp;"-"&amp;UPPER(LEFT(TRIM(RIGHT(SUBSTITUTE(TRIM(D116)," ",REPT(" ",100)),100)),3))&amp;"-"&amp;TEXT(A116,"000"))</f>
        <v/>
      </c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15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</row>
    <row r="117">
      <c r="A117" s="13">
        <f>IF(ISBLANK(C117),"",ROW()-1)</f>
        <v/>
      </c>
      <c r="B117" s="13">
        <f>IF(ISBLANK(C117),"","DIG-"&amp;MID(F117,SEARCH("(",F117)+1,3)&amp;"-"&amp;MID(G117,SEARCH("(",G117)+1,3)&amp;"-"&amp;UPPER(LEFT(TRIM(RIGHT(SUBSTITUTE(TRIM(D117)," ",REPT(" ",100)),100)),3))&amp;"-"&amp;TEXT(A117,"000"))</f>
        <v/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15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</row>
    <row r="118">
      <c r="A118" s="13">
        <f>IF(ISBLANK(C118),"",ROW()-1)</f>
        <v/>
      </c>
      <c r="B118" s="13">
        <f>IF(ISBLANK(C118),"","DIG-"&amp;MID(F118,SEARCH("(",F118)+1,3)&amp;"-"&amp;MID(G118,SEARCH("(",G118)+1,3)&amp;"-"&amp;UPPER(LEFT(TRIM(RIGHT(SUBSTITUTE(TRIM(D118)," ",REPT(" ",100)),100)),3))&amp;"-"&amp;TEXT(A118,"000"))</f>
        <v/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15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</row>
    <row r="119">
      <c r="A119" s="13">
        <f>IF(ISBLANK(C119),"",ROW()-1)</f>
        <v/>
      </c>
      <c r="B119" s="13">
        <f>IF(ISBLANK(C119),"","DIG-"&amp;MID(F119,SEARCH("(",F119)+1,3)&amp;"-"&amp;MID(G119,SEARCH("(",G119)+1,3)&amp;"-"&amp;UPPER(LEFT(TRIM(RIGHT(SUBSTITUTE(TRIM(D119)," ",REPT(" ",100)),100)),3))&amp;"-"&amp;TEXT(A119,"000"))</f>
        <v/>
      </c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15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</row>
    <row r="120">
      <c r="A120" s="13">
        <f>IF(ISBLANK(C120),"",ROW()-1)</f>
        <v/>
      </c>
      <c r="B120" s="13">
        <f>IF(ISBLANK(C120),"","DIG-"&amp;MID(F120,SEARCH("(",F120)+1,3)&amp;"-"&amp;MID(G120,SEARCH("(",G120)+1,3)&amp;"-"&amp;UPPER(LEFT(TRIM(RIGHT(SUBSTITUTE(TRIM(D120)," ",REPT(" ",100)),100)),3))&amp;"-"&amp;TEXT(A120,"000"))</f>
        <v/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15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</row>
    <row r="121">
      <c r="A121" s="13">
        <f>IF(ISBLANK(C121),"",ROW()-1)</f>
        <v/>
      </c>
      <c r="B121" s="13">
        <f>IF(ISBLANK(C121),"","DIG-"&amp;MID(F121,SEARCH("(",F121)+1,3)&amp;"-"&amp;MID(G121,SEARCH("(",G121)+1,3)&amp;"-"&amp;UPPER(LEFT(TRIM(RIGHT(SUBSTITUTE(TRIM(D121)," ",REPT(" ",100)),100)),3))&amp;"-"&amp;TEXT(A121,"000"))</f>
        <v/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15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</row>
    <row r="122">
      <c r="A122" s="13">
        <f>IF(ISBLANK(C122),"",ROW()-1)</f>
        <v/>
      </c>
      <c r="B122" s="13">
        <f>IF(ISBLANK(C122),"","DIG-"&amp;MID(F122,SEARCH("(",F122)+1,3)&amp;"-"&amp;MID(G122,SEARCH("(",G122)+1,3)&amp;"-"&amp;UPPER(LEFT(TRIM(RIGHT(SUBSTITUTE(TRIM(D122)," ",REPT(" ",100)),100)),3))&amp;"-"&amp;TEXT(A122,"000"))</f>
        <v/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15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</row>
    <row r="123">
      <c r="A123" s="13">
        <f>IF(ISBLANK(C123),"",ROW()-1)</f>
        <v/>
      </c>
      <c r="B123" s="13">
        <f>IF(ISBLANK(C123),"","DIG-"&amp;MID(F123,SEARCH("(",F123)+1,3)&amp;"-"&amp;MID(G123,SEARCH("(",G123)+1,3)&amp;"-"&amp;UPPER(LEFT(TRIM(RIGHT(SUBSTITUTE(TRIM(D123)," ",REPT(" ",100)),100)),3))&amp;"-"&amp;TEXT(A123,"000"))</f>
        <v/>
      </c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15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</row>
    <row r="124">
      <c r="A124" s="13">
        <f>IF(ISBLANK(C124),"",ROW()-1)</f>
        <v/>
      </c>
      <c r="B124" s="13">
        <f>IF(ISBLANK(C124),"","DIG-"&amp;MID(F124,SEARCH("(",F124)+1,3)&amp;"-"&amp;MID(G124,SEARCH("(",G124)+1,3)&amp;"-"&amp;UPPER(LEFT(TRIM(RIGHT(SUBSTITUTE(TRIM(D124)," ",REPT(" ",100)),100)),3))&amp;"-"&amp;TEXT(A124,"000"))</f>
        <v/>
      </c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15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</row>
    <row r="125">
      <c r="A125" s="13">
        <f>IF(ISBLANK(C125),"",ROW()-1)</f>
        <v/>
      </c>
      <c r="B125" s="13">
        <f>IF(ISBLANK(C125),"","DIG-"&amp;MID(F125,SEARCH("(",F125)+1,3)&amp;"-"&amp;MID(G125,SEARCH("(",G125)+1,3)&amp;"-"&amp;UPPER(LEFT(TRIM(RIGHT(SUBSTITUTE(TRIM(D125)," ",REPT(" ",100)),100)),3))&amp;"-"&amp;TEXT(A125,"000"))</f>
        <v/>
      </c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15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</row>
    <row r="126">
      <c r="A126" s="13">
        <f>IF(ISBLANK(C126),"",ROW()-1)</f>
        <v/>
      </c>
      <c r="B126" s="13">
        <f>IF(ISBLANK(C126),"","DIG-"&amp;MID(F126,SEARCH("(",F126)+1,3)&amp;"-"&amp;MID(G126,SEARCH("(",G126)+1,3)&amp;"-"&amp;UPPER(LEFT(TRIM(RIGHT(SUBSTITUTE(TRIM(D126)," ",REPT(" ",100)),100)),3))&amp;"-"&amp;TEXT(A126,"000"))</f>
        <v/>
      </c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15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</row>
    <row r="127">
      <c r="A127" s="13">
        <f>IF(ISBLANK(C127),"",ROW()-1)</f>
        <v/>
      </c>
      <c r="B127" s="13">
        <f>IF(ISBLANK(C127),"","DIG-"&amp;MID(F127,SEARCH("(",F127)+1,3)&amp;"-"&amp;MID(G127,SEARCH("(",G127)+1,3)&amp;"-"&amp;UPPER(LEFT(TRIM(RIGHT(SUBSTITUTE(TRIM(D127)," ",REPT(" ",100)),100)),3))&amp;"-"&amp;TEXT(A127,"000"))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15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</row>
    <row r="128">
      <c r="A128" s="13">
        <f>IF(ISBLANK(C128),"",ROW()-1)</f>
        <v/>
      </c>
      <c r="B128" s="13">
        <f>IF(ISBLANK(C128),"","DIG-"&amp;MID(F128,SEARCH("(",F128)+1,3)&amp;"-"&amp;MID(G128,SEARCH("(",G128)+1,3)&amp;"-"&amp;UPPER(LEFT(TRIM(RIGHT(SUBSTITUTE(TRIM(D128)," ",REPT(" ",100)),100)),3))&amp;"-"&amp;TEXT(A128,"000"))</f>
        <v/>
      </c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15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</row>
    <row r="129">
      <c r="A129" s="13">
        <f>IF(ISBLANK(C129),"",ROW()-1)</f>
        <v/>
      </c>
      <c r="B129" s="13">
        <f>IF(ISBLANK(C129),"","DIG-"&amp;MID(F129,SEARCH("(",F129)+1,3)&amp;"-"&amp;MID(G129,SEARCH("(",G129)+1,3)&amp;"-"&amp;UPPER(LEFT(TRIM(RIGHT(SUBSTITUTE(TRIM(D129)," ",REPT(" ",100)),100)),3))&amp;"-"&amp;TEXT(A129,"000"))</f>
        <v/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15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</row>
    <row r="130">
      <c r="A130" s="13">
        <f>IF(ISBLANK(C130),"",ROW()-1)</f>
        <v/>
      </c>
      <c r="B130" s="13">
        <f>IF(ISBLANK(C130),"","DIG-"&amp;MID(F130,SEARCH("(",F130)+1,3)&amp;"-"&amp;MID(G130,SEARCH("(",G130)+1,3)&amp;"-"&amp;UPPER(LEFT(TRIM(RIGHT(SUBSTITUTE(TRIM(D130)," ",REPT(" ",100)),100)),3))&amp;"-"&amp;TEXT(A130,"000"))</f>
        <v/>
      </c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15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</row>
    <row r="131">
      <c r="A131" s="13">
        <f>IF(ISBLANK(C131),"",ROW()-1)</f>
        <v/>
      </c>
      <c r="B131" s="13">
        <f>IF(ISBLANK(C131),"","DIG-"&amp;MID(F131,SEARCH("(",F131)+1,3)&amp;"-"&amp;MID(G131,SEARCH("(",G131)+1,3)&amp;"-"&amp;UPPER(LEFT(TRIM(RIGHT(SUBSTITUTE(TRIM(D131)," ",REPT(" ",100)),100)),3))&amp;"-"&amp;TEXT(A131,"000"))</f>
        <v/>
      </c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15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</row>
    <row r="132">
      <c r="A132" s="13">
        <f>IF(ISBLANK(C132),"",ROW()-1)</f>
        <v/>
      </c>
      <c r="B132" s="13">
        <f>IF(ISBLANK(C132),"","DIG-"&amp;MID(F132,SEARCH("(",F132)+1,3)&amp;"-"&amp;MID(G132,SEARCH("(",G132)+1,3)&amp;"-"&amp;UPPER(LEFT(TRIM(RIGHT(SUBSTITUTE(TRIM(D132)," ",REPT(" ",100)),100)),3))&amp;"-"&amp;TEXT(A132,"000"))</f>
        <v/>
      </c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15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</row>
    <row r="133">
      <c r="A133" s="13">
        <f>IF(ISBLANK(C133),"",ROW()-1)</f>
        <v/>
      </c>
      <c r="B133" s="13">
        <f>IF(ISBLANK(C133),"","DIG-"&amp;MID(F133,SEARCH("(",F133)+1,3)&amp;"-"&amp;MID(G133,SEARCH("(",G133)+1,3)&amp;"-"&amp;UPPER(LEFT(TRIM(RIGHT(SUBSTITUTE(TRIM(D133)," ",REPT(" ",100)),100)),3))&amp;"-"&amp;TEXT(A133,"000"))</f>
        <v/>
      </c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15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</row>
    <row r="134">
      <c r="A134" s="13">
        <f>IF(ISBLANK(C134),"",ROW()-1)</f>
        <v/>
      </c>
      <c r="B134" s="13">
        <f>IF(ISBLANK(C134),"","DIG-"&amp;MID(F134,SEARCH("(",F134)+1,3)&amp;"-"&amp;MID(G134,SEARCH("(",G134)+1,3)&amp;"-"&amp;UPPER(LEFT(TRIM(RIGHT(SUBSTITUTE(TRIM(D134)," ",REPT(" ",100)),100)),3))&amp;"-"&amp;TEXT(A134,"000"))</f>
        <v/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15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</row>
    <row r="135">
      <c r="A135" s="13">
        <f>IF(ISBLANK(C135),"",ROW()-1)</f>
        <v/>
      </c>
      <c r="B135" s="13">
        <f>IF(ISBLANK(C135),"","DIG-"&amp;MID(F135,SEARCH("(",F135)+1,3)&amp;"-"&amp;MID(G135,SEARCH("(",G135)+1,3)&amp;"-"&amp;UPPER(LEFT(TRIM(RIGHT(SUBSTITUTE(TRIM(D135)," ",REPT(" ",100)),100)),3))&amp;"-"&amp;TEXT(A135,"000"))</f>
        <v/>
      </c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15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</row>
    <row r="136">
      <c r="A136" s="13">
        <f>IF(ISBLANK(C136),"",ROW()-1)</f>
        <v/>
      </c>
      <c r="B136" s="13">
        <f>IF(ISBLANK(C136),"","DIG-"&amp;MID(F136,SEARCH("(",F136)+1,3)&amp;"-"&amp;MID(G136,SEARCH("(",G136)+1,3)&amp;"-"&amp;UPPER(LEFT(TRIM(RIGHT(SUBSTITUTE(TRIM(D136)," ",REPT(" ",100)),100)),3))&amp;"-"&amp;TEXT(A136,"000"))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15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</row>
    <row r="137">
      <c r="A137" s="13">
        <f>IF(ISBLANK(C137),"",ROW()-1)</f>
        <v/>
      </c>
      <c r="B137" s="13">
        <f>IF(ISBLANK(C137),"","DIG-"&amp;MID(F137,SEARCH("(",F137)+1,3)&amp;"-"&amp;MID(G137,SEARCH("(",G137)+1,3)&amp;"-"&amp;UPPER(LEFT(TRIM(RIGHT(SUBSTITUTE(TRIM(D137)," ",REPT(" ",100)),100)),3))&amp;"-"&amp;TEXT(A137,"000"))</f>
        <v/>
      </c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15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</row>
    <row r="138">
      <c r="A138" s="13">
        <f>IF(ISBLANK(C138),"",ROW()-1)</f>
        <v/>
      </c>
      <c r="B138" s="13">
        <f>IF(ISBLANK(C138),"","DIG-"&amp;MID(F138,SEARCH("(",F138)+1,3)&amp;"-"&amp;MID(G138,SEARCH("(",G138)+1,3)&amp;"-"&amp;UPPER(LEFT(TRIM(RIGHT(SUBSTITUTE(TRIM(D138)," ",REPT(" ",100)),100)),3))&amp;"-"&amp;TEXT(A138,"000"))</f>
        <v/>
      </c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15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</row>
    <row r="139">
      <c r="A139" s="13">
        <f>IF(ISBLANK(C139),"",ROW()-1)</f>
        <v/>
      </c>
      <c r="B139" s="13">
        <f>IF(ISBLANK(C139),"","DIG-"&amp;MID(F139,SEARCH("(",F139)+1,3)&amp;"-"&amp;MID(G139,SEARCH("(",G139)+1,3)&amp;"-"&amp;UPPER(LEFT(TRIM(RIGHT(SUBSTITUTE(TRIM(D139)," ",REPT(" ",100)),100)),3))&amp;"-"&amp;TEXT(A139,"000"))</f>
        <v/>
      </c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15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</row>
    <row r="140">
      <c r="A140" s="13">
        <f>IF(ISBLANK(C140),"",ROW()-1)</f>
        <v/>
      </c>
      <c r="B140" s="13">
        <f>IF(ISBLANK(C140),"","DIG-"&amp;MID(F140,SEARCH("(",F140)+1,3)&amp;"-"&amp;MID(G140,SEARCH("(",G140)+1,3)&amp;"-"&amp;UPPER(LEFT(TRIM(RIGHT(SUBSTITUTE(TRIM(D140)," ",REPT(" ",100)),100)),3))&amp;"-"&amp;TEXT(A140,"000"))</f>
        <v/>
      </c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15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</row>
    <row r="141">
      <c r="A141" s="13">
        <f>IF(ISBLANK(C141),"",ROW()-1)</f>
        <v/>
      </c>
      <c r="B141" s="13">
        <f>IF(ISBLANK(C141),"","DIG-"&amp;MID(F141,SEARCH("(",F141)+1,3)&amp;"-"&amp;MID(G141,SEARCH("(",G141)+1,3)&amp;"-"&amp;UPPER(LEFT(TRIM(RIGHT(SUBSTITUTE(TRIM(D141)," ",REPT(" ",100)),100)),3))&amp;"-"&amp;TEXT(A141,"000"))</f>
        <v/>
      </c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15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</row>
    <row r="142">
      <c r="A142" s="13">
        <f>IF(ISBLANK(C142),"",ROW()-1)</f>
        <v/>
      </c>
      <c r="B142" s="13">
        <f>IF(ISBLANK(C142),"","DIG-"&amp;MID(F142,SEARCH("(",F142)+1,3)&amp;"-"&amp;MID(G142,SEARCH("(",G142)+1,3)&amp;"-"&amp;UPPER(LEFT(TRIM(RIGHT(SUBSTITUTE(TRIM(D142)," ",REPT(" ",100)),100)),3))&amp;"-"&amp;TEXT(A142,"000"))</f>
        <v/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15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</row>
    <row r="143">
      <c r="A143" s="13">
        <f>IF(ISBLANK(C143),"",ROW()-1)</f>
        <v/>
      </c>
      <c r="B143" s="13">
        <f>IF(ISBLANK(C143),"","DIG-"&amp;MID(F143,SEARCH("(",F143)+1,3)&amp;"-"&amp;MID(G143,SEARCH("(",G143)+1,3)&amp;"-"&amp;UPPER(LEFT(TRIM(RIGHT(SUBSTITUTE(TRIM(D143)," ",REPT(" ",100)),100)),3))&amp;"-"&amp;TEXT(A143,"000"))</f>
        <v/>
      </c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15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</row>
    <row r="144">
      <c r="A144" s="13">
        <f>IF(ISBLANK(C144),"",ROW()-1)</f>
        <v/>
      </c>
      <c r="B144" s="13">
        <f>IF(ISBLANK(C144),"","DIG-"&amp;MID(F144,SEARCH("(",F144)+1,3)&amp;"-"&amp;MID(G144,SEARCH("(",G144)+1,3)&amp;"-"&amp;UPPER(LEFT(TRIM(RIGHT(SUBSTITUTE(TRIM(D144)," ",REPT(" ",100)),100)),3))&amp;"-"&amp;TEXT(A144,"000"))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15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</row>
    <row r="145">
      <c r="A145" s="13">
        <f>IF(ISBLANK(C145),"",ROW()-1)</f>
        <v/>
      </c>
      <c r="B145" s="13">
        <f>IF(ISBLANK(C145),"","DIG-"&amp;MID(F145,SEARCH("(",F145)+1,3)&amp;"-"&amp;MID(G145,SEARCH("(",G145)+1,3)&amp;"-"&amp;UPPER(LEFT(TRIM(RIGHT(SUBSTITUTE(TRIM(D145)," ",REPT(" ",100)),100)),3))&amp;"-"&amp;TEXT(A145,"000"))</f>
        <v/>
      </c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15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</row>
    <row r="146">
      <c r="A146" s="13">
        <f>IF(ISBLANK(C146),"",ROW()-1)</f>
        <v/>
      </c>
      <c r="B146" s="13">
        <f>IF(ISBLANK(C146),"","DIG-"&amp;MID(F146,SEARCH("(",F146)+1,3)&amp;"-"&amp;MID(G146,SEARCH("(",G146)+1,3)&amp;"-"&amp;UPPER(LEFT(TRIM(RIGHT(SUBSTITUTE(TRIM(D146)," ",REPT(" ",100)),100)),3))&amp;"-"&amp;TEXT(A146,"000"))</f>
        <v/>
      </c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15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</row>
    <row r="147">
      <c r="A147" s="13">
        <f>IF(ISBLANK(C147),"",ROW()-1)</f>
        <v/>
      </c>
      <c r="B147" s="13">
        <f>IF(ISBLANK(C147),"","DIG-"&amp;MID(F147,SEARCH("(",F147)+1,3)&amp;"-"&amp;MID(G147,SEARCH("(",G147)+1,3)&amp;"-"&amp;UPPER(LEFT(TRIM(RIGHT(SUBSTITUTE(TRIM(D147)," ",REPT(" ",100)),100)),3))&amp;"-"&amp;TEXT(A147,"000"))</f>
        <v/>
      </c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15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</row>
    <row r="148">
      <c r="A148" s="13">
        <f>IF(ISBLANK(C148),"",ROW()-1)</f>
        <v/>
      </c>
      <c r="B148" s="13">
        <f>IF(ISBLANK(C148),"","DIG-"&amp;MID(F148,SEARCH("(",F148)+1,3)&amp;"-"&amp;MID(G148,SEARCH("(",G148)+1,3)&amp;"-"&amp;UPPER(LEFT(TRIM(RIGHT(SUBSTITUTE(TRIM(D148)," ",REPT(" ",100)),100)),3))&amp;"-"&amp;TEXT(A148,"000"))</f>
        <v/>
      </c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15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</row>
    <row r="149">
      <c r="A149" s="13">
        <f>IF(ISBLANK(C149),"",ROW()-1)</f>
        <v/>
      </c>
      <c r="B149" s="13">
        <f>IF(ISBLANK(C149),"","DIG-"&amp;MID(F149,SEARCH("(",F149)+1,3)&amp;"-"&amp;MID(G149,SEARCH("(",G149)+1,3)&amp;"-"&amp;UPPER(LEFT(TRIM(RIGHT(SUBSTITUTE(TRIM(D149)," ",REPT(" ",100)),100)),3))&amp;"-"&amp;TEXT(A149,"000"))</f>
        <v/>
      </c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15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</row>
    <row r="150">
      <c r="A150" s="13">
        <f>IF(ISBLANK(C150),"",ROW()-1)</f>
        <v/>
      </c>
      <c r="B150" s="13">
        <f>IF(ISBLANK(C150),"","DIG-"&amp;MID(F150,SEARCH("(",F150)+1,3)&amp;"-"&amp;MID(G150,SEARCH("(",G150)+1,3)&amp;"-"&amp;UPPER(LEFT(TRIM(RIGHT(SUBSTITUTE(TRIM(D150)," ",REPT(" ",100)),100)),3))&amp;"-"&amp;TEXT(A150,"000"))</f>
        <v/>
      </c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15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</row>
    <row r="151">
      <c r="A151" s="13">
        <f>IF(ISBLANK(C151),"",ROW()-1)</f>
        <v/>
      </c>
      <c r="B151" s="13">
        <f>IF(ISBLANK(C151),"","DIG-"&amp;MID(F151,SEARCH("(",F151)+1,3)&amp;"-"&amp;MID(G151,SEARCH("(",G151)+1,3)&amp;"-"&amp;UPPER(LEFT(TRIM(RIGHT(SUBSTITUTE(TRIM(D151)," ",REPT(" ",100)),100)),3))&amp;"-"&amp;TEXT(A151,"000"))</f>
        <v/>
      </c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15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</row>
    <row r="152">
      <c r="A152" s="13">
        <f>IF(ISBLANK(C152),"",ROW()-1)</f>
        <v/>
      </c>
      <c r="B152" s="13">
        <f>IF(ISBLANK(C152),"","DIG-"&amp;MID(F152,SEARCH("(",F152)+1,3)&amp;"-"&amp;MID(G152,SEARCH("(",G152)+1,3)&amp;"-"&amp;UPPER(LEFT(TRIM(RIGHT(SUBSTITUTE(TRIM(D152)," ",REPT(" ",100)),100)),3))&amp;"-"&amp;TEXT(A152,"000"))</f>
        <v/>
      </c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15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</row>
    <row r="153">
      <c r="A153" s="13">
        <f>IF(ISBLANK(C153),"",ROW()-1)</f>
        <v/>
      </c>
      <c r="B153" s="13">
        <f>IF(ISBLANK(C153),"","DIG-"&amp;MID(F153,SEARCH("(",F153)+1,3)&amp;"-"&amp;MID(G153,SEARCH("(",G153)+1,3)&amp;"-"&amp;UPPER(LEFT(TRIM(RIGHT(SUBSTITUTE(TRIM(D153)," ",REPT(" ",100)),100)),3))&amp;"-"&amp;TEXT(A153,"000"))</f>
        <v/>
      </c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15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</row>
    <row r="154">
      <c r="A154" s="13">
        <f>IF(ISBLANK(C154),"",ROW()-1)</f>
        <v/>
      </c>
      <c r="B154" s="13">
        <f>IF(ISBLANK(C154),"","DIG-"&amp;MID(F154,SEARCH("(",F154)+1,3)&amp;"-"&amp;MID(G154,SEARCH("(",G154)+1,3)&amp;"-"&amp;UPPER(LEFT(TRIM(RIGHT(SUBSTITUTE(TRIM(D154)," ",REPT(" ",100)),100)),3))&amp;"-"&amp;TEXT(A154,"000"))</f>
        <v/>
      </c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15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</row>
    <row r="155">
      <c r="A155" s="13">
        <f>IF(ISBLANK(C155),"",ROW()-1)</f>
        <v/>
      </c>
      <c r="B155" s="13">
        <f>IF(ISBLANK(C155),"","DIG-"&amp;MID(F155,SEARCH("(",F155)+1,3)&amp;"-"&amp;MID(G155,SEARCH("(",G155)+1,3)&amp;"-"&amp;UPPER(LEFT(TRIM(RIGHT(SUBSTITUTE(TRIM(D155)," ",REPT(" ",100)),100)),3))&amp;"-"&amp;TEXT(A155,"000"))</f>
        <v/>
      </c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15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</row>
    <row r="156">
      <c r="A156" s="13">
        <f>IF(ISBLANK(C156),"",ROW()-1)</f>
        <v/>
      </c>
      <c r="B156" s="13">
        <f>IF(ISBLANK(C156),"","DIG-"&amp;MID(F156,SEARCH("(",F156)+1,3)&amp;"-"&amp;MID(G156,SEARCH("(",G156)+1,3)&amp;"-"&amp;UPPER(LEFT(TRIM(RIGHT(SUBSTITUTE(TRIM(D156)," ",REPT(" ",100)),100)),3))&amp;"-"&amp;TEXT(A156,"000"))</f>
        <v/>
      </c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15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</row>
    <row r="157">
      <c r="A157" s="13">
        <f>IF(ISBLANK(C157),"",ROW()-1)</f>
        <v/>
      </c>
      <c r="B157" s="13">
        <f>IF(ISBLANK(C157),"","DIG-"&amp;MID(F157,SEARCH("(",F157)+1,3)&amp;"-"&amp;MID(G157,SEARCH("(",G157)+1,3)&amp;"-"&amp;UPPER(LEFT(TRIM(RIGHT(SUBSTITUTE(TRIM(D157)," ",REPT(" ",100)),100)),3))&amp;"-"&amp;TEXT(A157,"000"))</f>
        <v/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15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</row>
    <row r="158">
      <c r="A158" s="13">
        <f>IF(ISBLANK(C158),"",ROW()-1)</f>
        <v/>
      </c>
      <c r="B158" s="13">
        <f>IF(ISBLANK(C158),"","DIG-"&amp;MID(F158,SEARCH("(",F158)+1,3)&amp;"-"&amp;MID(G158,SEARCH("(",G158)+1,3)&amp;"-"&amp;UPPER(LEFT(TRIM(RIGHT(SUBSTITUTE(TRIM(D158)," ",REPT(" ",100)),100)),3))&amp;"-"&amp;TEXT(A158,"000"))</f>
        <v/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15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</row>
    <row r="159">
      <c r="A159" s="13">
        <f>IF(ISBLANK(C159),"",ROW()-1)</f>
        <v/>
      </c>
      <c r="B159" s="13">
        <f>IF(ISBLANK(C159),"","DIG-"&amp;MID(F159,SEARCH("(",F159)+1,3)&amp;"-"&amp;MID(G159,SEARCH("(",G159)+1,3)&amp;"-"&amp;UPPER(LEFT(TRIM(RIGHT(SUBSTITUTE(TRIM(D159)," ",REPT(" ",100)),100)),3))&amp;"-"&amp;TEXT(A159,"000"))</f>
        <v/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15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</row>
    <row r="160">
      <c r="A160" s="13">
        <f>IF(ISBLANK(C160),"",ROW()-1)</f>
        <v/>
      </c>
      <c r="B160" s="13">
        <f>IF(ISBLANK(C160),"","DIG-"&amp;MID(F160,SEARCH("(",F160)+1,3)&amp;"-"&amp;MID(G160,SEARCH("(",G160)+1,3)&amp;"-"&amp;UPPER(LEFT(TRIM(RIGHT(SUBSTITUTE(TRIM(D160)," ",REPT(" ",100)),100)),3))&amp;"-"&amp;TEXT(A160,"000"))</f>
        <v/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15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</row>
    <row r="161">
      <c r="A161" s="13">
        <f>IF(ISBLANK(C161),"",ROW()-1)</f>
        <v/>
      </c>
      <c r="B161" s="13">
        <f>IF(ISBLANK(C161),"","DIG-"&amp;MID(F161,SEARCH("(",F161)+1,3)&amp;"-"&amp;MID(G161,SEARCH("(",G161)+1,3)&amp;"-"&amp;UPPER(LEFT(TRIM(RIGHT(SUBSTITUTE(TRIM(D161)," ",REPT(" ",100)),100)),3))&amp;"-"&amp;TEXT(A161,"000"))</f>
        <v/>
      </c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15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</row>
    <row r="162">
      <c r="A162" s="13">
        <f>IF(ISBLANK(C162),"",ROW()-1)</f>
        <v/>
      </c>
      <c r="B162" s="13">
        <f>IF(ISBLANK(C162),"","DIG-"&amp;MID(F162,SEARCH("(",F162)+1,3)&amp;"-"&amp;MID(G162,SEARCH("(",G162)+1,3)&amp;"-"&amp;UPPER(LEFT(TRIM(RIGHT(SUBSTITUTE(TRIM(D162)," ",REPT(" ",100)),100)),3))&amp;"-"&amp;TEXT(A162,"000"))</f>
        <v/>
      </c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15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</row>
    <row r="163">
      <c r="A163" s="13">
        <f>IF(ISBLANK(C163),"",ROW()-1)</f>
        <v/>
      </c>
      <c r="B163" s="13">
        <f>IF(ISBLANK(C163),"","DIG-"&amp;MID(F163,SEARCH("(",F163)+1,3)&amp;"-"&amp;MID(G163,SEARCH("(",G163)+1,3)&amp;"-"&amp;UPPER(LEFT(TRIM(RIGHT(SUBSTITUTE(TRIM(D163)," ",REPT(" ",100)),100)),3))&amp;"-"&amp;TEXT(A163,"000"))</f>
        <v/>
      </c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15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</row>
    <row r="164">
      <c r="A164" s="13">
        <f>IF(ISBLANK(C164),"",ROW()-1)</f>
        <v/>
      </c>
      <c r="B164" s="13">
        <f>IF(ISBLANK(C164),"","DIG-"&amp;MID(F164,SEARCH("(",F164)+1,3)&amp;"-"&amp;MID(G164,SEARCH("(",G164)+1,3)&amp;"-"&amp;UPPER(LEFT(TRIM(RIGHT(SUBSTITUTE(TRIM(D164)," ",REPT(" ",100)),100)),3))&amp;"-"&amp;TEXT(A164,"000"))</f>
        <v/>
      </c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15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</row>
    <row r="165">
      <c r="A165" s="13">
        <f>IF(ISBLANK(C165),"",ROW()-1)</f>
        <v/>
      </c>
      <c r="B165" s="13">
        <f>IF(ISBLANK(C165),"","DIG-"&amp;MID(F165,SEARCH("(",F165)+1,3)&amp;"-"&amp;MID(G165,SEARCH("(",G165)+1,3)&amp;"-"&amp;UPPER(LEFT(TRIM(RIGHT(SUBSTITUTE(TRIM(D165)," ",REPT(" ",100)),100)),3))&amp;"-"&amp;TEXT(A165,"000"))</f>
        <v/>
      </c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15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</row>
    <row r="166">
      <c r="A166" s="13">
        <f>IF(ISBLANK(C166),"",ROW()-1)</f>
        <v/>
      </c>
      <c r="B166" s="13">
        <f>IF(ISBLANK(C166),"","DIG-"&amp;MID(F166,SEARCH("(",F166)+1,3)&amp;"-"&amp;MID(G166,SEARCH("(",G166)+1,3)&amp;"-"&amp;UPPER(LEFT(TRIM(RIGHT(SUBSTITUTE(TRIM(D166)," ",REPT(" ",100)),100)),3))&amp;"-"&amp;TEXT(A166,"000"))</f>
        <v/>
      </c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15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</row>
    <row r="167">
      <c r="A167" s="13">
        <f>IF(ISBLANK(C167),"",ROW()-1)</f>
        <v/>
      </c>
      <c r="B167" s="13">
        <f>IF(ISBLANK(C167),"","DIG-"&amp;MID(F167,SEARCH("(",F167)+1,3)&amp;"-"&amp;MID(G167,SEARCH("(",G167)+1,3)&amp;"-"&amp;UPPER(LEFT(TRIM(RIGHT(SUBSTITUTE(TRIM(D167)," ",REPT(" ",100)),100)),3))&amp;"-"&amp;TEXT(A167,"000"))</f>
        <v/>
      </c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15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</row>
    <row r="168">
      <c r="A168" s="13">
        <f>IF(ISBLANK(C168),"",ROW()-1)</f>
        <v/>
      </c>
      <c r="B168" s="13">
        <f>IF(ISBLANK(C168),"","DIG-"&amp;MID(F168,SEARCH("(",F168)+1,3)&amp;"-"&amp;MID(G168,SEARCH("(",G168)+1,3)&amp;"-"&amp;UPPER(LEFT(TRIM(RIGHT(SUBSTITUTE(TRIM(D168)," ",REPT(" ",100)),100)),3))&amp;"-"&amp;TEXT(A168,"000"))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15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</row>
    <row r="169">
      <c r="A169" s="13">
        <f>IF(ISBLANK(C169),"",ROW()-1)</f>
        <v/>
      </c>
      <c r="B169" s="13">
        <f>IF(ISBLANK(C169),"","DIG-"&amp;MID(F169,SEARCH("(",F169)+1,3)&amp;"-"&amp;MID(G169,SEARCH("(",G169)+1,3)&amp;"-"&amp;UPPER(LEFT(TRIM(RIGHT(SUBSTITUTE(TRIM(D169)," ",REPT(" ",100)),100)),3))&amp;"-"&amp;TEXT(A169,"000"))</f>
        <v/>
      </c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15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</row>
    <row r="170">
      <c r="A170" s="13">
        <f>IF(ISBLANK(C170),"",ROW()-1)</f>
        <v/>
      </c>
      <c r="B170" s="13">
        <f>IF(ISBLANK(C170),"","DIG-"&amp;MID(F170,SEARCH("(",F170)+1,3)&amp;"-"&amp;MID(G170,SEARCH("(",G170)+1,3)&amp;"-"&amp;UPPER(LEFT(TRIM(RIGHT(SUBSTITUTE(TRIM(D170)," ",REPT(" ",100)),100)),3))&amp;"-"&amp;TEXT(A170,"000"))</f>
        <v/>
      </c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15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</row>
    <row r="171">
      <c r="A171" s="13">
        <f>IF(ISBLANK(C171),"",ROW()-1)</f>
        <v/>
      </c>
      <c r="B171" s="13">
        <f>IF(ISBLANK(C171),"","DIG-"&amp;MID(F171,SEARCH("(",F171)+1,3)&amp;"-"&amp;MID(G171,SEARCH("(",G171)+1,3)&amp;"-"&amp;UPPER(LEFT(TRIM(RIGHT(SUBSTITUTE(TRIM(D171)," ",REPT(" ",100)),100)),3))&amp;"-"&amp;TEXT(A171,"000"))</f>
        <v/>
      </c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15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</row>
    <row r="172">
      <c r="A172" s="13">
        <f>IF(ISBLANK(C172),"",ROW()-1)</f>
        <v/>
      </c>
      <c r="B172" s="13">
        <f>IF(ISBLANK(C172),"","DIG-"&amp;MID(F172,SEARCH("(",F172)+1,3)&amp;"-"&amp;MID(G172,SEARCH("(",G172)+1,3)&amp;"-"&amp;UPPER(LEFT(TRIM(RIGHT(SUBSTITUTE(TRIM(D172)," ",REPT(" ",100)),100)),3))&amp;"-"&amp;TEXT(A172,"000"))</f>
        <v/>
      </c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15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</row>
    <row r="173">
      <c r="A173" s="13">
        <f>IF(ISBLANK(C173),"",ROW()-1)</f>
        <v/>
      </c>
      <c r="B173" s="13">
        <f>IF(ISBLANK(C173),"","DIG-"&amp;MID(F173,SEARCH("(",F173)+1,3)&amp;"-"&amp;MID(G173,SEARCH("(",G173)+1,3)&amp;"-"&amp;UPPER(LEFT(TRIM(RIGHT(SUBSTITUTE(TRIM(D173)," ",REPT(" ",100)),100)),3))&amp;"-"&amp;TEXT(A173,"000"))</f>
        <v/>
      </c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15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</row>
    <row r="174">
      <c r="A174" s="13">
        <f>IF(ISBLANK(C174),"",ROW()-1)</f>
        <v/>
      </c>
      <c r="B174" s="13">
        <f>IF(ISBLANK(C174),"","DIG-"&amp;MID(F174,SEARCH("(",F174)+1,3)&amp;"-"&amp;MID(G174,SEARCH("(",G174)+1,3)&amp;"-"&amp;UPPER(LEFT(TRIM(RIGHT(SUBSTITUTE(TRIM(D174)," ",REPT(" ",100)),100)),3))&amp;"-"&amp;TEXT(A174,"000"))</f>
        <v/>
      </c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15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</row>
    <row r="175">
      <c r="A175" s="13">
        <f>IF(ISBLANK(C175),"",ROW()-1)</f>
        <v/>
      </c>
      <c r="B175" s="13">
        <f>IF(ISBLANK(C175),"","DIG-"&amp;MID(F175,SEARCH("(",F175)+1,3)&amp;"-"&amp;MID(G175,SEARCH("(",G175)+1,3)&amp;"-"&amp;UPPER(LEFT(TRIM(RIGHT(SUBSTITUTE(TRIM(D175)," ",REPT(" ",100)),100)),3))&amp;"-"&amp;TEXT(A175,"000"))</f>
        <v/>
      </c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15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</row>
    <row r="176">
      <c r="A176" s="13">
        <f>IF(ISBLANK(C176),"",ROW()-1)</f>
        <v/>
      </c>
      <c r="B176" s="13">
        <f>IF(ISBLANK(C176),"","DIG-"&amp;MID(F176,SEARCH("(",F176)+1,3)&amp;"-"&amp;MID(G176,SEARCH("(",G176)+1,3)&amp;"-"&amp;UPPER(LEFT(TRIM(RIGHT(SUBSTITUTE(TRIM(D176)," ",REPT(" ",100)),100)),3))&amp;"-"&amp;TEXT(A176,"000"))</f>
        <v/>
      </c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15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</row>
    <row r="177">
      <c r="A177" s="13">
        <f>IF(ISBLANK(C177),"",ROW()-1)</f>
        <v/>
      </c>
      <c r="B177" s="13">
        <f>IF(ISBLANK(C177),"","DIG-"&amp;MID(F177,SEARCH("(",F177)+1,3)&amp;"-"&amp;MID(G177,SEARCH("(",G177)+1,3)&amp;"-"&amp;UPPER(LEFT(TRIM(RIGHT(SUBSTITUTE(TRIM(D177)," ",REPT(" ",100)),100)),3))&amp;"-"&amp;TEXT(A177,"000"))</f>
        <v/>
      </c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15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</row>
    <row r="178">
      <c r="A178" s="13">
        <f>IF(ISBLANK(C178),"",ROW()-1)</f>
        <v/>
      </c>
      <c r="B178" s="13">
        <f>IF(ISBLANK(C178),"","DIG-"&amp;MID(F178,SEARCH("(",F178)+1,3)&amp;"-"&amp;MID(G178,SEARCH("(",G178)+1,3)&amp;"-"&amp;UPPER(LEFT(TRIM(RIGHT(SUBSTITUTE(TRIM(D178)," ",REPT(" ",100)),100)),3))&amp;"-"&amp;TEXT(A178,"000"))</f>
        <v/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15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</row>
    <row r="179">
      <c r="A179" s="13">
        <f>IF(ISBLANK(C179),"",ROW()-1)</f>
        <v/>
      </c>
      <c r="B179" s="13">
        <f>IF(ISBLANK(C179),"","DIG-"&amp;MID(F179,SEARCH("(",F179)+1,3)&amp;"-"&amp;MID(G179,SEARCH("(",G179)+1,3)&amp;"-"&amp;UPPER(LEFT(TRIM(RIGHT(SUBSTITUTE(TRIM(D179)," ",REPT(" ",100)),100)),3))&amp;"-"&amp;TEXT(A179,"000"))</f>
        <v/>
      </c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15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</row>
    <row r="180">
      <c r="A180" s="13">
        <f>IF(ISBLANK(C180),"",ROW()-1)</f>
        <v/>
      </c>
      <c r="B180" s="13">
        <f>IF(ISBLANK(C180),"","DIG-"&amp;MID(F180,SEARCH("(",F180)+1,3)&amp;"-"&amp;MID(G180,SEARCH("(",G180)+1,3)&amp;"-"&amp;UPPER(LEFT(TRIM(RIGHT(SUBSTITUTE(TRIM(D180)," ",REPT(" ",100)),100)),3))&amp;"-"&amp;TEXT(A180,"000"))</f>
        <v/>
      </c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15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</row>
    <row r="181">
      <c r="A181" s="13">
        <f>IF(ISBLANK(C181),"",ROW()-1)</f>
        <v/>
      </c>
      <c r="B181" s="13">
        <f>IF(ISBLANK(C181),"","DIG-"&amp;MID(F181,SEARCH("(",F181)+1,3)&amp;"-"&amp;MID(G181,SEARCH("(",G181)+1,3)&amp;"-"&amp;UPPER(LEFT(TRIM(RIGHT(SUBSTITUTE(TRIM(D181)," ",REPT(" ",100)),100)),3))&amp;"-"&amp;TEXT(A181,"000"))</f>
        <v/>
      </c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15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</row>
    <row r="182">
      <c r="A182" s="13">
        <f>IF(ISBLANK(C182),"",ROW()-1)</f>
        <v/>
      </c>
      <c r="B182" s="13">
        <f>IF(ISBLANK(C182),"","DIG-"&amp;MID(F182,SEARCH("(",F182)+1,3)&amp;"-"&amp;MID(G182,SEARCH("(",G182)+1,3)&amp;"-"&amp;UPPER(LEFT(TRIM(RIGHT(SUBSTITUTE(TRIM(D182)," ",REPT(" ",100)),100)),3))&amp;"-"&amp;TEXT(A182,"000"))</f>
        <v/>
      </c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15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</row>
    <row r="183">
      <c r="A183" s="13">
        <f>IF(ISBLANK(C183),"",ROW()-1)</f>
        <v/>
      </c>
      <c r="B183" s="13">
        <f>IF(ISBLANK(C183),"","DIG-"&amp;MID(F183,SEARCH("(",F183)+1,3)&amp;"-"&amp;MID(G183,SEARCH("(",G183)+1,3)&amp;"-"&amp;UPPER(LEFT(TRIM(RIGHT(SUBSTITUTE(TRIM(D183)," ",REPT(" ",100)),100)),3))&amp;"-"&amp;TEXT(A183,"000"))</f>
        <v/>
      </c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15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</row>
    <row r="184">
      <c r="A184" s="13">
        <f>IF(ISBLANK(C184),"",ROW()-1)</f>
        <v/>
      </c>
      <c r="B184" s="13">
        <f>IF(ISBLANK(C184),"","DIG-"&amp;MID(F184,SEARCH("(",F184)+1,3)&amp;"-"&amp;MID(G184,SEARCH("(",G184)+1,3)&amp;"-"&amp;UPPER(LEFT(TRIM(RIGHT(SUBSTITUTE(TRIM(D184)," ",REPT(" ",100)),100)),3))&amp;"-"&amp;TEXT(A184,"000"))</f>
        <v/>
      </c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15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</row>
    <row r="185">
      <c r="A185" s="13">
        <f>IF(ISBLANK(C185),"",ROW()-1)</f>
        <v/>
      </c>
      <c r="B185" s="13">
        <f>IF(ISBLANK(C185),"","DIG-"&amp;MID(F185,SEARCH("(",F185)+1,3)&amp;"-"&amp;MID(G185,SEARCH("(",G185)+1,3)&amp;"-"&amp;UPPER(LEFT(TRIM(RIGHT(SUBSTITUTE(TRIM(D185)," ",REPT(" ",100)),100)),3))&amp;"-"&amp;TEXT(A185,"000"))</f>
        <v/>
      </c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15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</row>
    <row r="186">
      <c r="A186" s="13">
        <f>IF(ISBLANK(C186),"",ROW()-1)</f>
        <v/>
      </c>
      <c r="B186" s="13">
        <f>IF(ISBLANK(C186),"","DIG-"&amp;MID(F186,SEARCH("(",F186)+1,3)&amp;"-"&amp;MID(G186,SEARCH("(",G186)+1,3)&amp;"-"&amp;UPPER(LEFT(TRIM(RIGHT(SUBSTITUTE(TRIM(D186)," ",REPT(" ",100)),100)),3))&amp;"-"&amp;TEXT(A186,"000"))</f>
        <v/>
      </c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15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</row>
    <row r="187">
      <c r="A187" s="13">
        <f>IF(ISBLANK(C187),"",ROW()-1)</f>
        <v/>
      </c>
      <c r="B187" s="13">
        <f>IF(ISBLANK(C187),"","DIG-"&amp;MID(F187,SEARCH("(",F187)+1,3)&amp;"-"&amp;MID(G187,SEARCH("(",G187)+1,3)&amp;"-"&amp;UPPER(LEFT(TRIM(RIGHT(SUBSTITUTE(TRIM(D187)," ",REPT(" ",100)),100)),3))&amp;"-"&amp;TEXT(A187,"000"))</f>
        <v/>
      </c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15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</row>
    <row r="188">
      <c r="A188" s="13">
        <f>IF(ISBLANK(C188),"",ROW()-1)</f>
        <v/>
      </c>
      <c r="B188" s="13">
        <f>IF(ISBLANK(C188),"","DIG-"&amp;MID(F188,SEARCH("(",F188)+1,3)&amp;"-"&amp;MID(G188,SEARCH("(",G188)+1,3)&amp;"-"&amp;UPPER(LEFT(TRIM(RIGHT(SUBSTITUTE(TRIM(D188)," ",REPT(" ",100)),100)),3))&amp;"-"&amp;TEXT(A188,"000"))</f>
        <v/>
      </c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15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</row>
    <row r="189">
      <c r="A189" s="13">
        <f>IF(ISBLANK(C189),"",ROW()-1)</f>
        <v/>
      </c>
      <c r="B189" s="13">
        <f>IF(ISBLANK(C189),"","DIG-"&amp;MID(F189,SEARCH("(",F189)+1,3)&amp;"-"&amp;MID(G189,SEARCH("(",G189)+1,3)&amp;"-"&amp;UPPER(LEFT(TRIM(RIGHT(SUBSTITUTE(TRIM(D189)," ",REPT(" ",100)),100)),3))&amp;"-"&amp;TEXT(A189,"000"))</f>
        <v/>
      </c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15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</row>
    <row r="190">
      <c r="A190" s="13">
        <f>IF(ISBLANK(C190),"",ROW()-1)</f>
        <v/>
      </c>
      <c r="B190" s="13">
        <f>IF(ISBLANK(C190),"","DIG-"&amp;MID(F190,SEARCH("(",F190)+1,3)&amp;"-"&amp;MID(G190,SEARCH("(",G190)+1,3)&amp;"-"&amp;UPPER(LEFT(TRIM(RIGHT(SUBSTITUTE(TRIM(D190)," ",REPT(" ",100)),100)),3))&amp;"-"&amp;TEXT(A190,"000"))</f>
        <v/>
      </c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15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</row>
    <row r="191">
      <c r="A191" s="13">
        <f>IF(ISBLANK(C191),"",ROW()-1)</f>
        <v/>
      </c>
      <c r="B191" s="13">
        <f>IF(ISBLANK(C191),"","DIG-"&amp;MID(F191,SEARCH("(",F191)+1,3)&amp;"-"&amp;MID(G191,SEARCH("(",G191)+1,3)&amp;"-"&amp;UPPER(LEFT(TRIM(RIGHT(SUBSTITUTE(TRIM(D191)," ",REPT(" ",100)),100)),3))&amp;"-"&amp;TEXT(A191,"000"))</f>
        <v/>
      </c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15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</row>
    <row r="192">
      <c r="A192" s="13">
        <f>IF(ISBLANK(C192),"",ROW()-1)</f>
        <v/>
      </c>
      <c r="B192" s="13">
        <f>IF(ISBLANK(C192),"","DIG-"&amp;MID(F192,SEARCH("(",F192)+1,3)&amp;"-"&amp;MID(G192,SEARCH("(",G192)+1,3)&amp;"-"&amp;UPPER(LEFT(TRIM(RIGHT(SUBSTITUTE(TRIM(D192)," ",REPT(" ",100)),100)),3))&amp;"-"&amp;TEXT(A192,"000"))</f>
        <v/>
      </c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15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</row>
    <row r="193">
      <c r="A193" s="13">
        <f>IF(ISBLANK(C193),"",ROW()-1)</f>
        <v/>
      </c>
      <c r="B193" s="13">
        <f>IF(ISBLANK(C193),"","DIG-"&amp;MID(F193,SEARCH("(",F193)+1,3)&amp;"-"&amp;MID(G193,SEARCH("(",G193)+1,3)&amp;"-"&amp;UPPER(LEFT(TRIM(RIGHT(SUBSTITUTE(TRIM(D193)," ",REPT(" ",100)),100)),3))&amp;"-"&amp;TEXT(A193,"000"))</f>
        <v/>
      </c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15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</row>
    <row r="194">
      <c r="A194" s="13">
        <f>IF(ISBLANK(C194),"",ROW()-1)</f>
        <v/>
      </c>
      <c r="B194" s="13">
        <f>IF(ISBLANK(C194),"","DIG-"&amp;MID(F194,SEARCH("(",F194)+1,3)&amp;"-"&amp;MID(G194,SEARCH("(",G194)+1,3)&amp;"-"&amp;UPPER(LEFT(TRIM(RIGHT(SUBSTITUTE(TRIM(D194)," ",REPT(" ",100)),100)),3))&amp;"-"&amp;TEXT(A194,"000"))</f>
        <v/>
      </c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15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</row>
    <row r="195">
      <c r="A195" s="13">
        <f>IF(ISBLANK(C195),"",ROW()-1)</f>
        <v/>
      </c>
      <c r="B195" s="13">
        <f>IF(ISBLANK(C195),"","DIG-"&amp;MID(F195,SEARCH("(",F195)+1,3)&amp;"-"&amp;MID(G195,SEARCH("(",G195)+1,3)&amp;"-"&amp;UPPER(LEFT(TRIM(RIGHT(SUBSTITUTE(TRIM(D195)," ",REPT(" ",100)),100)),3))&amp;"-"&amp;TEXT(A195,"000"))</f>
        <v/>
      </c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15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</row>
    <row r="196">
      <c r="A196" s="13">
        <f>IF(ISBLANK(C196),"",ROW()-1)</f>
        <v/>
      </c>
      <c r="B196" s="13">
        <f>IF(ISBLANK(C196),"","DIG-"&amp;MID(F196,SEARCH("(",F196)+1,3)&amp;"-"&amp;MID(G196,SEARCH("(",G196)+1,3)&amp;"-"&amp;UPPER(LEFT(TRIM(RIGHT(SUBSTITUTE(TRIM(D196)," ",REPT(" ",100)),100)),3))&amp;"-"&amp;TEXT(A196,"000"))</f>
        <v/>
      </c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15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</row>
    <row r="197">
      <c r="A197" s="13">
        <f>IF(ISBLANK(C197),"",ROW()-1)</f>
        <v/>
      </c>
      <c r="B197" s="13">
        <f>IF(ISBLANK(C197),"","DIG-"&amp;MID(F197,SEARCH("(",F197)+1,3)&amp;"-"&amp;MID(G197,SEARCH("(",G197)+1,3)&amp;"-"&amp;UPPER(LEFT(TRIM(RIGHT(SUBSTITUTE(TRIM(D197)," ",REPT(" ",100)),100)),3))&amp;"-"&amp;TEXT(A197,"000"))</f>
        <v/>
      </c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15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</row>
    <row r="198">
      <c r="A198" s="13">
        <f>IF(ISBLANK(C198),"",ROW()-1)</f>
        <v/>
      </c>
      <c r="B198" s="13">
        <f>IF(ISBLANK(C198),"","DIG-"&amp;MID(F198,SEARCH("(",F198)+1,3)&amp;"-"&amp;MID(G198,SEARCH("(",G198)+1,3)&amp;"-"&amp;UPPER(LEFT(TRIM(RIGHT(SUBSTITUTE(TRIM(D198)," ",REPT(" ",100)),100)),3))&amp;"-"&amp;TEXT(A198,"000"))</f>
        <v/>
      </c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15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</row>
    <row r="199">
      <c r="A199" s="13">
        <f>IF(ISBLANK(C199),"",ROW()-1)</f>
        <v/>
      </c>
      <c r="B199" s="13">
        <f>IF(ISBLANK(C199),"","DIG-"&amp;MID(F199,SEARCH("(",F199)+1,3)&amp;"-"&amp;MID(G199,SEARCH("(",G199)+1,3)&amp;"-"&amp;UPPER(LEFT(TRIM(RIGHT(SUBSTITUTE(TRIM(D199)," ",REPT(" ",100)),100)),3))&amp;"-"&amp;TEXT(A199,"000"))</f>
        <v/>
      </c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15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</row>
    <row r="200">
      <c r="A200" s="13">
        <f>IF(ISBLANK(C200),"",ROW()-1)</f>
        <v/>
      </c>
      <c r="B200" s="13">
        <f>IF(ISBLANK(C200),"","DIG-"&amp;MID(F200,SEARCH("(",F200)+1,3)&amp;"-"&amp;MID(G200,SEARCH("(",G200)+1,3)&amp;"-"&amp;UPPER(LEFT(TRIM(RIGHT(SUBSTITUTE(TRIM(D200)," ",REPT(" ",100)),100)),3))&amp;"-"&amp;TEXT(A200,"000"))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15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</row>
    <row r="201">
      <c r="A201" s="13">
        <f>IF(ISBLANK(C201),"",ROW()-1)</f>
        <v/>
      </c>
      <c r="B201" s="13">
        <f>IF(ISBLANK(C201),"","DIG-"&amp;MID(F201,SEARCH("(",F201)+1,3)&amp;"-"&amp;MID(G201,SEARCH("(",G201)+1,3)&amp;"-"&amp;UPPER(LEFT(TRIM(RIGHT(SUBSTITUTE(TRIM(D201)," ",REPT(" ",100)),100)),3))&amp;"-"&amp;TEXT(A201,"000"))</f>
        <v/>
      </c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15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</row>
    <row r="202">
      <c r="A202" s="13">
        <f>IF(ISBLANK(C202),"",ROW()-1)</f>
        <v/>
      </c>
      <c r="B202" s="13">
        <f>IF(ISBLANK(C202),"","DIG-"&amp;MID(F202,SEARCH("(",F202)+1,3)&amp;"-"&amp;MID(G202,SEARCH("(",G202)+1,3)&amp;"-"&amp;UPPER(LEFT(TRIM(RIGHT(SUBSTITUTE(TRIM(D202)," ",REPT(" ",100)),100)),3))&amp;"-"&amp;TEXT(A202,"000"))</f>
        <v/>
      </c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15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</row>
    <row r="203">
      <c r="A203" s="13">
        <f>IF(ISBLANK(C203),"",ROW()-1)</f>
        <v/>
      </c>
      <c r="B203" s="13">
        <f>IF(ISBLANK(C203),"","DIG-"&amp;MID(F203,SEARCH("(",F203)+1,3)&amp;"-"&amp;MID(G203,SEARCH("(",G203)+1,3)&amp;"-"&amp;UPPER(LEFT(TRIM(RIGHT(SUBSTITUTE(TRIM(D203)," ",REPT(" ",100)),100)),3))&amp;"-"&amp;TEXT(A203,"000"))</f>
        <v/>
      </c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15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</row>
    <row r="204">
      <c r="A204" s="13">
        <f>IF(ISBLANK(C204),"",ROW()-1)</f>
        <v/>
      </c>
      <c r="B204" s="13">
        <f>IF(ISBLANK(C204),"","DIG-"&amp;MID(F204,SEARCH("(",F204)+1,3)&amp;"-"&amp;MID(G204,SEARCH("(",G204)+1,3)&amp;"-"&amp;UPPER(LEFT(TRIM(RIGHT(SUBSTITUTE(TRIM(D204)," ",REPT(" ",100)),100)),3))&amp;"-"&amp;TEXT(A204,"000"))</f>
        <v/>
      </c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15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</row>
    <row r="205">
      <c r="A205" s="13">
        <f>IF(ISBLANK(C205),"",ROW()-1)</f>
        <v/>
      </c>
      <c r="B205" s="13">
        <f>IF(ISBLANK(C205),"","DIG-"&amp;MID(F205,SEARCH("(",F205)+1,3)&amp;"-"&amp;MID(G205,SEARCH("(",G205)+1,3)&amp;"-"&amp;UPPER(LEFT(TRIM(RIGHT(SUBSTITUTE(TRIM(D205)," ",REPT(" ",100)),100)),3))&amp;"-"&amp;TEXT(A205,"000"))</f>
        <v/>
      </c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15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</row>
    <row r="206">
      <c r="A206" s="13">
        <f>IF(ISBLANK(C206),"",ROW()-1)</f>
        <v/>
      </c>
      <c r="B206" s="13">
        <f>IF(ISBLANK(C206),"","DIG-"&amp;MID(F206,SEARCH("(",F206)+1,3)&amp;"-"&amp;MID(G206,SEARCH("(",G206)+1,3)&amp;"-"&amp;UPPER(LEFT(TRIM(RIGHT(SUBSTITUTE(TRIM(D206)," ",REPT(" ",100)),100)),3))&amp;"-"&amp;TEXT(A206,"000"))</f>
        <v/>
      </c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15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</row>
    <row r="207">
      <c r="A207" s="13">
        <f>IF(ISBLANK(C207),"",ROW()-1)</f>
        <v/>
      </c>
      <c r="B207" s="13">
        <f>IF(ISBLANK(C207),"","DIG-"&amp;MID(F207,SEARCH("(",F207)+1,3)&amp;"-"&amp;MID(G207,SEARCH("(",G207)+1,3)&amp;"-"&amp;UPPER(LEFT(TRIM(RIGHT(SUBSTITUTE(TRIM(D207)," ",REPT(" ",100)),100)),3))&amp;"-"&amp;TEXT(A207,"000"))</f>
        <v/>
      </c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15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</row>
    <row r="208">
      <c r="A208" s="13">
        <f>IF(ISBLANK(C208),"",ROW()-1)</f>
        <v/>
      </c>
      <c r="B208" s="13">
        <f>IF(ISBLANK(C208),"","DIG-"&amp;MID(F208,SEARCH("(",F208)+1,3)&amp;"-"&amp;MID(G208,SEARCH("(",G208)+1,3)&amp;"-"&amp;UPPER(LEFT(TRIM(RIGHT(SUBSTITUTE(TRIM(D208)," ",REPT(" ",100)),100)),3))&amp;"-"&amp;TEXT(A208,"000"))</f>
        <v/>
      </c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15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</row>
    <row r="209">
      <c r="A209" s="13">
        <f>IF(ISBLANK(C209),"",ROW()-1)</f>
        <v/>
      </c>
      <c r="B209" s="13">
        <f>IF(ISBLANK(C209),"","DIG-"&amp;MID(F209,SEARCH("(",F209)+1,3)&amp;"-"&amp;MID(G209,SEARCH("(",G209)+1,3)&amp;"-"&amp;UPPER(LEFT(TRIM(RIGHT(SUBSTITUTE(TRIM(D209)," ",REPT(" ",100)),100)),3))&amp;"-"&amp;TEXT(A209,"000"))</f>
        <v/>
      </c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15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</row>
    <row r="210">
      <c r="A210" s="13">
        <f>IF(ISBLANK(C210),"",ROW()-1)</f>
        <v/>
      </c>
      <c r="B210" s="13">
        <f>IF(ISBLANK(C210),"","DIG-"&amp;MID(F210,SEARCH("(",F210)+1,3)&amp;"-"&amp;MID(G210,SEARCH("(",G210)+1,3)&amp;"-"&amp;UPPER(LEFT(TRIM(RIGHT(SUBSTITUTE(TRIM(D210)," ",REPT(" ",100)),100)),3))&amp;"-"&amp;TEXT(A210,"000"))</f>
        <v/>
      </c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15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</row>
    <row r="211">
      <c r="A211" s="13">
        <f>IF(ISBLANK(C211),"",ROW()-1)</f>
        <v/>
      </c>
      <c r="B211" s="13">
        <f>IF(ISBLANK(C211),"","DIG-"&amp;MID(F211,SEARCH("(",F211)+1,3)&amp;"-"&amp;MID(G211,SEARCH("(",G211)+1,3)&amp;"-"&amp;UPPER(LEFT(TRIM(RIGHT(SUBSTITUTE(TRIM(D211)," ",REPT(" ",100)),100)),3))&amp;"-"&amp;TEXT(A211,"000"))</f>
        <v/>
      </c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15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</row>
    <row r="212">
      <c r="A212" s="13">
        <f>IF(ISBLANK(C212),"",ROW()-1)</f>
        <v/>
      </c>
      <c r="B212" s="13">
        <f>IF(ISBLANK(C212),"","DIG-"&amp;MID(F212,SEARCH("(",F212)+1,3)&amp;"-"&amp;MID(G212,SEARCH("(",G212)+1,3)&amp;"-"&amp;UPPER(LEFT(TRIM(RIGHT(SUBSTITUTE(TRIM(D212)," ",REPT(" ",100)),100)),3))&amp;"-"&amp;TEXT(A212,"000"))</f>
        <v/>
      </c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15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</row>
    <row r="213">
      <c r="A213" s="13">
        <f>IF(ISBLANK(C213),"",ROW()-1)</f>
        <v/>
      </c>
      <c r="B213" s="13">
        <f>IF(ISBLANK(C213),"","DIG-"&amp;MID(F213,SEARCH("(",F213)+1,3)&amp;"-"&amp;MID(G213,SEARCH("(",G213)+1,3)&amp;"-"&amp;UPPER(LEFT(TRIM(RIGHT(SUBSTITUTE(TRIM(D213)," ",REPT(" ",100)),100)),3))&amp;"-"&amp;TEXT(A213,"000"))</f>
        <v/>
      </c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15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</row>
    <row r="214">
      <c r="A214" s="13">
        <f>IF(ISBLANK(C214),"",ROW()-1)</f>
        <v/>
      </c>
      <c r="B214" s="13">
        <f>IF(ISBLANK(C214),"","DIG-"&amp;MID(F214,SEARCH("(",F214)+1,3)&amp;"-"&amp;MID(G214,SEARCH("(",G214)+1,3)&amp;"-"&amp;UPPER(LEFT(TRIM(RIGHT(SUBSTITUTE(TRIM(D214)," ",REPT(" ",100)),100)),3))&amp;"-"&amp;TEXT(A214,"000"))</f>
        <v/>
      </c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15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</row>
    <row r="215">
      <c r="A215" s="13">
        <f>IF(ISBLANK(C215),"",ROW()-1)</f>
        <v/>
      </c>
      <c r="B215" s="13">
        <f>IF(ISBLANK(C215),"","DIG-"&amp;MID(F215,SEARCH("(",F215)+1,3)&amp;"-"&amp;MID(G215,SEARCH("(",G215)+1,3)&amp;"-"&amp;UPPER(LEFT(TRIM(RIGHT(SUBSTITUTE(TRIM(D215)," ",REPT(" ",100)),100)),3))&amp;"-"&amp;TEXT(A215,"000"))</f>
        <v/>
      </c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15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</row>
    <row r="216">
      <c r="A216" s="13">
        <f>IF(ISBLANK(C216),"",ROW()-1)</f>
        <v/>
      </c>
      <c r="B216" s="13">
        <f>IF(ISBLANK(C216),"","DIG-"&amp;MID(F216,SEARCH("(",F216)+1,3)&amp;"-"&amp;MID(G216,SEARCH("(",G216)+1,3)&amp;"-"&amp;UPPER(LEFT(TRIM(RIGHT(SUBSTITUTE(TRIM(D216)," ",REPT(" ",100)),100)),3))&amp;"-"&amp;TEXT(A216,"000"))</f>
        <v/>
      </c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15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</row>
    <row r="217">
      <c r="A217" s="13">
        <f>IF(ISBLANK(C217),"",ROW()-1)</f>
        <v/>
      </c>
      <c r="B217" s="13">
        <f>IF(ISBLANK(C217),"","DIG-"&amp;MID(F217,SEARCH("(",F217)+1,3)&amp;"-"&amp;MID(G217,SEARCH("(",G217)+1,3)&amp;"-"&amp;UPPER(LEFT(TRIM(RIGHT(SUBSTITUTE(TRIM(D217)," ",REPT(" ",100)),100)),3))&amp;"-"&amp;TEXT(A217,"000"))</f>
        <v/>
      </c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15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</row>
    <row r="218">
      <c r="A218" s="13">
        <f>IF(ISBLANK(C218),"",ROW()-1)</f>
        <v/>
      </c>
      <c r="B218" s="13">
        <f>IF(ISBLANK(C218),"","DIG-"&amp;MID(F218,SEARCH("(",F218)+1,3)&amp;"-"&amp;MID(G218,SEARCH("(",G218)+1,3)&amp;"-"&amp;UPPER(LEFT(TRIM(RIGHT(SUBSTITUTE(TRIM(D218)," ",REPT(" ",100)),100)),3))&amp;"-"&amp;TEXT(A218,"000"))</f>
        <v/>
      </c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15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</row>
    <row r="219">
      <c r="A219" s="13">
        <f>IF(ISBLANK(C219),"",ROW()-1)</f>
        <v/>
      </c>
      <c r="B219" s="13">
        <f>IF(ISBLANK(C219),"","DIG-"&amp;MID(F219,SEARCH("(",F219)+1,3)&amp;"-"&amp;MID(G219,SEARCH("(",G219)+1,3)&amp;"-"&amp;UPPER(LEFT(TRIM(RIGHT(SUBSTITUTE(TRIM(D219)," ",REPT(" ",100)),100)),3))&amp;"-"&amp;TEXT(A219,"000"))</f>
        <v/>
      </c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15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</row>
    <row r="220">
      <c r="A220" s="13">
        <f>IF(ISBLANK(C220),"",ROW()-1)</f>
        <v/>
      </c>
      <c r="B220" s="13">
        <f>IF(ISBLANK(C220),"","DIG-"&amp;MID(F220,SEARCH("(",F220)+1,3)&amp;"-"&amp;MID(G220,SEARCH("(",G220)+1,3)&amp;"-"&amp;UPPER(LEFT(TRIM(RIGHT(SUBSTITUTE(TRIM(D220)," ",REPT(" ",100)),100)),3))&amp;"-"&amp;TEXT(A220,"000"))</f>
        <v/>
      </c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15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</row>
    <row r="221">
      <c r="A221" s="13">
        <f>IF(ISBLANK(C221),"",ROW()-1)</f>
        <v/>
      </c>
      <c r="B221" s="13">
        <f>IF(ISBLANK(C221),"","DIG-"&amp;MID(F221,SEARCH("(",F221)+1,3)&amp;"-"&amp;MID(G221,SEARCH("(",G221)+1,3)&amp;"-"&amp;UPPER(LEFT(TRIM(RIGHT(SUBSTITUTE(TRIM(D221)," ",REPT(" ",100)),100)),3))&amp;"-"&amp;TEXT(A221,"000"))</f>
        <v/>
      </c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15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</row>
    <row r="222">
      <c r="A222" s="13">
        <f>IF(ISBLANK(C222),"",ROW()-1)</f>
        <v/>
      </c>
      <c r="B222" s="13">
        <f>IF(ISBLANK(C222),"","DIG-"&amp;MID(F222,SEARCH("(",F222)+1,3)&amp;"-"&amp;MID(G222,SEARCH("(",G222)+1,3)&amp;"-"&amp;UPPER(LEFT(TRIM(RIGHT(SUBSTITUTE(TRIM(D222)," ",REPT(" ",100)),100)),3))&amp;"-"&amp;TEXT(A222,"000"))</f>
        <v/>
      </c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15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</row>
    <row r="223">
      <c r="A223" s="13">
        <f>IF(ISBLANK(C223),"",ROW()-1)</f>
        <v/>
      </c>
      <c r="B223" s="13">
        <f>IF(ISBLANK(C223),"","DIG-"&amp;MID(F223,SEARCH("(",F223)+1,3)&amp;"-"&amp;MID(G223,SEARCH("(",G223)+1,3)&amp;"-"&amp;UPPER(LEFT(TRIM(RIGHT(SUBSTITUTE(TRIM(D223)," ",REPT(" ",100)),100)),3))&amp;"-"&amp;TEXT(A223,"000"))</f>
        <v/>
      </c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15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</row>
    <row r="224">
      <c r="A224" s="13">
        <f>IF(ISBLANK(C224),"",ROW()-1)</f>
        <v/>
      </c>
      <c r="B224" s="13">
        <f>IF(ISBLANK(C224),"","DIG-"&amp;MID(F224,SEARCH("(",F224)+1,3)&amp;"-"&amp;MID(G224,SEARCH("(",G224)+1,3)&amp;"-"&amp;UPPER(LEFT(TRIM(RIGHT(SUBSTITUTE(TRIM(D224)," ",REPT(" ",100)),100)),3))&amp;"-"&amp;TEXT(A224,"000"))</f>
        <v/>
      </c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15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</row>
    <row r="225">
      <c r="A225" s="13">
        <f>IF(ISBLANK(C225),"",ROW()-1)</f>
        <v/>
      </c>
      <c r="B225" s="13">
        <f>IF(ISBLANK(C225),"","DIG-"&amp;MID(F225,SEARCH("(",F225)+1,3)&amp;"-"&amp;MID(G225,SEARCH("(",G225)+1,3)&amp;"-"&amp;UPPER(LEFT(TRIM(RIGHT(SUBSTITUTE(TRIM(D225)," ",REPT(" ",100)),100)),3))&amp;"-"&amp;TEXT(A225,"000"))</f>
        <v/>
      </c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15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</row>
    <row r="226">
      <c r="A226" s="13">
        <f>IF(ISBLANK(C226),"",ROW()-1)</f>
        <v/>
      </c>
      <c r="B226" s="13">
        <f>IF(ISBLANK(C226),"","DIG-"&amp;MID(F226,SEARCH("(",F226)+1,3)&amp;"-"&amp;MID(G226,SEARCH("(",G226)+1,3)&amp;"-"&amp;UPPER(LEFT(TRIM(RIGHT(SUBSTITUTE(TRIM(D226)," ",REPT(" ",100)),100)),3))&amp;"-"&amp;TEXT(A226,"000"))</f>
        <v/>
      </c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15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</row>
    <row r="227">
      <c r="A227" s="13">
        <f>IF(ISBLANK(C227),"",ROW()-1)</f>
        <v/>
      </c>
      <c r="B227" s="13">
        <f>IF(ISBLANK(C227),"","DIG-"&amp;MID(F227,SEARCH("(",F227)+1,3)&amp;"-"&amp;MID(G227,SEARCH("(",G227)+1,3)&amp;"-"&amp;UPPER(LEFT(TRIM(RIGHT(SUBSTITUTE(TRIM(D227)," ",REPT(" ",100)),100)),3))&amp;"-"&amp;TEXT(A227,"000"))</f>
        <v/>
      </c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15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</row>
    <row r="228">
      <c r="A228" s="13">
        <f>IF(ISBLANK(C228),"",ROW()-1)</f>
        <v/>
      </c>
      <c r="B228" s="13">
        <f>IF(ISBLANK(C228),"","DIG-"&amp;MID(F228,SEARCH("(",F228)+1,3)&amp;"-"&amp;MID(G228,SEARCH("(",G228)+1,3)&amp;"-"&amp;UPPER(LEFT(TRIM(RIGHT(SUBSTITUTE(TRIM(D228)," ",REPT(" ",100)),100)),3))&amp;"-"&amp;TEXT(A228,"000"))</f>
        <v/>
      </c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15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</row>
    <row r="229">
      <c r="A229" s="13">
        <f>IF(ISBLANK(C229),"",ROW()-1)</f>
        <v/>
      </c>
      <c r="B229" s="13">
        <f>IF(ISBLANK(C229),"","DIG-"&amp;MID(F229,SEARCH("(",F229)+1,3)&amp;"-"&amp;MID(G229,SEARCH("(",G229)+1,3)&amp;"-"&amp;UPPER(LEFT(TRIM(RIGHT(SUBSTITUTE(TRIM(D229)," ",REPT(" ",100)),100)),3))&amp;"-"&amp;TEXT(A229,"000"))</f>
        <v/>
      </c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15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</row>
    <row r="230">
      <c r="A230" s="13">
        <f>IF(ISBLANK(C230),"",ROW()-1)</f>
        <v/>
      </c>
      <c r="B230" s="13">
        <f>IF(ISBLANK(C230),"","DIG-"&amp;MID(F230,SEARCH("(",F230)+1,3)&amp;"-"&amp;MID(G230,SEARCH("(",G230)+1,3)&amp;"-"&amp;UPPER(LEFT(TRIM(RIGHT(SUBSTITUTE(TRIM(D230)," ",REPT(" ",100)),100)),3))&amp;"-"&amp;TEXT(A230,"000"))</f>
        <v/>
      </c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15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</row>
    <row r="231">
      <c r="A231" s="13">
        <f>IF(ISBLANK(C231),"",ROW()-1)</f>
        <v/>
      </c>
      <c r="B231" s="13">
        <f>IF(ISBLANK(C231),"","DIG-"&amp;MID(F231,SEARCH("(",F231)+1,3)&amp;"-"&amp;MID(G231,SEARCH("(",G231)+1,3)&amp;"-"&amp;UPPER(LEFT(TRIM(RIGHT(SUBSTITUTE(TRIM(D231)," ",REPT(" ",100)),100)),3))&amp;"-"&amp;TEXT(A231,"000"))</f>
        <v/>
      </c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15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</row>
    <row r="232">
      <c r="A232" s="13">
        <f>IF(ISBLANK(C232),"",ROW()-1)</f>
        <v/>
      </c>
      <c r="B232" s="13">
        <f>IF(ISBLANK(C232),"","DIG-"&amp;MID(F232,SEARCH("(",F232)+1,3)&amp;"-"&amp;MID(G232,SEARCH("(",G232)+1,3)&amp;"-"&amp;UPPER(LEFT(TRIM(RIGHT(SUBSTITUTE(TRIM(D232)," ",REPT(" ",100)),100)),3))&amp;"-"&amp;TEXT(A232,"000"))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15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</row>
    <row r="233">
      <c r="A233" s="13">
        <f>IF(ISBLANK(C233),"",ROW()-1)</f>
        <v/>
      </c>
      <c r="B233" s="13">
        <f>IF(ISBLANK(C233),"","DIG-"&amp;MID(F233,SEARCH("(",F233)+1,3)&amp;"-"&amp;MID(G233,SEARCH("(",G233)+1,3)&amp;"-"&amp;UPPER(LEFT(TRIM(RIGHT(SUBSTITUTE(TRIM(D233)," ",REPT(" ",100)),100)),3))&amp;"-"&amp;TEXT(A233,"000"))</f>
        <v/>
      </c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15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</row>
    <row r="234">
      <c r="A234" s="13">
        <f>IF(ISBLANK(C234),"",ROW()-1)</f>
        <v/>
      </c>
      <c r="B234" s="13">
        <f>IF(ISBLANK(C234),"","DIG-"&amp;MID(F234,SEARCH("(",F234)+1,3)&amp;"-"&amp;MID(G234,SEARCH("(",G234)+1,3)&amp;"-"&amp;UPPER(LEFT(TRIM(RIGHT(SUBSTITUTE(TRIM(D234)," ",REPT(" ",100)),100)),3))&amp;"-"&amp;TEXT(A234,"000"))</f>
        <v/>
      </c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15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</row>
    <row r="235">
      <c r="A235" s="13">
        <f>IF(ISBLANK(C235),"",ROW()-1)</f>
        <v/>
      </c>
      <c r="B235" s="13">
        <f>IF(ISBLANK(C235),"","DIG-"&amp;MID(F235,SEARCH("(",F235)+1,3)&amp;"-"&amp;MID(G235,SEARCH("(",G235)+1,3)&amp;"-"&amp;UPPER(LEFT(TRIM(RIGHT(SUBSTITUTE(TRIM(D235)," ",REPT(" ",100)),100)),3))&amp;"-"&amp;TEXT(A235,"000"))</f>
        <v/>
      </c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15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</row>
    <row r="236">
      <c r="A236" s="13">
        <f>IF(ISBLANK(C236),"",ROW()-1)</f>
        <v/>
      </c>
      <c r="B236" s="13">
        <f>IF(ISBLANK(C236),"","DIG-"&amp;MID(F236,SEARCH("(",F236)+1,3)&amp;"-"&amp;MID(G236,SEARCH("(",G236)+1,3)&amp;"-"&amp;UPPER(LEFT(TRIM(RIGHT(SUBSTITUTE(TRIM(D236)," ",REPT(" ",100)),100)),3))&amp;"-"&amp;TEXT(A236,"000"))</f>
        <v/>
      </c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15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</row>
    <row r="237">
      <c r="A237" s="13">
        <f>IF(ISBLANK(C237),"",ROW()-1)</f>
        <v/>
      </c>
      <c r="B237" s="13">
        <f>IF(ISBLANK(C237),"","DIG-"&amp;MID(F237,SEARCH("(",F237)+1,3)&amp;"-"&amp;MID(G237,SEARCH("(",G237)+1,3)&amp;"-"&amp;UPPER(LEFT(TRIM(RIGHT(SUBSTITUTE(TRIM(D237)," ",REPT(" ",100)),100)),3))&amp;"-"&amp;TEXT(A237,"000"))</f>
        <v/>
      </c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15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</row>
    <row r="238">
      <c r="A238" s="13">
        <f>IF(ISBLANK(C238),"",ROW()-1)</f>
        <v/>
      </c>
      <c r="B238" s="13">
        <f>IF(ISBLANK(C238),"","DIG-"&amp;MID(F238,SEARCH("(",F238)+1,3)&amp;"-"&amp;MID(G238,SEARCH("(",G238)+1,3)&amp;"-"&amp;UPPER(LEFT(TRIM(RIGHT(SUBSTITUTE(TRIM(D238)," ",REPT(" ",100)),100)),3))&amp;"-"&amp;TEXT(A238,"000"))</f>
        <v/>
      </c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15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</row>
    <row r="239">
      <c r="A239" s="13">
        <f>IF(ISBLANK(C239),"",ROW()-1)</f>
        <v/>
      </c>
      <c r="B239" s="13">
        <f>IF(ISBLANK(C239),"","DIG-"&amp;MID(F239,SEARCH("(",F239)+1,3)&amp;"-"&amp;MID(G239,SEARCH("(",G239)+1,3)&amp;"-"&amp;UPPER(LEFT(TRIM(RIGHT(SUBSTITUTE(TRIM(D239)," ",REPT(" ",100)),100)),3))&amp;"-"&amp;TEXT(A239,"000"))</f>
        <v/>
      </c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15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</row>
    <row r="240">
      <c r="A240" s="13">
        <f>IF(ISBLANK(C240),"",ROW()-1)</f>
        <v/>
      </c>
      <c r="B240" s="13">
        <f>IF(ISBLANK(C240),"","DIG-"&amp;MID(F240,SEARCH("(",F240)+1,3)&amp;"-"&amp;MID(G240,SEARCH("(",G240)+1,3)&amp;"-"&amp;UPPER(LEFT(TRIM(RIGHT(SUBSTITUTE(TRIM(D240)," ",REPT(" ",100)),100)),3))&amp;"-"&amp;TEXT(A240,"000"))</f>
        <v/>
      </c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15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</row>
    <row r="241">
      <c r="A241" s="13">
        <f>IF(ISBLANK(C241),"",ROW()-1)</f>
        <v/>
      </c>
      <c r="B241" s="13">
        <f>IF(ISBLANK(C241),"","DIG-"&amp;MID(F241,SEARCH("(",F241)+1,3)&amp;"-"&amp;MID(G241,SEARCH("(",G241)+1,3)&amp;"-"&amp;UPPER(LEFT(TRIM(RIGHT(SUBSTITUTE(TRIM(D241)," ",REPT(" ",100)),100)),3))&amp;"-"&amp;TEXT(A241,"000"))</f>
        <v/>
      </c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15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</row>
    <row r="242">
      <c r="A242" s="13">
        <f>IF(ISBLANK(C242),"",ROW()-1)</f>
        <v/>
      </c>
      <c r="B242" s="13">
        <f>IF(ISBLANK(C242),"","DIG-"&amp;MID(F242,SEARCH("(",F242)+1,3)&amp;"-"&amp;MID(G242,SEARCH("(",G242)+1,3)&amp;"-"&amp;UPPER(LEFT(TRIM(RIGHT(SUBSTITUTE(TRIM(D242)," ",REPT(" ",100)),100)),3))&amp;"-"&amp;TEXT(A242,"000"))</f>
        <v/>
      </c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15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</row>
    <row r="243">
      <c r="A243" s="13">
        <f>IF(ISBLANK(C243),"",ROW()-1)</f>
        <v/>
      </c>
      <c r="B243" s="13">
        <f>IF(ISBLANK(C243),"","DIG-"&amp;MID(F243,SEARCH("(",F243)+1,3)&amp;"-"&amp;MID(G243,SEARCH("(",G243)+1,3)&amp;"-"&amp;UPPER(LEFT(TRIM(RIGHT(SUBSTITUTE(TRIM(D243)," ",REPT(" ",100)),100)),3))&amp;"-"&amp;TEXT(A243,"000"))</f>
        <v/>
      </c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15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</row>
    <row r="244">
      <c r="A244" s="13">
        <f>IF(ISBLANK(C244),"",ROW()-1)</f>
        <v/>
      </c>
      <c r="B244" s="13">
        <f>IF(ISBLANK(C244),"","DIG-"&amp;MID(F244,SEARCH("(",F244)+1,3)&amp;"-"&amp;MID(G244,SEARCH("(",G244)+1,3)&amp;"-"&amp;UPPER(LEFT(TRIM(RIGHT(SUBSTITUTE(TRIM(D244)," ",REPT(" ",100)),100)),3))&amp;"-"&amp;TEXT(A244,"000"))</f>
        <v/>
      </c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15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</row>
    <row r="245">
      <c r="A245" s="13">
        <f>IF(ISBLANK(C245),"",ROW()-1)</f>
        <v/>
      </c>
      <c r="B245" s="13">
        <f>IF(ISBLANK(C245),"","DIG-"&amp;MID(F245,SEARCH("(",F245)+1,3)&amp;"-"&amp;MID(G245,SEARCH("(",G245)+1,3)&amp;"-"&amp;UPPER(LEFT(TRIM(RIGHT(SUBSTITUTE(TRIM(D245)," ",REPT(" ",100)),100)),3))&amp;"-"&amp;TEXT(A245,"000"))</f>
        <v/>
      </c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15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</row>
    <row r="246">
      <c r="A246" s="13">
        <f>IF(ISBLANK(C246),"",ROW()-1)</f>
        <v/>
      </c>
      <c r="B246" s="13">
        <f>IF(ISBLANK(C246),"","DIG-"&amp;MID(F246,SEARCH("(",F246)+1,3)&amp;"-"&amp;MID(G246,SEARCH("(",G246)+1,3)&amp;"-"&amp;UPPER(LEFT(TRIM(RIGHT(SUBSTITUTE(TRIM(D246)," ",REPT(" ",100)),100)),3))&amp;"-"&amp;TEXT(A246,"000"))</f>
        <v/>
      </c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15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</row>
    <row r="247">
      <c r="A247" s="13">
        <f>IF(ISBLANK(C247),"",ROW()-1)</f>
        <v/>
      </c>
      <c r="B247" s="13">
        <f>IF(ISBLANK(C247),"","DIG-"&amp;MID(F247,SEARCH("(",F247)+1,3)&amp;"-"&amp;MID(G247,SEARCH("(",G247)+1,3)&amp;"-"&amp;UPPER(LEFT(TRIM(RIGHT(SUBSTITUTE(TRIM(D247)," ",REPT(" ",100)),100)),3))&amp;"-"&amp;TEXT(A247,"000"))</f>
        <v/>
      </c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15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</row>
    <row r="248">
      <c r="A248" s="13">
        <f>IF(ISBLANK(C248),"",ROW()-1)</f>
        <v/>
      </c>
      <c r="B248" s="13">
        <f>IF(ISBLANK(C248),"","DIG-"&amp;MID(F248,SEARCH("(",F248)+1,3)&amp;"-"&amp;MID(G248,SEARCH("(",G248)+1,3)&amp;"-"&amp;UPPER(LEFT(TRIM(RIGHT(SUBSTITUTE(TRIM(D248)," ",REPT(" ",100)),100)),3))&amp;"-"&amp;TEXT(A248,"000"))</f>
        <v/>
      </c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15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</row>
    <row r="249">
      <c r="A249" s="13">
        <f>IF(ISBLANK(C249),"",ROW()-1)</f>
        <v/>
      </c>
      <c r="B249" s="13">
        <f>IF(ISBLANK(C249),"","DIG-"&amp;MID(F249,SEARCH("(",F249)+1,3)&amp;"-"&amp;MID(G249,SEARCH("(",G249)+1,3)&amp;"-"&amp;UPPER(LEFT(TRIM(RIGHT(SUBSTITUTE(TRIM(D249)," ",REPT(" ",100)),100)),3))&amp;"-"&amp;TEXT(A249,"000"))</f>
        <v/>
      </c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15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</row>
    <row r="250">
      <c r="A250" s="13">
        <f>IF(ISBLANK(C250),"",ROW()-1)</f>
        <v/>
      </c>
      <c r="B250" s="13">
        <f>IF(ISBLANK(C250),"","DIG-"&amp;MID(F250,SEARCH("(",F250)+1,3)&amp;"-"&amp;MID(G250,SEARCH("(",G250)+1,3)&amp;"-"&amp;UPPER(LEFT(TRIM(RIGHT(SUBSTITUTE(TRIM(D250)," ",REPT(" ",100)),100)),3))&amp;"-"&amp;TEXT(A250,"000"))</f>
        <v/>
      </c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15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</row>
    <row r="251">
      <c r="A251" s="13">
        <f>IF(ISBLANK(C251),"",ROW()-1)</f>
        <v/>
      </c>
      <c r="B251" s="13">
        <f>IF(ISBLANK(C251),"","DIG-"&amp;MID(F251,SEARCH("(",F251)+1,3)&amp;"-"&amp;MID(G251,SEARCH("(",G251)+1,3)&amp;"-"&amp;UPPER(LEFT(TRIM(RIGHT(SUBSTITUTE(TRIM(D251)," ",REPT(" ",100)),100)),3))&amp;"-"&amp;TEXT(A251,"000"))</f>
        <v/>
      </c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15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</row>
    <row r="252">
      <c r="A252" s="13">
        <f>IF(ISBLANK(C252),"",ROW()-1)</f>
        <v/>
      </c>
      <c r="B252" s="13">
        <f>IF(ISBLANK(C252),"","DIG-"&amp;MID(F252,SEARCH("(",F252)+1,3)&amp;"-"&amp;MID(G252,SEARCH("(",G252)+1,3)&amp;"-"&amp;UPPER(LEFT(TRIM(RIGHT(SUBSTITUTE(TRIM(D252)," ",REPT(" ",100)),100)),3))&amp;"-"&amp;TEXT(A252,"000"))</f>
        <v/>
      </c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15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</row>
    <row r="253">
      <c r="A253" s="13">
        <f>IF(ISBLANK(C253),"",ROW()-1)</f>
        <v/>
      </c>
      <c r="B253" s="13">
        <f>IF(ISBLANK(C253),"","DIG-"&amp;MID(F253,SEARCH("(",F253)+1,3)&amp;"-"&amp;MID(G253,SEARCH("(",G253)+1,3)&amp;"-"&amp;UPPER(LEFT(TRIM(RIGHT(SUBSTITUTE(TRIM(D253)," ",REPT(" ",100)),100)),3))&amp;"-"&amp;TEXT(A253,"000"))</f>
        <v/>
      </c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15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</row>
    <row r="254">
      <c r="A254" s="13">
        <f>IF(ISBLANK(C254),"",ROW()-1)</f>
        <v/>
      </c>
      <c r="B254" s="13">
        <f>IF(ISBLANK(C254),"","DIG-"&amp;MID(F254,SEARCH("(",F254)+1,3)&amp;"-"&amp;MID(G254,SEARCH("(",G254)+1,3)&amp;"-"&amp;UPPER(LEFT(TRIM(RIGHT(SUBSTITUTE(TRIM(D254)," ",REPT(" ",100)),100)),3))&amp;"-"&amp;TEXT(A254,"000"))</f>
        <v/>
      </c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15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</row>
    <row r="255">
      <c r="A255" s="13">
        <f>IF(ISBLANK(C255),"",ROW()-1)</f>
        <v/>
      </c>
      <c r="B255" s="13">
        <f>IF(ISBLANK(C255),"","DIG-"&amp;MID(F255,SEARCH("(",F255)+1,3)&amp;"-"&amp;MID(G255,SEARCH("(",G255)+1,3)&amp;"-"&amp;UPPER(LEFT(TRIM(RIGHT(SUBSTITUTE(TRIM(D255)," ",REPT(" ",100)),100)),3))&amp;"-"&amp;TEXT(A255,"000"))</f>
        <v/>
      </c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15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</row>
    <row r="256">
      <c r="A256" s="13">
        <f>IF(ISBLANK(C256),"",ROW()-1)</f>
        <v/>
      </c>
      <c r="B256" s="13">
        <f>IF(ISBLANK(C256),"","DIG-"&amp;MID(F256,SEARCH("(",F256)+1,3)&amp;"-"&amp;MID(G256,SEARCH("(",G256)+1,3)&amp;"-"&amp;UPPER(LEFT(TRIM(RIGHT(SUBSTITUTE(TRIM(D256)," ",REPT(" ",100)),100)),3))&amp;"-"&amp;TEXT(A256,"000"))</f>
        <v/>
      </c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15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</row>
    <row r="257">
      <c r="A257" s="13">
        <f>IF(ISBLANK(C257),"",ROW()-1)</f>
        <v/>
      </c>
      <c r="B257" s="13">
        <f>IF(ISBLANK(C257),"","DIG-"&amp;MID(F257,SEARCH("(",F257)+1,3)&amp;"-"&amp;MID(G257,SEARCH("(",G257)+1,3)&amp;"-"&amp;UPPER(LEFT(TRIM(RIGHT(SUBSTITUTE(TRIM(D257)," ",REPT(" ",100)),100)),3))&amp;"-"&amp;TEXT(A257,"000"))</f>
        <v/>
      </c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15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</row>
    <row r="258">
      <c r="A258" s="13">
        <f>IF(ISBLANK(C258),"",ROW()-1)</f>
        <v/>
      </c>
      <c r="B258" s="13">
        <f>IF(ISBLANK(C258),"","DIG-"&amp;MID(F258,SEARCH("(",F258)+1,3)&amp;"-"&amp;MID(G258,SEARCH("(",G258)+1,3)&amp;"-"&amp;UPPER(LEFT(TRIM(RIGHT(SUBSTITUTE(TRIM(D258)," ",REPT(" ",100)),100)),3))&amp;"-"&amp;TEXT(A258,"000"))</f>
        <v/>
      </c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15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</row>
    <row r="259">
      <c r="A259" s="13">
        <f>IF(ISBLANK(C259),"",ROW()-1)</f>
        <v/>
      </c>
      <c r="B259" s="13">
        <f>IF(ISBLANK(C259),"","DIG-"&amp;MID(F259,SEARCH("(",F259)+1,3)&amp;"-"&amp;MID(G259,SEARCH("(",G259)+1,3)&amp;"-"&amp;UPPER(LEFT(TRIM(RIGHT(SUBSTITUTE(TRIM(D259)," ",REPT(" ",100)),100)),3))&amp;"-"&amp;TEXT(A259,"000"))</f>
        <v/>
      </c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15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</row>
    <row r="260">
      <c r="A260" s="13">
        <f>IF(ISBLANK(C260),"",ROW()-1)</f>
        <v/>
      </c>
      <c r="B260" s="13">
        <f>IF(ISBLANK(C260),"","DIG-"&amp;MID(F260,SEARCH("(",F260)+1,3)&amp;"-"&amp;MID(G260,SEARCH("(",G260)+1,3)&amp;"-"&amp;UPPER(LEFT(TRIM(RIGHT(SUBSTITUTE(TRIM(D260)," ",REPT(" ",100)),100)),3))&amp;"-"&amp;TEXT(A260,"000"))</f>
        <v/>
      </c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15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</row>
    <row r="261">
      <c r="A261" s="13">
        <f>IF(ISBLANK(C261),"",ROW()-1)</f>
        <v/>
      </c>
      <c r="B261" s="13">
        <f>IF(ISBLANK(C261),"","DIG-"&amp;MID(F261,SEARCH("(",F261)+1,3)&amp;"-"&amp;MID(G261,SEARCH("(",G261)+1,3)&amp;"-"&amp;UPPER(LEFT(TRIM(RIGHT(SUBSTITUTE(TRIM(D261)," ",REPT(" ",100)),100)),3))&amp;"-"&amp;TEXT(A261,"000"))</f>
        <v/>
      </c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15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</row>
    <row r="262">
      <c r="A262" s="13">
        <f>IF(ISBLANK(C262),"",ROW()-1)</f>
        <v/>
      </c>
      <c r="B262" s="13">
        <f>IF(ISBLANK(C262),"","DIG-"&amp;MID(F262,SEARCH("(",F262)+1,3)&amp;"-"&amp;MID(G262,SEARCH("(",G262)+1,3)&amp;"-"&amp;UPPER(LEFT(TRIM(RIGHT(SUBSTITUTE(TRIM(D262)," ",REPT(" ",100)),100)),3))&amp;"-"&amp;TEXT(A262,"000"))</f>
        <v/>
      </c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15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</row>
    <row r="263">
      <c r="A263" s="13">
        <f>IF(ISBLANK(C263),"",ROW()-1)</f>
        <v/>
      </c>
      <c r="B263" s="13">
        <f>IF(ISBLANK(C263),"","DIG-"&amp;MID(F263,SEARCH("(",F263)+1,3)&amp;"-"&amp;MID(G263,SEARCH("(",G263)+1,3)&amp;"-"&amp;UPPER(LEFT(TRIM(RIGHT(SUBSTITUTE(TRIM(D263)," ",REPT(" ",100)),100)),3))&amp;"-"&amp;TEXT(A263,"000"))</f>
        <v/>
      </c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15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</row>
    <row r="264">
      <c r="A264" s="13">
        <f>IF(ISBLANK(C264),"",ROW()-1)</f>
        <v/>
      </c>
      <c r="B264" s="13">
        <f>IF(ISBLANK(C264),"","DIG-"&amp;MID(F264,SEARCH("(",F264)+1,3)&amp;"-"&amp;MID(G264,SEARCH("(",G264)+1,3)&amp;"-"&amp;UPPER(LEFT(TRIM(RIGHT(SUBSTITUTE(TRIM(D264)," ",REPT(" ",100)),100)),3))&amp;"-"&amp;TEXT(A264,"000"))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15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</row>
    <row r="265">
      <c r="A265" s="13">
        <f>IF(ISBLANK(C265),"",ROW()-1)</f>
        <v/>
      </c>
      <c r="B265" s="13">
        <f>IF(ISBLANK(C265),"","DIG-"&amp;MID(F265,SEARCH("(",F265)+1,3)&amp;"-"&amp;MID(G265,SEARCH("(",G265)+1,3)&amp;"-"&amp;UPPER(LEFT(TRIM(RIGHT(SUBSTITUTE(TRIM(D265)," ",REPT(" ",100)),100)),3))&amp;"-"&amp;TEXT(A265,"000"))</f>
        <v/>
      </c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15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</row>
    <row r="266">
      <c r="A266" s="13">
        <f>IF(ISBLANK(C266),"",ROW()-1)</f>
        <v/>
      </c>
      <c r="B266" s="13">
        <f>IF(ISBLANK(C266),"","DIG-"&amp;MID(F266,SEARCH("(",F266)+1,3)&amp;"-"&amp;MID(G266,SEARCH("(",G266)+1,3)&amp;"-"&amp;UPPER(LEFT(TRIM(RIGHT(SUBSTITUTE(TRIM(D266)," ",REPT(" ",100)),100)),3))&amp;"-"&amp;TEXT(A266,"000"))</f>
        <v/>
      </c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15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</row>
    <row r="267">
      <c r="A267" s="13">
        <f>IF(ISBLANK(C267),"",ROW()-1)</f>
        <v/>
      </c>
      <c r="B267" s="13">
        <f>IF(ISBLANK(C267),"","DIG-"&amp;MID(F267,SEARCH("(",F267)+1,3)&amp;"-"&amp;MID(G267,SEARCH("(",G267)+1,3)&amp;"-"&amp;UPPER(LEFT(TRIM(RIGHT(SUBSTITUTE(TRIM(D267)," ",REPT(" ",100)),100)),3))&amp;"-"&amp;TEXT(A267,"000"))</f>
        <v/>
      </c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15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</row>
    <row r="268">
      <c r="A268" s="13">
        <f>IF(ISBLANK(C268),"",ROW()-1)</f>
        <v/>
      </c>
      <c r="B268" s="13">
        <f>IF(ISBLANK(C268),"","DIG-"&amp;MID(F268,SEARCH("(",F268)+1,3)&amp;"-"&amp;MID(G268,SEARCH("(",G268)+1,3)&amp;"-"&amp;UPPER(LEFT(TRIM(RIGHT(SUBSTITUTE(TRIM(D268)," ",REPT(" ",100)),100)),3))&amp;"-"&amp;TEXT(A268,"000"))</f>
        <v/>
      </c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15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</row>
    <row r="269">
      <c r="A269" s="13">
        <f>IF(ISBLANK(C269),"",ROW()-1)</f>
        <v/>
      </c>
      <c r="B269" s="13">
        <f>IF(ISBLANK(C269),"","DIG-"&amp;MID(F269,SEARCH("(",F269)+1,3)&amp;"-"&amp;MID(G269,SEARCH("(",G269)+1,3)&amp;"-"&amp;UPPER(LEFT(TRIM(RIGHT(SUBSTITUTE(TRIM(D269)," ",REPT(" ",100)),100)),3))&amp;"-"&amp;TEXT(A269,"000"))</f>
        <v/>
      </c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15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</row>
    <row r="270">
      <c r="A270" s="13">
        <f>IF(ISBLANK(C270),"",ROW()-1)</f>
        <v/>
      </c>
      <c r="B270" s="13">
        <f>IF(ISBLANK(C270),"","DIG-"&amp;MID(F270,SEARCH("(",F270)+1,3)&amp;"-"&amp;MID(G270,SEARCH("(",G270)+1,3)&amp;"-"&amp;UPPER(LEFT(TRIM(RIGHT(SUBSTITUTE(TRIM(D270)," ",REPT(" ",100)),100)),3))&amp;"-"&amp;TEXT(A270,"000"))</f>
        <v/>
      </c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15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</row>
    <row r="271">
      <c r="A271" s="13">
        <f>IF(ISBLANK(C271),"",ROW()-1)</f>
        <v/>
      </c>
      <c r="B271" s="13">
        <f>IF(ISBLANK(C271),"","DIG-"&amp;MID(F271,SEARCH("(",F271)+1,3)&amp;"-"&amp;MID(G271,SEARCH("(",G271)+1,3)&amp;"-"&amp;UPPER(LEFT(TRIM(RIGHT(SUBSTITUTE(TRIM(D271)," ",REPT(" ",100)),100)),3))&amp;"-"&amp;TEXT(A271,"000"))</f>
        <v/>
      </c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15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</row>
    <row r="272">
      <c r="A272" s="13">
        <f>IF(ISBLANK(C272),"",ROW()-1)</f>
        <v/>
      </c>
      <c r="B272" s="13">
        <f>IF(ISBLANK(C272),"","DIG-"&amp;MID(F272,SEARCH("(",F272)+1,3)&amp;"-"&amp;MID(G272,SEARCH("(",G272)+1,3)&amp;"-"&amp;UPPER(LEFT(TRIM(RIGHT(SUBSTITUTE(TRIM(D272)," ",REPT(" ",100)),100)),3))&amp;"-"&amp;TEXT(A272,"000"))</f>
        <v/>
      </c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15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</row>
    <row r="273">
      <c r="A273" s="13">
        <f>IF(ISBLANK(C273),"",ROW()-1)</f>
        <v/>
      </c>
      <c r="B273" s="13">
        <f>IF(ISBLANK(C273),"","DIG-"&amp;MID(F273,SEARCH("(",F273)+1,3)&amp;"-"&amp;MID(G273,SEARCH("(",G273)+1,3)&amp;"-"&amp;UPPER(LEFT(TRIM(RIGHT(SUBSTITUTE(TRIM(D273)," ",REPT(" ",100)),100)),3))&amp;"-"&amp;TEXT(A273,"000"))</f>
        <v/>
      </c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15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</row>
    <row r="274">
      <c r="A274" s="13">
        <f>IF(ISBLANK(C274),"",ROW()-1)</f>
        <v/>
      </c>
      <c r="B274" s="13">
        <f>IF(ISBLANK(C274),"","DIG-"&amp;MID(F274,SEARCH("(",F274)+1,3)&amp;"-"&amp;MID(G274,SEARCH("(",G274)+1,3)&amp;"-"&amp;UPPER(LEFT(TRIM(RIGHT(SUBSTITUTE(TRIM(D274)," ",REPT(" ",100)),100)),3))&amp;"-"&amp;TEXT(A274,"000"))</f>
        <v/>
      </c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15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</row>
    <row r="275">
      <c r="A275" s="13">
        <f>IF(ISBLANK(C275),"",ROW()-1)</f>
        <v/>
      </c>
      <c r="B275" s="13">
        <f>IF(ISBLANK(C275),"","DIG-"&amp;MID(F275,SEARCH("(",F275)+1,3)&amp;"-"&amp;MID(G275,SEARCH("(",G275)+1,3)&amp;"-"&amp;UPPER(LEFT(TRIM(RIGHT(SUBSTITUTE(TRIM(D275)," ",REPT(" ",100)),100)),3))&amp;"-"&amp;TEXT(A275,"000"))</f>
        <v/>
      </c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15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</row>
    <row r="276">
      <c r="A276" s="13">
        <f>IF(ISBLANK(C276),"",ROW()-1)</f>
        <v/>
      </c>
      <c r="B276" s="13">
        <f>IF(ISBLANK(C276),"","DIG-"&amp;MID(F276,SEARCH("(",F276)+1,3)&amp;"-"&amp;MID(G276,SEARCH("(",G276)+1,3)&amp;"-"&amp;UPPER(LEFT(TRIM(RIGHT(SUBSTITUTE(TRIM(D276)," ",REPT(" ",100)),100)),3))&amp;"-"&amp;TEXT(A276,"000"))</f>
        <v/>
      </c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15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</row>
    <row r="277">
      <c r="A277" s="13">
        <f>IF(ISBLANK(C277),"",ROW()-1)</f>
        <v/>
      </c>
      <c r="B277" s="13">
        <f>IF(ISBLANK(C277),"","DIG-"&amp;MID(F277,SEARCH("(",F277)+1,3)&amp;"-"&amp;MID(G277,SEARCH("(",G277)+1,3)&amp;"-"&amp;UPPER(LEFT(TRIM(RIGHT(SUBSTITUTE(TRIM(D277)," ",REPT(" ",100)),100)),3))&amp;"-"&amp;TEXT(A277,"000"))</f>
        <v/>
      </c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15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</row>
    <row r="278">
      <c r="A278" s="13">
        <f>IF(ISBLANK(C278),"",ROW()-1)</f>
        <v/>
      </c>
      <c r="B278" s="13">
        <f>IF(ISBLANK(C278),"","DIG-"&amp;MID(F278,SEARCH("(",F278)+1,3)&amp;"-"&amp;MID(G278,SEARCH("(",G278)+1,3)&amp;"-"&amp;UPPER(LEFT(TRIM(RIGHT(SUBSTITUTE(TRIM(D278)," ",REPT(" ",100)),100)),3))&amp;"-"&amp;TEXT(A278,"000"))</f>
        <v/>
      </c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15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</row>
    <row r="279">
      <c r="A279" s="13">
        <f>IF(ISBLANK(C279),"",ROW()-1)</f>
        <v/>
      </c>
      <c r="B279" s="13">
        <f>IF(ISBLANK(C279),"","DIG-"&amp;MID(F279,SEARCH("(",F279)+1,3)&amp;"-"&amp;MID(G279,SEARCH("(",G279)+1,3)&amp;"-"&amp;UPPER(LEFT(TRIM(RIGHT(SUBSTITUTE(TRIM(D279)," ",REPT(" ",100)),100)),3))&amp;"-"&amp;TEXT(A279,"000"))</f>
        <v/>
      </c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15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</row>
    <row r="280">
      <c r="A280" s="13">
        <f>IF(ISBLANK(C280),"",ROW()-1)</f>
        <v/>
      </c>
      <c r="B280" s="13">
        <f>IF(ISBLANK(C280),"","DIG-"&amp;MID(F280,SEARCH("(",F280)+1,3)&amp;"-"&amp;MID(G280,SEARCH("(",G280)+1,3)&amp;"-"&amp;UPPER(LEFT(TRIM(RIGHT(SUBSTITUTE(TRIM(D280)," ",REPT(" ",100)),100)),3))&amp;"-"&amp;TEXT(A280,"000"))</f>
        <v/>
      </c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15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</row>
    <row r="281">
      <c r="A281" s="13">
        <f>IF(ISBLANK(C281),"",ROW()-1)</f>
        <v/>
      </c>
      <c r="B281" s="13">
        <f>IF(ISBLANK(C281),"","DIG-"&amp;MID(F281,SEARCH("(",F281)+1,3)&amp;"-"&amp;MID(G281,SEARCH("(",G281)+1,3)&amp;"-"&amp;UPPER(LEFT(TRIM(RIGHT(SUBSTITUTE(TRIM(D281)," ",REPT(" ",100)),100)),3))&amp;"-"&amp;TEXT(A281,"000"))</f>
        <v/>
      </c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15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</row>
    <row r="282">
      <c r="A282" s="13">
        <f>IF(ISBLANK(C282),"",ROW()-1)</f>
        <v/>
      </c>
      <c r="B282" s="13">
        <f>IF(ISBLANK(C282),"","DIG-"&amp;MID(F282,SEARCH("(",F282)+1,3)&amp;"-"&amp;MID(G282,SEARCH("(",G282)+1,3)&amp;"-"&amp;UPPER(LEFT(TRIM(RIGHT(SUBSTITUTE(TRIM(D282)," ",REPT(" ",100)),100)),3))&amp;"-"&amp;TEXT(A282,"000"))</f>
        <v/>
      </c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15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</row>
    <row r="283">
      <c r="A283" s="13">
        <f>IF(ISBLANK(C283),"",ROW()-1)</f>
        <v/>
      </c>
      <c r="B283" s="13">
        <f>IF(ISBLANK(C283),"","DIG-"&amp;MID(F283,SEARCH("(",F283)+1,3)&amp;"-"&amp;MID(G283,SEARCH("(",G283)+1,3)&amp;"-"&amp;UPPER(LEFT(TRIM(RIGHT(SUBSTITUTE(TRIM(D283)," ",REPT(" ",100)),100)),3))&amp;"-"&amp;TEXT(A283,"000"))</f>
        <v/>
      </c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15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</row>
    <row r="284">
      <c r="A284" s="13">
        <f>IF(ISBLANK(C284),"",ROW()-1)</f>
        <v/>
      </c>
      <c r="B284" s="13">
        <f>IF(ISBLANK(C284),"","DIG-"&amp;MID(F284,SEARCH("(",F284)+1,3)&amp;"-"&amp;MID(G284,SEARCH("(",G284)+1,3)&amp;"-"&amp;UPPER(LEFT(TRIM(RIGHT(SUBSTITUTE(TRIM(D284)," ",REPT(" ",100)),100)),3))&amp;"-"&amp;TEXT(A284,"000"))</f>
        <v/>
      </c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15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</row>
    <row r="285">
      <c r="A285" s="13">
        <f>IF(ISBLANK(C285),"",ROW()-1)</f>
        <v/>
      </c>
      <c r="B285" s="13">
        <f>IF(ISBLANK(C285),"","DIG-"&amp;MID(F285,SEARCH("(",F285)+1,3)&amp;"-"&amp;MID(G285,SEARCH("(",G285)+1,3)&amp;"-"&amp;UPPER(LEFT(TRIM(RIGHT(SUBSTITUTE(TRIM(D285)," ",REPT(" ",100)),100)),3))&amp;"-"&amp;TEXT(A285,"000"))</f>
        <v/>
      </c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15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</row>
    <row r="286">
      <c r="A286" s="13">
        <f>IF(ISBLANK(C286),"",ROW()-1)</f>
        <v/>
      </c>
      <c r="B286" s="13">
        <f>IF(ISBLANK(C286),"","DIG-"&amp;MID(F286,SEARCH("(",F286)+1,3)&amp;"-"&amp;MID(G286,SEARCH("(",G286)+1,3)&amp;"-"&amp;UPPER(LEFT(TRIM(RIGHT(SUBSTITUTE(TRIM(D286)," ",REPT(" ",100)),100)),3))&amp;"-"&amp;TEXT(A286,"000"))</f>
        <v/>
      </c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15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</row>
    <row r="287">
      <c r="A287" s="13">
        <f>IF(ISBLANK(C287),"",ROW()-1)</f>
        <v/>
      </c>
      <c r="B287" s="13">
        <f>IF(ISBLANK(C287),"","DIG-"&amp;MID(F287,SEARCH("(",F287)+1,3)&amp;"-"&amp;MID(G287,SEARCH("(",G287)+1,3)&amp;"-"&amp;UPPER(LEFT(TRIM(RIGHT(SUBSTITUTE(TRIM(D287)," ",REPT(" ",100)),100)),3))&amp;"-"&amp;TEXT(A287,"000"))</f>
        <v/>
      </c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15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</row>
    <row r="288">
      <c r="A288" s="13">
        <f>IF(ISBLANK(C288),"",ROW()-1)</f>
        <v/>
      </c>
      <c r="B288" s="13">
        <f>IF(ISBLANK(C288),"","DIG-"&amp;MID(F288,SEARCH("(",F288)+1,3)&amp;"-"&amp;MID(G288,SEARCH("(",G288)+1,3)&amp;"-"&amp;UPPER(LEFT(TRIM(RIGHT(SUBSTITUTE(TRIM(D288)," ",REPT(" ",100)),100)),3))&amp;"-"&amp;TEXT(A288,"000"))</f>
        <v/>
      </c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15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</row>
    <row r="289">
      <c r="A289" s="13">
        <f>IF(ISBLANK(C289),"",ROW()-1)</f>
        <v/>
      </c>
      <c r="B289" s="13">
        <f>IF(ISBLANK(C289),"","DIG-"&amp;MID(F289,SEARCH("(",F289)+1,3)&amp;"-"&amp;MID(G289,SEARCH("(",G289)+1,3)&amp;"-"&amp;UPPER(LEFT(TRIM(RIGHT(SUBSTITUTE(TRIM(D289)," ",REPT(" ",100)),100)),3))&amp;"-"&amp;TEXT(A289,"000"))</f>
        <v/>
      </c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15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</row>
    <row r="290">
      <c r="A290" s="13">
        <f>IF(ISBLANK(C290),"",ROW()-1)</f>
        <v/>
      </c>
      <c r="B290" s="13">
        <f>IF(ISBLANK(C290),"","DIG-"&amp;MID(F290,SEARCH("(",F290)+1,3)&amp;"-"&amp;MID(G290,SEARCH("(",G290)+1,3)&amp;"-"&amp;UPPER(LEFT(TRIM(RIGHT(SUBSTITUTE(TRIM(D290)," ",REPT(" ",100)),100)),3))&amp;"-"&amp;TEXT(A290,"000"))</f>
        <v/>
      </c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15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</row>
    <row r="291">
      <c r="A291" s="13">
        <f>IF(ISBLANK(C291),"",ROW()-1)</f>
        <v/>
      </c>
      <c r="B291" s="13">
        <f>IF(ISBLANK(C291),"","DIG-"&amp;MID(F291,SEARCH("(",F291)+1,3)&amp;"-"&amp;MID(G291,SEARCH("(",G291)+1,3)&amp;"-"&amp;UPPER(LEFT(TRIM(RIGHT(SUBSTITUTE(TRIM(D291)," ",REPT(" ",100)),100)),3))&amp;"-"&amp;TEXT(A291,"000"))</f>
        <v/>
      </c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15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</row>
    <row r="292">
      <c r="A292" s="13">
        <f>IF(ISBLANK(C292),"",ROW()-1)</f>
        <v/>
      </c>
      <c r="B292" s="13">
        <f>IF(ISBLANK(C292),"","DIG-"&amp;MID(F292,SEARCH("(",F292)+1,3)&amp;"-"&amp;MID(G292,SEARCH("(",G292)+1,3)&amp;"-"&amp;UPPER(LEFT(TRIM(RIGHT(SUBSTITUTE(TRIM(D292)," ",REPT(" ",100)),100)),3))&amp;"-"&amp;TEXT(A292,"000"))</f>
        <v/>
      </c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15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</row>
    <row r="293">
      <c r="A293" s="13">
        <f>IF(ISBLANK(C293),"",ROW()-1)</f>
        <v/>
      </c>
      <c r="B293" s="13">
        <f>IF(ISBLANK(C293),"","DIG-"&amp;MID(F293,SEARCH("(",F293)+1,3)&amp;"-"&amp;MID(G293,SEARCH("(",G293)+1,3)&amp;"-"&amp;UPPER(LEFT(TRIM(RIGHT(SUBSTITUTE(TRIM(D293)," ",REPT(" ",100)),100)),3))&amp;"-"&amp;TEXT(A293,"000"))</f>
        <v/>
      </c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15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</row>
    <row r="294">
      <c r="A294" s="13">
        <f>IF(ISBLANK(C294),"",ROW()-1)</f>
        <v/>
      </c>
      <c r="B294" s="13">
        <f>IF(ISBLANK(C294),"","DIG-"&amp;MID(F294,SEARCH("(",F294)+1,3)&amp;"-"&amp;MID(G294,SEARCH("(",G294)+1,3)&amp;"-"&amp;UPPER(LEFT(TRIM(RIGHT(SUBSTITUTE(TRIM(D294)," ",REPT(" ",100)),100)),3))&amp;"-"&amp;TEXT(A294,"000"))</f>
        <v/>
      </c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15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</row>
    <row r="295">
      <c r="A295" s="13">
        <f>IF(ISBLANK(C295),"",ROW()-1)</f>
        <v/>
      </c>
      <c r="B295" s="13">
        <f>IF(ISBLANK(C295),"","DIG-"&amp;MID(F295,SEARCH("(",F295)+1,3)&amp;"-"&amp;MID(G295,SEARCH("(",G295)+1,3)&amp;"-"&amp;UPPER(LEFT(TRIM(RIGHT(SUBSTITUTE(TRIM(D295)," ",REPT(" ",100)),100)),3))&amp;"-"&amp;TEXT(A295,"000"))</f>
        <v/>
      </c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15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</row>
    <row r="296">
      <c r="A296" s="13">
        <f>IF(ISBLANK(C296),"",ROW()-1)</f>
        <v/>
      </c>
      <c r="B296" s="13">
        <f>IF(ISBLANK(C296),"","DIG-"&amp;MID(F296,SEARCH("(",F296)+1,3)&amp;"-"&amp;MID(G296,SEARCH("(",G296)+1,3)&amp;"-"&amp;UPPER(LEFT(TRIM(RIGHT(SUBSTITUTE(TRIM(D296)," ",REPT(" ",100)),100)),3))&amp;"-"&amp;TEXT(A296,"000"))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15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</row>
    <row r="297">
      <c r="A297" s="13">
        <f>IF(ISBLANK(C297),"",ROW()-1)</f>
        <v/>
      </c>
      <c r="B297" s="13">
        <f>IF(ISBLANK(C297),"","DIG-"&amp;MID(F297,SEARCH("(",F297)+1,3)&amp;"-"&amp;MID(G297,SEARCH("(",G297)+1,3)&amp;"-"&amp;UPPER(LEFT(TRIM(RIGHT(SUBSTITUTE(TRIM(D297)," ",REPT(" ",100)),100)),3))&amp;"-"&amp;TEXT(A297,"000"))</f>
        <v/>
      </c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15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</row>
    <row r="298">
      <c r="A298" s="13">
        <f>IF(ISBLANK(C298),"",ROW()-1)</f>
        <v/>
      </c>
      <c r="B298" s="13">
        <f>IF(ISBLANK(C298),"","DIG-"&amp;MID(F298,SEARCH("(",F298)+1,3)&amp;"-"&amp;MID(G298,SEARCH("(",G298)+1,3)&amp;"-"&amp;UPPER(LEFT(TRIM(RIGHT(SUBSTITUTE(TRIM(D298)," ",REPT(" ",100)),100)),3))&amp;"-"&amp;TEXT(A298,"000"))</f>
        <v/>
      </c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15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</row>
    <row r="299">
      <c r="A299" s="13">
        <f>IF(ISBLANK(C299),"",ROW()-1)</f>
        <v/>
      </c>
      <c r="B299" s="13">
        <f>IF(ISBLANK(C299),"","DIG-"&amp;MID(F299,SEARCH("(",F299)+1,3)&amp;"-"&amp;MID(G299,SEARCH("(",G299)+1,3)&amp;"-"&amp;UPPER(LEFT(TRIM(RIGHT(SUBSTITUTE(TRIM(D299)," ",REPT(" ",100)),100)),3))&amp;"-"&amp;TEXT(A299,"000"))</f>
        <v/>
      </c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15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</row>
    <row r="300">
      <c r="A300" s="13">
        <f>IF(ISBLANK(C300),"",ROW()-1)</f>
        <v/>
      </c>
      <c r="B300" s="13">
        <f>IF(ISBLANK(C300),"","DIG-"&amp;MID(F300,SEARCH("(",F300)+1,3)&amp;"-"&amp;MID(G300,SEARCH("(",G300)+1,3)&amp;"-"&amp;UPPER(LEFT(TRIM(RIGHT(SUBSTITUTE(TRIM(D300)," ",REPT(" ",100)),100)),3))&amp;"-"&amp;TEXT(A300,"000"))</f>
        <v/>
      </c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15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</row>
    <row r="301">
      <c r="A301" s="13">
        <f>IF(ISBLANK(C301),"",ROW()-1)</f>
        <v/>
      </c>
      <c r="B301" s="13">
        <f>IF(ISBLANK(C301),"","DIG-"&amp;MID(F301,SEARCH("(",F301)+1,3)&amp;"-"&amp;MID(G301,SEARCH("(",G301)+1,3)&amp;"-"&amp;UPPER(LEFT(TRIM(RIGHT(SUBSTITUTE(TRIM(D301)," ",REPT(" ",100)),100)),3))&amp;"-"&amp;TEXT(A301,"000"))</f>
        <v/>
      </c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15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</row>
    <row r="302">
      <c r="A302" s="13">
        <f>IF(ISBLANK(C302),"",ROW()-1)</f>
        <v/>
      </c>
      <c r="B302" s="13">
        <f>IF(ISBLANK(C302),"","DIG-"&amp;MID(F302,SEARCH("(",F302)+1,3)&amp;"-"&amp;MID(G302,SEARCH("(",G302)+1,3)&amp;"-"&amp;UPPER(LEFT(TRIM(RIGHT(SUBSTITUTE(TRIM(D302)," ",REPT(" ",100)),100)),3))&amp;"-"&amp;TEXT(A302,"000"))</f>
        <v/>
      </c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15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</row>
    <row r="303">
      <c r="A303" s="13">
        <f>IF(ISBLANK(C303),"",ROW()-1)</f>
        <v/>
      </c>
      <c r="B303" s="13">
        <f>IF(ISBLANK(C303),"","DIG-"&amp;MID(F303,SEARCH("(",F303)+1,3)&amp;"-"&amp;MID(G303,SEARCH("(",G303)+1,3)&amp;"-"&amp;UPPER(LEFT(TRIM(RIGHT(SUBSTITUTE(TRIM(D303)," ",REPT(" ",100)),100)),3))&amp;"-"&amp;TEXT(A303,"000"))</f>
        <v/>
      </c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15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</row>
    <row r="304">
      <c r="A304" s="13">
        <f>IF(ISBLANK(C304),"",ROW()-1)</f>
        <v/>
      </c>
      <c r="B304" s="13">
        <f>IF(ISBLANK(C304),"","DIG-"&amp;MID(F304,SEARCH("(",F304)+1,3)&amp;"-"&amp;MID(G304,SEARCH("(",G304)+1,3)&amp;"-"&amp;UPPER(LEFT(TRIM(RIGHT(SUBSTITUTE(TRIM(D304)," ",REPT(" ",100)),100)),3))&amp;"-"&amp;TEXT(A304,"000"))</f>
        <v/>
      </c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15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</row>
    <row r="305">
      <c r="A305" s="13">
        <f>IF(ISBLANK(C305),"",ROW()-1)</f>
        <v/>
      </c>
      <c r="B305" s="13">
        <f>IF(ISBLANK(C305),"","DIG-"&amp;MID(F305,SEARCH("(",F305)+1,3)&amp;"-"&amp;MID(G305,SEARCH("(",G305)+1,3)&amp;"-"&amp;UPPER(LEFT(TRIM(RIGHT(SUBSTITUTE(TRIM(D305)," ",REPT(" ",100)),100)),3))&amp;"-"&amp;TEXT(A305,"000"))</f>
        <v/>
      </c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15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</row>
    <row r="306">
      <c r="A306" s="13">
        <f>IF(ISBLANK(C306),"",ROW()-1)</f>
        <v/>
      </c>
      <c r="B306" s="13">
        <f>IF(ISBLANK(C306),"","DIG-"&amp;MID(F306,SEARCH("(",F306)+1,3)&amp;"-"&amp;MID(G306,SEARCH("(",G306)+1,3)&amp;"-"&amp;UPPER(LEFT(TRIM(RIGHT(SUBSTITUTE(TRIM(D306)," ",REPT(" ",100)),100)),3))&amp;"-"&amp;TEXT(A306,"000"))</f>
        <v/>
      </c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15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</row>
    <row r="307">
      <c r="A307" s="13">
        <f>IF(ISBLANK(C307),"",ROW()-1)</f>
        <v/>
      </c>
      <c r="B307" s="13">
        <f>IF(ISBLANK(C307),"","DIG-"&amp;MID(F307,SEARCH("(",F307)+1,3)&amp;"-"&amp;MID(G307,SEARCH("(",G307)+1,3)&amp;"-"&amp;UPPER(LEFT(TRIM(RIGHT(SUBSTITUTE(TRIM(D307)," ",REPT(" ",100)),100)),3))&amp;"-"&amp;TEXT(A307,"000"))</f>
        <v/>
      </c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15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</row>
    <row r="308">
      <c r="A308" s="13">
        <f>IF(ISBLANK(C308),"",ROW()-1)</f>
        <v/>
      </c>
      <c r="B308" s="13">
        <f>IF(ISBLANK(C308),"","DIG-"&amp;MID(F308,SEARCH("(",F308)+1,3)&amp;"-"&amp;MID(G308,SEARCH("(",G308)+1,3)&amp;"-"&amp;UPPER(LEFT(TRIM(RIGHT(SUBSTITUTE(TRIM(D308)," ",REPT(" ",100)),100)),3))&amp;"-"&amp;TEXT(A308,"000"))</f>
        <v/>
      </c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15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</row>
    <row r="309">
      <c r="A309" s="13">
        <f>IF(ISBLANK(C309),"",ROW()-1)</f>
        <v/>
      </c>
      <c r="B309" s="13">
        <f>IF(ISBLANK(C309),"","DIG-"&amp;MID(F309,SEARCH("(",F309)+1,3)&amp;"-"&amp;MID(G309,SEARCH("(",G309)+1,3)&amp;"-"&amp;UPPER(LEFT(TRIM(RIGHT(SUBSTITUTE(TRIM(D309)," ",REPT(" ",100)),100)),3))&amp;"-"&amp;TEXT(A309,"000"))</f>
        <v/>
      </c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15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</row>
    <row r="310">
      <c r="A310" s="13">
        <f>IF(ISBLANK(C310),"",ROW()-1)</f>
        <v/>
      </c>
      <c r="B310" s="13">
        <f>IF(ISBLANK(C310),"","DIG-"&amp;MID(F310,SEARCH("(",F310)+1,3)&amp;"-"&amp;MID(G310,SEARCH("(",G310)+1,3)&amp;"-"&amp;UPPER(LEFT(TRIM(RIGHT(SUBSTITUTE(TRIM(D310)," ",REPT(" ",100)),100)),3))&amp;"-"&amp;TEXT(A310,"000"))</f>
        <v/>
      </c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15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</row>
    <row r="311">
      <c r="A311" s="13">
        <f>IF(ISBLANK(C311),"",ROW()-1)</f>
        <v/>
      </c>
      <c r="B311" s="13">
        <f>IF(ISBLANK(C311),"","DIG-"&amp;MID(F311,SEARCH("(",F311)+1,3)&amp;"-"&amp;MID(G311,SEARCH("(",G311)+1,3)&amp;"-"&amp;UPPER(LEFT(TRIM(RIGHT(SUBSTITUTE(TRIM(D311)," ",REPT(" ",100)),100)),3))&amp;"-"&amp;TEXT(A311,"000"))</f>
        <v/>
      </c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15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</row>
    <row r="312">
      <c r="A312" s="13">
        <f>IF(ISBLANK(C312),"",ROW()-1)</f>
        <v/>
      </c>
      <c r="B312" s="13">
        <f>IF(ISBLANK(C312),"","DIG-"&amp;MID(F312,SEARCH("(",F312)+1,3)&amp;"-"&amp;MID(G312,SEARCH("(",G312)+1,3)&amp;"-"&amp;UPPER(LEFT(TRIM(RIGHT(SUBSTITUTE(TRIM(D312)," ",REPT(" ",100)),100)),3))&amp;"-"&amp;TEXT(A312,"000"))</f>
        <v/>
      </c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15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</row>
    <row r="313">
      <c r="A313" s="13">
        <f>IF(ISBLANK(C313),"",ROW()-1)</f>
        <v/>
      </c>
      <c r="B313" s="13">
        <f>IF(ISBLANK(C313),"","DIG-"&amp;MID(F313,SEARCH("(",F313)+1,3)&amp;"-"&amp;MID(G313,SEARCH("(",G313)+1,3)&amp;"-"&amp;UPPER(LEFT(TRIM(RIGHT(SUBSTITUTE(TRIM(D313)," ",REPT(" ",100)),100)),3))&amp;"-"&amp;TEXT(A313,"000"))</f>
        <v/>
      </c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15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</row>
    <row r="314">
      <c r="A314" s="13">
        <f>IF(ISBLANK(C314),"",ROW()-1)</f>
        <v/>
      </c>
      <c r="B314" s="13">
        <f>IF(ISBLANK(C314),"","DIG-"&amp;MID(F314,SEARCH("(",F314)+1,3)&amp;"-"&amp;MID(G314,SEARCH("(",G314)+1,3)&amp;"-"&amp;UPPER(LEFT(TRIM(RIGHT(SUBSTITUTE(TRIM(D314)," ",REPT(" ",100)),100)),3))&amp;"-"&amp;TEXT(A314,"000"))</f>
        <v/>
      </c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15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</row>
    <row r="315">
      <c r="A315" s="13">
        <f>IF(ISBLANK(C315),"",ROW()-1)</f>
        <v/>
      </c>
      <c r="B315" s="13">
        <f>IF(ISBLANK(C315),"","DIG-"&amp;MID(F315,SEARCH("(",F315)+1,3)&amp;"-"&amp;MID(G315,SEARCH("(",G315)+1,3)&amp;"-"&amp;UPPER(LEFT(TRIM(RIGHT(SUBSTITUTE(TRIM(D315)," ",REPT(" ",100)),100)),3))&amp;"-"&amp;TEXT(A315,"000"))</f>
        <v/>
      </c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15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</row>
    <row r="316">
      <c r="A316" s="13">
        <f>IF(ISBLANK(C316),"",ROW()-1)</f>
        <v/>
      </c>
      <c r="B316" s="13">
        <f>IF(ISBLANK(C316),"","DIG-"&amp;MID(F316,SEARCH("(",F316)+1,3)&amp;"-"&amp;MID(G316,SEARCH("(",G316)+1,3)&amp;"-"&amp;UPPER(LEFT(TRIM(RIGHT(SUBSTITUTE(TRIM(D316)," ",REPT(" ",100)),100)),3))&amp;"-"&amp;TEXT(A316,"000"))</f>
        <v/>
      </c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15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</row>
    <row r="317">
      <c r="A317" s="13">
        <f>IF(ISBLANK(C317),"",ROW()-1)</f>
        <v/>
      </c>
      <c r="B317" s="13">
        <f>IF(ISBLANK(C317),"","DIG-"&amp;MID(F317,SEARCH("(",F317)+1,3)&amp;"-"&amp;MID(G317,SEARCH("(",G317)+1,3)&amp;"-"&amp;UPPER(LEFT(TRIM(RIGHT(SUBSTITUTE(TRIM(D317)," ",REPT(" ",100)),100)),3))&amp;"-"&amp;TEXT(A317,"000"))</f>
        <v/>
      </c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15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</row>
    <row r="318">
      <c r="A318" s="13">
        <f>IF(ISBLANK(C318),"",ROW()-1)</f>
        <v/>
      </c>
      <c r="B318" s="13">
        <f>IF(ISBLANK(C318),"","DIG-"&amp;MID(F318,SEARCH("(",F318)+1,3)&amp;"-"&amp;MID(G318,SEARCH("(",G318)+1,3)&amp;"-"&amp;UPPER(LEFT(TRIM(RIGHT(SUBSTITUTE(TRIM(D318)," ",REPT(" ",100)),100)),3))&amp;"-"&amp;TEXT(A318,"000"))</f>
        <v/>
      </c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15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</row>
    <row r="319">
      <c r="A319" s="13">
        <f>IF(ISBLANK(C319),"",ROW()-1)</f>
        <v/>
      </c>
      <c r="B319" s="13">
        <f>IF(ISBLANK(C319),"","DIG-"&amp;MID(F319,SEARCH("(",F319)+1,3)&amp;"-"&amp;MID(G319,SEARCH("(",G319)+1,3)&amp;"-"&amp;UPPER(LEFT(TRIM(RIGHT(SUBSTITUTE(TRIM(D319)," ",REPT(" ",100)),100)),3))&amp;"-"&amp;TEXT(A319,"000"))</f>
        <v/>
      </c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15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</row>
    <row r="320">
      <c r="A320" s="13">
        <f>IF(ISBLANK(C320),"",ROW()-1)</f>
        <v/>
      </c>
      <c r="B320" s="13">
        <f>IF(ISBLANK(C320),"","DIG-"&amp;MID(F320,SEARCH("(",F320)+1,3)&amp;"-"&amp;MID(G320,SEARCH("(",G320)+1,3)&amp;"-"&amp;UPPER(LEFT(TRIM(RIGHT(SUBSTITUTE(TRIM(D320)," ",REPT(" ",100)),100)),3))&amp;"-"&amp;TEXT(A320,"000"))</f>
        <v/>
      </c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15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</row>
    <row r="321">
      <c r="A321" s="13">
        <f>IF(ISBLANK(C321),"",ROW()-1)</f>
        <v/>
      </c>
      <c r="B321" s="13">
        <f>IF(ISBLANK(C321),"","DIG-"&amp;MID(F321,SEARCH("(",F321)+1,3)&amp;"-"&amp;MID(G321,SEARCH("(",G321)+1,3)&amp;"-"&amp;UPPER(LEFT(TRIM(RIGHT(SUBSTITUTE(TRIM(D321)," ",REPT(" ",100)),100)),3))&amp;"-"&amp;TEXT(A321,"000"))</f>
        <v/>
      </c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15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</row>
    <row r="322">
      <c r="A322" s="13">
        <f>IF(ISBLANK(C322),"",ROW()-1)</f>
        <v/>
      </c>
      <c r="B322" s="13">
        <f>IF(ISBLANK(C322),"","DIG-"&amp;MID(F322,SEARCH("(",F322)+1,3)&amp;"-"&amp;MID(G322,SEARCH("(",G322)+1,3)&amp;"-"&amp;UPPER(LEFT(TRIM(RIGHT(SUBSTITUTE(TRIM(D322)," ",REPT(" ",100)),100)),3))&amp;"-"&amp;TEXT(A322,"000"))</f>
        <v/>
      </c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15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</row>
    <row r="323">
      <c r="A323" s="13">
        <f>IF(ISBLANK(C323),"",ROW()-1)</f>
        <v/>
      </c>
      <c r="B323" s="13">
        <f>IF(ISBLANK(C323),"","DIG-"&amp;MID(F323,SEARCH("(",F323)+1,3)&amp;"-"&amp;MID(G323,SEARCH("(",G323)+1,3)&amp;"-"&amp;UPPER(LEFT(TRIM(RIGHT(SUBSTITUTE(TRIM(D323)," ",REPT(" ",100)),100)),3))&amp;"-"&amp;TEXT(A323,"000"))</f>
        <v/>
      </c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15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</row>
    <row r="324">
      <c r="A324" s="13">
        <f>IF(ISBLANK(C324),"",ROW()-1)</f>
        <v/>
      </c>
      <c r="B324" s="13">
        <f>IF(ISBLANK(C324),"","DIG-"&amp;MID(F324,SEARCH("(",F324)+1,3)&amp;"-"&amp;MID(G324,SEARCH("(",G324)+1,3)&amp;"-"&amp;UPPER(LEFT(TRIM(RIGHT(SUBSTITUTE(TRIM(D324)," ",REPT(" ",100)),100)),3))&amp;"-"&amp;TEXT(A324,"000"))</f>
        <v/>
      </c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15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</row>
    <row r="325">
      <c r="A325" s="13">
        <f>IF(ISBLANK(C325),"",ROW()-1)</f>
        <v/>
      </c>
      <c r="B325" s="13">
        <f>IF(ISBLANK(C325),"","DIG-"&amp;MID(F325,SEARCH("(",F325)+1,3)&amp;"-"&amp;MID(G325,SEARCH("(",G325)+1,3)&amp;"-"&amp;UPPER(LEFT(TRIM(RIGHT(SUBSTITUTE(TRIM(D325)," ",REPT(" ",100)),100)),3))&amp;"-"&amp;TEXT(A325,"000"))</f>
        <v/>
      </c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15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</row>
    <row r="326">
      <c r="A326" s="13">
        <f>IF(ISBLANK(C326),"",ROW()-1)</f>
        <v/>
      </c>
      <c r="B326" s="13">
        <f>IF(ISBLANK(C326),"","DIG-"&amp;MID(F326,SEARCH("(",F326)+1,3)&amp;"-"&amp;MID(G326,SEARCH("(",G326)+1,3)&amp;"-"&amp;UPPER(LEFT(TRIM(RIGHT(SUBSTITUTE(TRIM(D326)," ",REPT(" ",100)),100)),3))&amp;"-"&amp;TEXT(A326,"000"))</f>
        <v/>
      </c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15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</row>
    <row r="327">
      <c r="A327" s="13">
        <f>IF(ISBLANK(C327),"",ROW()-1)</f>
        <v/>
      </c>
      <c r="B327" s="13">
        <f>IF(ISBLANK(C327),"","DIG-"&amp;MID(F327,SEARCH("(",F327)+1,3)&amp;"-"&amp;MID(G327,SEARCH("(",G327)+1,3)&amp;"-"&amp;UPPER(LEFT(TRIM(RIGHT(SUBSTITUTE(TRIM(D327)," ",REPT(" ",100)),100)),3))&amp;"-"&amp;TEXT(A327,"000"))</f>
        <v/>
      </c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15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</row>
    <row r="328">
      <c r="A328" s="13">
        <f>IF(ISBLANK(C328),"",ROW()-1)</f>
        <v/>
      </c>
      <c r="B328" s="13">
        <f>IF(ISBLANK(C328),"","DIG-"&amp;MID(F328,SEARCH("(",F328)+1,3)&amp;"-"&amp;MID(G328,SEARCH("(",G328)+1,3)&amp;"-"&amp;UPPER(LEFT(TRIM(RIGHT(SUBSTITUTE(TRIM(D328)," ",REPT(" ",100)),100)),3))&amp;"-"&amp;TEXT(A328,"000"))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15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</row>
    <row r="329">
      <c r="A329" s="13">
        <f>IF(ISBLANK(C329),"",ROW()-1)</f>
        <v/>
      </c>
      <c r="B329" s="13">
        <f>IF(ISBLANK(C329),"","DIG-"&amp;MID(F329,SEARCH("(",F329)+1,3)&amp;"-"&amp;MID(G329,SEARCH("(",G329)+1,3)&amp;"-"&amp;UPPER(LEFT(TRIM(RIGHT(SUBSTITUTE(TRIM(D329)," ",REPT(" ",100)),100)),3))&amp;"-"&amp;TEXT(A329,"000"))</f>
        <v/>
      </c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15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</row>
    <row r="330">
      <c r="A330" s="13">
        <f>IF(ISBLANK(C330),"",ROW()-1)</f>
        <v/>
      </c>
      <c r="B330" s="13">
        <f>IF(ISBLANK(C330),"","DIG-"&amp;MID(F330,SEARCH("(",F330)+1,3)&amp;"-"&amp;MID(G330,SEARCH("(",G330)+1,3)&amp;"-"&amp;UPPER(LEFT(TRIM(RIGHT(SUBSTITUTE(TRIM(D330)," ",REPT(" ",100)),100)),3))&amp;"-"&amp;TEXT(A330,"000"))</f>
        <v/>
      </c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15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</row>
    <row r="331">
      <c r="A331" s="13">
        <f>IF(ISBLANK(C331),"",ROW()-1)</f>
        <v/>
      </c>
      <c r="B331" s="13">
        <f>IF(ISBLANK(C331),"","DIG-"&amp;MID(F331,SEARCH("(",F331)+1,3)&amp;"-"&amp;MID(G331,SEARCH("(",G331)+1,3)&amp;"-"&amp;UPPER(LEFT(TRIM(RIGHT(SUBSTITUTE(TRIM(D331)," ",REPT(" ",100)),100)),3))&amp;"-"&amp;TEXT(A331,"000"))</f>
        <v/>
      </c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15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</row>
    <row r="332">
      <c r="A332" s="13">
        <f>IF(ISBLANK(C332),"",ROW()-1)</f>
        <v/>
      </c>
      <c r="B332" s="13">
        <f>IF(ISBLANK(C332),"","DIG-"&amp;MID(F332,SEARCH("(",F332)+1,3)&amp;"-"&amp;MID(G332,SEARCH("(",G332)+1,3)&amp;"-"&amp;UPPER(LEFT(TRIM(RIGHT(SUBSTITUTE(TRIM(D332)," ",REPT(" ",100)),100)),3))&amp;"-"&amp;TEXT(A332,"000"))</f>
        <v/>
      </c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15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</row>
    <row r="333">
      <c r="A333" s="13">
        <f>IF(ISBLANK(C333),"",ROW()-1)</f>
        <v/>
      </c>
      <c r="B333" s="13">
        <f>IF(ISBLANK(C333),"","DIG-"&amp;MID(F333,SEARCH("(",F333)+1,3)&amp;"-"&amp;MID(G333,SEARCH("(",G333)+1,3)&amp;"-"&amp;UPPER(LEFT(TRIM(RIGHT(SUBSTITUTE(TRIM(D333)," ",REPT(" ",100)),100)),3))&amp;"-"&amp;TEXT(A333,"000"))</f>
        <v/>
      </c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15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</row>
    <row r="334">
      <c r="A334" s="13">
        <f>IF(ISBLANK(C334),"",ROW()-1)</f>
        <v/>
      </c>
      <c r="B334" s="13">
        <f>IF(ISBLANK(C334),"","DIG-"&amp;MID(F334,SEARCH("(",F334)+1,3)&amp;"-"&amp;MID(G334,SEARCH("(",G334)+1,3)&amp;"-"&amp;UPPER(LEFT(TRIM(RIGHT(SUBSTITUTE(TRIM(D334)," ",REPT(" ",100)),100)),3))&amp;"-"&amp;TEXT(A334,"000"))</f>
        <v/>
      </c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15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</row>
    <row r="335">
      <c r="A335" s="13">
        <f>IF(ISBLANK(C335),"",ROW()-1)</f>
        <v/>
      </c>
      <c r="B335" s="13">
        <f>IF(ISBLANK(C335),"","DIG-"&amp;MID(F335,SEARCH("(",F335)+1,3)&amp;"-"&amp;MID(G335,SEARCH("(",G335)+1,3)&amp;"-"&amp;UPPER(LEFT(TRIM(RIGHT(SUBSTITUTE(TRIM(D335)," ",REPT(" ",100)),100)),3))&amp;"-"&amp;TEXT(A335,"000"))</f>
        <v/>
      </c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15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</row>
    <row r="336">
      <c r="A336" s="13">
        <f>IF(ISBLANK(C336),"",ROW()-1)</f>
        <v/>
      </c>
      <c r="B336" s="13">
        <f>IF(ISBLANK(C336),"","DIG-"&amp;MID(F336,SEARCH("(",F336)+1,3)&amp;"-"&amp;MID(G336,SEARCH("(",G336)+1,3)&amp;"-"&amp;UPPER(LEFT(TRIM(RIGHT(SUBSTITUTE(TRIM(D336)," ",REPT(" ",100)),100)),3))&amp;"-"&amp;TEXT(A336,"000"))</f>
        <v/>
      </c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15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</row>
    <row r="337">
      <c r="A337" s="13">
        <f>IF(ISBLANK(C337),"",ROW()-1)</f>
        <v/>
      </c>
      <c r="B337" s="13">
        <f>IF(ISBLANK(C337),"","DIG-"&amp;MID(F337,SEARCH("(",F337)+1,3)&amp;"-"&amp;MID(G337,SEARCH("(",G337)+1,3)&amp;"-"&amp;UPPER(LEFT(TRIM(RIGHT(SUBSTITUTE(TRIM(D337)," ",REPT(" ",100)),100)),3))&amp;"-"&amp;TEXT(A337,"000"))</f>
        <v/>
      </c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15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</row>
    <row r="338">
      <c r="A338" s="13">
        <f>IF(ISBLANK(C338),"",ROW()-1)</f>
        <v/>
      </c>
      <c r="B338" s="13">
        <f>IF(ISBLANK(C338),"","DIG-"&amp;MID(F338,SEARCH("(",F338)+1,3)&amp;"-"&amp;MID(G338,SEARCH("(",G338)+1,3)&amp;"-"&amp;UPPER(LEFT(TRIM(RIGHT(SUBSTITUTE(TRIM(D338)," ",REPT(" ",100)),100)),3))&amp;"-"&amp;TEXT(A338,"000"))</f>
        <v/>
      </c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15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</row>
    <row r="339">
      <c r="A339" s="13">
        <f>IF(ISBLANK(C339),"",ROW()-1)</f>
        <v/>
      </c>
      <c r="B339" s="13">
        <f>IF(ISBLANK(C339),"","DIG-"&amp;MID(F339,SEARCH("(",F339)+1,3)&amp;"-"&amp;MID(G339,SEARCH("(",G339)+1,3)&amp;"-"&amp;UPPER(LEFT(TRIM(RIGHT(SUBSTITUTE(TRIM(D339)," ",REPT(" ",100)),100)),3))&amp;"-"&amp;TEXT(A339,"000"))</f>
        <v/>
      </c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15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</row>
    <row r="340">
      <c r="A340" s="13">
        <f>IF(ISBLANK(C340),"",ROW()-1)</f>
        <v/>
      </c>
      <c r="B340" s="13">
        <f>IF(ISBLANK(C340),"","DIG-"&amp;MID(F340,SEARCH("(",F340)+1,3)&amp;"-"&amp;MID(G340,SEARCH("(",G340)+1,3)&amp;"-"&amp;UPPER(LEFT(TRIM(RIGHT(SUBSTITUTE(TRIM(D340)," ",REPT(" ",100)),100)),3))&amp;"-"&amp;TEXT(A340,"000"))</f>
        <v/>
      </c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15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</row>
    <row r="341">
      <c r="A341" s="13">
        <f>IF(ISBLANK(C341),"",ROW()-1)</f>
        <v/>
      </c>
      <c r="B341" s="13">
        <f>IF(ISBLANK(C341),"","DIG-"&amp;MID(F341,SEARCH("(",F341)+1,3)&amp;"-"&amp;MID(G341,SEARCH("(",G341)+1,3)&amp;"-"&amp;UPPER(LEFT(TRIM(RIGHT(SUBSTITUTE(TRIM(D341)," ",REPT(" ",100)),100)),3))&amp;"-"&amp;TEXT(A341,"000"))</f>
        <v/>
      </c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15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</row>
    <row r="342">
      <c r="A342" s="13">
        <f>IF(ISBLANK(C342),"",ROW()-1)</f>
        <v/>
      </c>
      <c r="B342" s="13">
        <f>IF(ISBLANK(C342),"","DIG-"&amp;MID(F342,SEARCH("(",F342)+1,3)&amp;"-"&amp;MID(G342,SEARCH("(",G342)+1,3)&amp;"-"&amp;UPPER(LEFT(TRIM(RIGHT(SUBSTITUTE(TRIM(D342)," ",REPT(" ",100)),100)),3))&amp;"-"&amp;TEXT(A342,"000"))</f>
        <v/>
      </c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15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</row>
    <row r="343">
      <c r="A343" s="13">
        <f>IF(ISBLANK(C343),"",ROW()-1)</f>
        <v/>
      </c>
      <c r="B343" s="13">
        <f>IF(ISBLANK(C343),"","DIG-"&amp;MID(F343,SEARCH("(",F343)+1,3)&amp;"-"&amp;MID(G343,SEARCH("(",G343)+1,3)&amp;"-"&amp;UPPER(LEFT(TRIM(RIGHT(SUBSTITUTE(TRIM(D343)," ",REPT(" ",100)),100)),3))&amp;"-"&amp;TEXT(A343,"000"))</f>
        <v/>
      </c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15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</row>
    <row r="344">
      <c r="A344" s="13">
        <f>IF(ISBLANK(C344),"",ROW()-1)</f>
        <v/>
      </c>
      <c r="B344" s="13">
        <f>IF(ISBLANK(C344),"","DIG-"&amp;MID(F344,SEARCH("(",F344)+1,3)&amp;"-"&amp;MID(G344,SEARCH("(",G344)+1,3)&amp;"-"&amp;UPPER(LEFT(TRIM(RIGHT(SUBSTITUTE(TRIM(D344)," ",REPT(" ",100)),100)),3))&amp;"-"&amp;TEXT(A344,"000"))</f>
        <v/>
      </c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15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</row>
    <row r="345">
      <c r="A345" s="13">
        <f>IF(ISBLANK(C345),"",ROW()-1)</f>
        <v/>
      </c>
      <c r="B345" s="13">
        <f>IF(ISBLANK(C345),"","DIG-"&amp;MID(F345,SEARCH("(",F345)+1,3)&amp;"-"&amp;MID(G345,SEARCH("(",G345)+1,3)&amp;"-"&amp;UPPER(LEFT(TRIM(RIGHT(SUBSTITUTE(TRIM(D345)," ",REPT(" ",100)),100)),3))&amp;"-"&amp;TEXT(A345,"000"))</f>
        <v/>
      </c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15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</row>
    <row r="346">
      <c r="A346" s="13">
        <f>IF(ISBLANK(C346),"",ROW()-1)</f>
        <v/>
      </c>
      <c r="B346" s="13">
        <f>IF(ISBLANK(C346),"","DIG-"&amp;MID(F346,SEARCH("(",F346)+1,3)&amp;"-"&amp;MID(G346,SEARCH("(",G346)+1,3)&amp;"-"&amp;UPPER(LEFT(TRIM(RIGHT(SUBSTITUTE(TRIM(D346)," ",REPT(" ",100)),100)),3))&amp;"-"&amp;TEXT(A346,"000"))</f>
        <v/>
      </c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15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</row>
    <row r="347">
      <c r="A347" s="13">
        <f>IF(ISBLANK(C347),"",ROW()-1)</f>
        <v/>
      </c>
      <c r="B347" s="13">
        <f>IF(ISBLANK(C347),"","DIG-"&amp;MID(F347,SEARCH("(",F347)+1,3)&amp;"-"&amp;MID(G347,SEARCH("(",G347)+1,3)&amp;"-"&amp;UPPER(LEFT(TRIM(RIGHT(SUBSTITUTE(TRIM(D347)," ",REPT(" ",100)),100)),3))&amp;"-"&amp;TEXT(A347,"000"))</f>
        <v/>
      </c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15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</row>
    <row r="348">
      <c r="A348" s="13">
        <f>IF(ISBLANK(C348),"",ROW()-1)</f>
        <v/>
      </c>
      <c r="B348" s="13">
        <f>IF(ISBLANK(C348),"","DIG-"&amp;MID(F348,SEARCH("(",F348)+1,3)&amp;"-"&amp;MID(G348,SEARCH("(",G348)+1,3)&amp;"-"&amp;UPPER(LEFT(TRIM(RIGHT(SUBSTITUTE(TRIM(D348)," ",REPT(" ",100)),100)),3))&amp;"-"&amp;TEXT(A348,"000"))</f>
        <v/>
      </c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15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</row>
    <row r="349">
      <c r="A349" s="13">
        <f>IF(ISBLANK(C349),"",ROW()-1)</f>
        <v/>
      </c>
      <c r="B349" s="13">
        <f>IF(ISBLANK(C349),"","DIG-"&amp;MID(F349,SEARCH("(",F349)+1,3)&amp;"-"&amp;MID(G349,SEARCH("(",G349)+1,3)&amp;"-"&amp;UPPER(LEFT(TRIM(RIGHT(SUBSTITUTE(TRIM(D349)," ",REPT(" ",100)),100)),3))&amp;"-"&amp;TEXT(A349,"000"))</f>
        <v/>
      </c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15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</row>
    <row r="350">
      <c r="A350" s="13">
        <f>IF(ISBLANK(C350),"",ROW()-1)</f>
        <v/>
      </c>
      <c r="B350" s="13">
        <f>IF(ISBLANK(C350),"","DIG-"&amp;MID(F350,SEARCH("(",F350)+1,3)&amp;"-"&amp;MID(G350,SEARCH("(",G350)+1,3)&amp;"-"&amp;UPPER(LEFT(TRIM(RIGHT(SUBSTITUTE(TRIM(D350)," ",REPT(" ",100)),100)),3))&amp;"-"&amp;TEXT(A350,"000"))</f>
        <v/>
      </c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15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</row>
    <row r="351">
      <c r="A351" s="13">
        <f>IF(ISBLANK(C351),"",ROW()-1)</f>
        <v/>
      </c>
      <c r="B351" s="13">
        <f>IF(ISBLANK(C351),"","DIG-"&amp;MID(F351,SEARCH("(",F351)+1,3)&amp;"-"&amp;MID(G351,SEARCH("(",G351)+1,3)&amp;"-"&amp;UPPER(LEFT(TRIM(RIGHT(SUBSTITUTE(TRIM(D351)," ",REPT(" ",100)),100)),3))&amp;"-"&amp;TEXT(A351,"000"))</f>
        <v/>
      </c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15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</row>
    <row r="352">
      <c r="A352" s="13">
        <f>IF(ISBLANK(C352),"",ROW()-1)</f>
        <v/>
      </c>
      <c r="B352" s="13">
        <f>IF(ISBLANK(C352),"","DIG-"&amp;MID(F352,SEARCH("(",F352)+1,3)&amp;"-"&amp;MID(G352,SEARCH("(",G352)+1,3)&amp;"-"&amp;UPPER(LEFT(TRIM(RIGHT(SUBSTITUTE(TRIM(D352)," ",REPT(" ",100)),100)),3))&amp;"-"&amp;TEXT(A352,"000"))</f>
        <v/>
      </c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15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</row>
    <row r="353">
      <c r="A353" s="13">
        <f>IF(ISBLANK(C353),"",ROW()-1)</f>
        <v/>
      </c>
      <c r="B353" s="13">
        <f>IF(ISBLANK(C353),"","DIG-"&amp;MID(F353,SEARCH("(",F353)+1,3)&amp;"-"&amp;MID(G353,SEARCH("(",G353)+1,3)&amp;"-"&amp;UPPER(LEFT(TRIM(RIGHT(SUBSTITUTE(TRIM(D353)," ",REPT(" ",100)),100)),3))&amp;"-"&amp;TEXT(A353,"000"))</f>
        <v/>
      </c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15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</row>
    <row r="354">
      <c r="A354" s="13">
        <f>IF(ISBLANK(C354),"",ROW()-1)</f>
        <v/>
      </c>
      <c r="B354" s="13">
        <f>IF(ISBLANK(C354),"","DIG-"&amp;MID(F354,SEARCH("(",F354)+1,3)&amp;"-"&amp;MID(G354,SEARCH("(",G354)+1,3)&amp;"-"&amp;UPPER(LEFT(TRIM(RIGHT(SUBSTITUTE(TRIM(D354)," ",REPT(" ",100)),100)),3))&amp;"-"&amp;TEXT(A354,"000"))</f>
        <v/>
      </c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15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</row>
    <row r="355">
      <c r="A355" s="13">
        <f>IF(ISBLANK(C355),"",ROW()-1)</f>
        <v/>
      </c>
      <c r="B355" s="13">
        <f>IF(ISBLANK(C355),"","DIG-"&amp;MID(F355,SEARCH("(",F355)+1,3)&amp;"-"&amp;MID(G355,SEARCH("(",G355)+1,3)&amp;"-"&amp;UPPER(LEFT(TRIM(RIGHT(SUBSTITUTE(TRIM(D355)," ",REPT(" ",100)),100)),3))&amp;"-"&amp;TEXT(A355,"000"))</f>
        <v/>
      </c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15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</row>
    <row r="356">
      <c r="A356" s="13">
        <f>IF(ISBLANK(C356),"",ROW()-1)</f>
        <v/>
      </c>
      <c r="B356" s="13">
        <f>IF(ISBLANK(C356),"","DIG-"&amp;MID(F356,SEARCH("(",F356)+1,3)&amp;"-"&amp;MID(G356,SEARCH("(",G356)+1,3)&amp;"-"&amp;UPPER(LEFT(TRIM(RIGHT(SUBSTITUTE(TRIM(D356)," ",REPT(" ",100)),100)),3))&amp;"-"&amp;TEXT(A356,"000"))</f>
        <v/>
      </c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15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</row>
    <row r="357">
      <c r="A357" s="13">
        <f>IF(ISBLANK(C357),"",ROW()-1)</f>
        <v/>
      </c>
      <c r="B357" s="13">
        <f>IF(ISBLANK(C357),"","DIG-"&amp;MID(F357,SEARCH("(",F357)+1,3)&amp;"-"&amp;MID(G357,SEARCH("(",G357)+1,3)&amp;"-"&amp;UPPER(LEFT(TRIM(RIGHT(SUBSTITUTE(TRIM(D357)," ",REPT(" ",100)),100)),3))&amp;"-"&amp;TEXT(A357,"000"))</f>
        <v/>
      </c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15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</row>
    <row r="358">
      <c r="A358" s="13">
        <f>IF(ISBLANK(C358),"",ROW()-1)</f>
        <v/>
      </c>
      <c r="B358" s="13">
        <f>IF(ISBLANK(C358),"","DIG-"&amp;MID(F358,SEARCH("(",F358)+1,3)&amp;"-"&amp;MID(G358,SEARCH("(",G358)+1,3)&amp;"-"&amp;UPPER(LEFT(TRIM(RIGHT(SUBSTITUTE(TRIM(D358)," ",REPT(" ",100)),100)),3))&amp;"-"&amp;TEXT(A358,"000"))</f>
        <v/>
      </c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15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</row>
    <row r="359">
      <c r="A359" s="13">
        <f>IF(ISBLANK(C359),"",ROW()-1)</f>
        <v/>
      </c>
      <c r="B359" s="13">
        <f>IF(ISBLANK(C359),"","DIG-"&amp;MID(F359,SEARCH("(",F359)+1,3)&amp;"-"&amp;MID(G359,SEARCH("(",G359)+1,3)&amp;"-"&amp;UPPER(LEFT(TRIM(RIGHT(SUBSTITUTE(TRIM(D359)," ",REPT(" ",100)),100)),3))&amp;"-"&amp;TEXT(A359,"000"))</f>
        <v/>
      </c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15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</row>
    <row r="360">
      <c r="A360" s="13">
        <f>IF(ISBLANK(C360),"",ROW()-1)</f>
        <v/>
      </c>
      <c r="B360" s="13">
        <f>IF(ISBLANK(C360),"","DIG-"&amp;MID(F360,SEARCH("(",F360)+1,3)&amp;"-"&amp;MID(G360,SEARCH("(",G360)+1,3)&amp;"-"&amp;UPPER(LEFT(TRIM(RIGHT(SUBSTITUTE(TRIM(D360)," ",REPT(" ",100)),100)),3))&amp;"-"&amp;TEXT(A360,"000"))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15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</row>
    <row r="361">
      <c r="A361" s="13">
        <f>IF(ISBLANK(C361),"",ROW()-1)</f>
        <v/>
      </c>
      <c r="B361" s="13">
        <f>IF(ISBLANK(C361),"","DIG-"&amp;MID(F361,SEARCH("(",F361)+1,3)&amp;"-"&amp;MID(G361,SEARCH("(",G361)+1,3)&amp;"-"&amp;UPPER(LEFT(TRIM(RIGHT(SUBSTITUTE(TRIM(D361)," ",REPT(" ",100)),100)),3))&amp;"-"&amp;TEXT(A361,"000"))</f>
        <v/>
      </c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15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</row>
    <row r="362">
      <c r="A362" s="13">
        <f>IF(ISBLANK(C362),"",ROW()-1)</f>
        <v/>
      </c>
      <c r="B362" s="13">
        <f>IF(ISBLANK(C362),"","DIG-"&amp;MID(F362,SEARCH("(",F362)+1,3)&amp;"-"&amp;MID(G362,SEARCH("(",G362)+1,3)&amp;"-"&amp;UPPER(LEFT(TRIM(RIGHT(SUBSTITUTE(TRIM(D362)," ",REPT(" ",100)),100)),3))&amp;"-"&amp;TEXT(A362,"000"))</f>
        <v/>
      </c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15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</row>
    <row r="363">
      <c r="A363" s="13">
        <f>IF(ISBLANK(C363),"",ROW()-1)</f>
        <v/>
      </c>
      <c r="B363" s="13">
        <f>IF(ISBLANK(C363),"","DIG-"&amp;MID(F363,SEARCH("(",F363)+1,3)&amp;"-"&amp;MID(G363,SEARCH("(",G363)+1,3)&amp;"-"&amp;UPPER(LEFT(TRIM(RIGHT(SUBSTITUTE(TRIM(D363)," ",REPT(" ",100)),100)),3))&amp;"-"&amp;TEXT(A363,"000"))</f>
        <v/>
      </c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15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</row>
    <row r="364">
      <c r="A364" s="13">
        <f>IF(ISBLANK(C364),"",ROW()-1)</f>
        <v/>
      </c>
      <c r="B364" s="13">
        <f>IF(ISBLANK(C364),"","DIG-"&amp;MID(F364,SEARCH("(",F364)+1,3)&amp;"-"&amp;MID(G364,SEARCH("(",G364)+1,3)&amp;"-"&amp;UPPER(LEFT(TRIM(RIGHT(SUBSTITUTE(TRIM(D364)," ",REPT(" ",100)),100)),3))&amp;"-"&amp;TEXT(A364,"000"))</f>
        <v/>
      </c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15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</row>
    <row r="365">
      <c r="A365" s="13">
        <f>IF(ISBLANK(C365),"",ROW()-1)</f>
        <v/>
      </c>
      <c r="B365" s="13">
        <f>IF(ISBLANK(C365),"","DIG-"&amp;MID(F365,SEARCH("(",F365)+1,3)&amp;"-"&amp;MID(G365,SEARCH("(",G365)+1,3)&amp;"-"&amp;UPPER(LEFT(TRIM(RIGHT(SUBSTITUTE(TRIM(D365)," ",REPT(" ",100)),100)),3))&amp;"-"&amp;TEXT(A365,"000"))</f>
        <v/>
      </c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15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</row>
    <row r="366">
      <c r="A366" s="13">
        <f>IF(ISBLANK(C366),"",ROW()-1)</f>
        <v/>
      </c>
      <c r="B366" s="13">
        <f>IF(ISBLANK(C366),"","DIG-"&amp;MID(F366,SEARCH("(",F366)+1,3)&amp;"-"&amp;MID(G366,SEARCH("(",G366)+1,3)&amp;"-"&amp;UPPER(LEFT(TRIM(RIGHT(SUBSTITUTE(TRIM(D366)," ",REPT(" ",100)),100)),3))&amp;"-"&amp;TEXT(A366,"000"))</f>
        <v/>
      </c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15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</row>
    <row r="367">
      <c r="A367" s="13">
        <f>IF(ISBLANK(C367),"",ROW()-1)</f>
        <v/>
      </c>
      <c r="B367" s="13">
        <f>IF(ISBLANK(C367),"","DIG-"&amp;MID(F367,SEARCH("(",F367)+1,3)&amp;"-"&amp;MID(G367,SEARCH("(",G367)+1,3)&amp;"-"&amp;UPPER(LEFT(TRIM(RIGHT(SUBSTITUTE(TRIM(D367)," ",REPT(" ",100)),100)),3))&amp;"-"&amp;TEXT(A367,"000"))</f>
        <v/>
      </c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15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</row>
    <row r="368">
      <c r="A368" s="13">
        <f>IF(ISBLANK(C368),"",ROW()-1)</f>
        <v/>
      </c>
      <c r="B368" s="13">
        <f>IF(ISBLANK(C368),"","DIG-"&amp;MID(F368,SEARCH("(",F368)+1,3)&amp;"-"&amp;MID(G368,SEARCH("(",G368)+1,3)&amp;"-"&amp;UPPER(LEFT(TRIM(RIGHT(SUBSTITUTE(TRIM(D368)," ",REPT(" ",100)),100)),3))&amp;"-"&amp;TEXT(A368,"000"))</f>
        <v/>
      </c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15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</row>
    <row r="369">
      <c r="A369" s="13">
        <f>IF(ISBLANK(C369),"",ROW()-1)</f>
        <v/>
      </c>
      <c r="B369" s="13">
        <f>IF(ISBLANK(C369),"","DIG-"&amp;MID(F369,SEARCH("(",F369)+1,3)&amp;"-"&amp;MID(G369,SEARCH("(",G369)+1,3)&amp;"-"&amp;UPPER(LEFT(TRIM(RIGHT(SUBSTITUTE(TRIM(D369)," ",REPT(" ",100)),100)),3))&amp;"-"&amp;TEXT(A369,"000"))</f>
        <v/>
      </c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15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</row>
    <row r="370">
      <c r="A370" s="13">
        <f>IF(ISBLANK(C370),"",ROW()-1)</f>
        <v/>
      </c>
      <c r="B370" s="13">
        <f>IF(ISBLANK(C370),"","DIG-"&amp;MID(F370,SEARCH("(",F370)+1,3)&amp;"-"&amp;MID(G370,SEARCH("(",G370)+1,3)&amp;"-"&amp;UPPER(LEFT(TRIM(RIGHT(SUBSTITUTE(TRIM(D370)," ",REPT(" ",100)),100)),3))&amp;"-"&amp;TEXT(A370,"000"))</f>
        <v/>
      </c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15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</row>
    <row r="371">
      <c r="A371" s="13">
        <f>IF(ISBLANK(C371),"",ROW()-1)</f>
        <v/>
      </c>
      <c r="B371" s="13">
        <f>IF(ISBLANK(C371),"","DIG-"&amp;MID(F371,SEARCH("(",F371)+1,3)&amp;"-"&amp;MID(G371,SEARCH("(",G371)+1,3)&amp;"-"&amp;UPPER(LEFT(TRIM(RIGHT(SUBSTITUTE(TRIM(D371)," ",REPT(" ",100)),100)),3))&amp;"-"&amp;TEXT(A371,"000"))</f>
        <v/>
      </c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15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</row>
    <row r="372">
      <c r="A372" s="13">
        <f>IF(ISBLANK(C372),"",ROW()-1)</f>
        <v/>
      </c>
      <c r="B372" s="13">
        <f>IF(ISBLANK(C372),"","DIG-"&amp;MID(F372,SEARCH("(",F372)+1,3)&amp;"-"&amp;MID(G372,SEARCH("(",G372)+1,3)&amp;"-"&amp;UPPER(LEFT(TRIM(RIGHT(SUBSTITUTE(TRIM(D372)," ",REPT(" ",100)),100)),3))&amp;"-"&amp;TEXT(A372,"000"))</f>
        <v/>
      </c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15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</row>
    <row r="373">
      <c r="A373" s="13">
        <f>IF(ISBLANK(C373),"",ROW()-1)</f>
        <v/>
      </c>
      <c r="B373" s="13">
        <f>IF(ISBLANK(C373),"","DIG-"&amp;MID(F373,SEARCH("(",F373)+1,3)&amp;"-"&amp;MID(G373,SEARCH("(",G373)+1,3)&amp;"-"&amp;UPPER(LEFT(TRIM(RIGHT(SUBSTITUTE(TRIM(D373)," ",REPT(" ",100)),100)),3))&amp;"-"&amp;TEXT(A373,"000"))</f>
        <v/>
      </c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15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</row>
    <row r="374">
      <c r="A374" s="13">
        <f>IF(ISBLANK(C374),"",ROW()-1)</f>
        <v/>
      </c>
      <c r="B374" s="13">
        <f>IF(ISBLANK(C374),"","DIG-"&amp;MID(F374,SEARCH("(",F374)+1,3)&amp;"-"&amp;MID(G374,SEARCH("(",G374)+1,3)&amp;"-"&amp;UPPER(LEFT(TRIM(RIGHT(SUBSTITUTE(TRIM(D374)," ",REPT(" ",100)),100)),3))&amp;"-"&amp;TEXT(A374,"000"))</f>
        <v/>
      </c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15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</row>
    <row r="375">
      <c r="A375" s="13">
        <f>IF(ISBLANK(C375),"",ROW()-1)</f>
        <v/>
      </c>
      <c r="B375" s="13">
        <f>IF(ISBLANK(C375),"","DIG-"&amp;MID(F375,SEARCH("(",F375)+1,3)&amp;"-"&amp;MID(G375,SEARCH("(",G375)+1,3)&amp;"-"&amp;UPPER(LEFT(TRIM(RIGHT(SUBSTITUTE(TRIM(D375)," ",REPT(" ",100)),100)),3))&amp;"-"&amp;TEXT(A375,"000"))</f>
        <v/>
      </c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15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</row>
    <row r="376">
      <c r="A376" s="13">
        <f>IF(ISBLANK(C376),"",ROW()-1)</f>
        <v/>
      </c>
      <c r="B376" s="13">
        <f>IF(ISBLANK(C376),"","DIG-"&amp;MID(F376,SEARCH("(",F376)+1,3)&amp;"-"&amp;MID(G376,SEARCH("(",G376)+1,3)&amp;"-"&amp;UPPER(LEFT(TRIM(RIGHT(SUBSTITUTE(TRIM(D376)," ",REPT(" ",100)),100)),3))&amp;"-"&amp;TEXT(A376,"000"))</f>
        <v/>
      </c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15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</row>
    <row r="377">
      <c r="A377" s="13">
        <f>IF(ISBLANK(C377),"",ROW()-1)</f>
        <v/>
      </c>
      <c r="B377" s="13">
        <f>IF(ISBLANK(C377),"","DIG-"&amp;MID(F377,SEARCH("(",F377)+1,3)&amp;"-"&amp;MID(G377,SEARCH("(",G377)+1,3)&amp;"-"&amp;UPPER(LEFT(TRIM(RIGHT(SUBSTITUTE(TRIM(D377)," ",REPT(" ",100)),100)),3))&amp;"-"&amp;TEXT(A377,"000"))</f>
        <v/>
      </c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15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</row>
    <row r="378">
      <c r="A378" s="13">
        <f>IF(ISBLANK(C378),"",ROW()-1)</f>
        <v/>
      </c>
      <c r="B378" s="13">
        <f>IF(ISBLANK(C378),"","DIG-"&amp;MID(F378,SEARCH("(",F378)+1,3)&amp;"-"&amp;MID(G378,SEARCH("(",G378)+1,3)&amp;"-"&amp;UPPER(LEFT(TRIM(RIGHT(SUBSTITUTE(TRIM(D378)," ",REPT(" ",100)),100)),3))&amp;"-"&amp;TEXT(A378,"000"))</f>
        <v/>
      </c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15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</row>
    <row r="379">
      <c r="A379" s="13">
        <f>IF(ISBLANK(C379),"",ROW()-1)</f>
        <v/>
      </c>
      <c r="B379" s="13">
        <f>IF(ISBLANK(C379),"","DIG-"&amp;MID(F379,SEARCH("(",F379)+1,3)&amp;"-"&amp;MID(G379,SEARCH("(",G379)+1,3)&amp;"-"&amp;UPPER(LEFT(TRIM(RIGHT(SUBSTITUTE(TRIM(D379)," ",REPT(" ",100)),100)),3))&amp;"-"&amp;TEXT(A379,"000"))</f>
        <v/>
      </c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15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</row>
    <row r="380">
      <c r="A380" s="13">
        <f>IF(ISBLANK(C380),"",ROW()-1)</f>
        <v/>
      </c>
      <c r="B380" s="13">
        <f>IF(ISBLANK(C380),"","DIG-"&amp;MID(F380,SEARCH("(",F380)+1,3)&amp;"-"&amp;MID(G380,SEARCH("(",G380)+1,3)&amp;"-"&amp;UPPER(LEFT(TRIM(RIGHT(SUBSTITUTE(TRIM(D380)," ",REPT(" ",100)),100)),3))&amp;"-"&amp;TEXT(A380,"000"))</f>
        <v/>
      </c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15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</row>
    <row r="381">
      <c r="A381" s="13">
        <f>IF(ISBLANK(C381),"",ROW()-1)</f>
        <v/>
      </c>
      <c r="B381" s="13">
        <f>IF(ISBLANK(C381),"","DIG-"&amp;MID(F381,SEARCH("(",F381)+1,3)&amp;"-"&amp;MID(G381,SEARCH("(",G381)+1,3)&amp;"-"&amp;UPPER(LEFT(TRIM(RIGHT(SUBSTITUTE(TRIM(D381)," ",REPT(" ",100)),100)),3))&amp;"-"&amp;TEXT(A381,"000"))</f>
        <v/>
      </c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15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</row>
    <row r="382">
      <c r="A382" s="13">
        <f>IF(ISBLANK(C382),"",ROW()-1)</f>
        <v/>
      </c>
      <c r="B382" s="13">
        <f>IF(ISBLANK(C382),"","DIG-"&amp;MID(F382,SEARCH("(",F382)+1,3)&amp;"-"&amp;MID(G382,SEARCH("(",G382)+1,3)&amp;"-"&amp;UPPER(LEFT(TRIM(RIGHT(SUBSTITUTE(TRIM(D382)," ",REPT(" ",100)),100)),3))&amp;"-"&amp;TEXT(A382,"000"))</f>
        <v/>
      </c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15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</row>
    <row r="383">
      <c r="A383" s="13">
        <f>IF(ISBLANK(C383),"",ROW()-1)</f>
        <v/>
      </c>
      <c r="B383" s="13">
        <f>IF(ISBLANK(C383),"","DIG-"&amp;MID(F383,SEARCH("(",F383)+1,3)&amp;"-"&amp;MID(G383,SEARCH("(",G383)+1,3)&amp;"-"&amp;UPPER(LEFT(TRIM(RIGHT(SUBSTITUTE(TRIM(D383)," ",REPT(" ",100)),100)),3))&amp;"-"&amp;TEXT(A383,"000"))</f>
        <v/>
      </c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15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</row>
    <row r="384">
      <c r="A384" s="13">
        <f>IF(ISBLANK(C384),"",ROW()-1)</f>
        <v/>
      </c>
      <c r="B384" s="13">
        <f>IF(ISBLANK(C384),"","DIG-"&amp;MID(F384,SEARCH("(",F384)+1,3)&amp;"-"&amp;MID(G384,SEARCH("(",G384)+1,3)&amp;"-"&amp;UPPER(LEFT(TRIM(RIGHT(SUBSTITUTE(TRIM(D384)," ",REPT(" ",100)),100)),3))&amp;"-"&amp;TEXT(A384,"000"))</f>
        <v/>
      </c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15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</row>
    <row r="385">
      <c r="A385" s="13">
        <f>IF(ISBLANK(C385),"",ROW()-1)</f>
        <v/>
      </c>
      <c r="B385" s="13">
        <f>IF(ISBLANK(C385),"","DIG-"&amp;MID(F385,SEARCH("(",F385)+1,3)&amp;"-"&amp;MID(G385,SEARCH("(",G385)+1,3)&amp;"-"&amp;UPPER(LEFT(TRIM(RIGHT(SUBSTITUTE(TRIM(D385)," ",REPT(" ",100)),100)),3))&amp;"-"&amp;TEXT(A385,"000"))</f>
        <v/>
      </c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15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</row>
    <row r="386">
      <c r="A386" s="13">
        <f>IF(ISBLANK(C386),"",ROW()-1)</f>
        <v/>
      </c>
      <c r="B386" s="13">
        <f>IF(ISBLANK(C386),"","DIG-"&amp;MID(F386,SEARCH("(",F386)+1,3)&amp;"-"&amp;MID(G386,SEARCH("(",G386)+1,3)&amp;"-"&amp;UPPER(LEFT(TRIM(RIGHT(SUBSTITUTE(TRIM(D386)," ",REPT(" ",100)),100)),3))&amp;"-"&amp;TEXT(A386,"000"))</f>
        <v/>
      </c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15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</row>
    <row r="387">
      <c r="A387" s="13">
        <f>IF(ISBLANK(C387),"",ROW()-1)</f>
        <v/>
      </c>
      <c r="B387" s="13">
        <f>IF(ISBLANK(C387),"","DIG-"&amp;MID(F387,SEARCH("(",F387)+1,3)&amp;"-"&amp;MID(G387,SEARCH("(",G387)+1,3)&amp;"-"&amp;UPPER(LEFT(TRIM(RIGHT(SUBSTITUTE(TRIM(D387)," ",REPT(" ",100)),100)),3))&amp;"-"&amp;TEXT(A387,"000"))</f>
        <v/>
      </c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15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</row>
    <row r="388">
      <c r="A388" s="13">
        <f>IF(ISBLANK(C388),"",ROW()-1)</f>
        <v/>
      </c>
      <c r="B388" s="13">
        <f>IF(ISBLANK(C388),"","DIG-"&amp;MID(F388,SEARCH("(",F388)+1,3)&amp;"-"&amp;MID(G388,SEARCH("(",G388)+1,3)&amp;"-"&amp;UPPER(LEFT(TRIM(RIGHT(SUBSTITUTE(TRIM(D388)," ",REPT(" ",100)),100)),3))&amp;"-"&amp;TEXT(A388,"000"))</f>
        <v/>
      </c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15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</row>
    <row r="389">
      <c r="A389" s="13">
        <f>IF(ISBLANK(C389),"",ROW()-1)</f>
        <v/>
      </c>
      <c r="B389" s="13">
        <f>IF(ISBLANK(C389),"","DIG-"&amp;MID(F389,SEARCH("(",F389)+1,3)&amp;"-"&amp;MID(G389,SEARCH("(",G389)+1,3)&amp;"-"&amp;UPPER(LEFT(TRIM(RIGHT(SUBSTITUTE(TRIM(D389)," ",REPT(" ",100)),100)),3))&amp;"-"&amp;TEXT(A389,"000"))</f>
        <v/>
      </c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15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</row>
    <row r="390">
      <c r="A390" s="13">
        <f>IF(ISBLANK(C390),"",ROW()-1)</f>
        <v/>
      </c>
      <c r="B390" s="13">
        <f>IF(ISBLANK(C390),"","DIG-"&amp;MID(F390,SEARCH("(",F390)+1,3)&amp;"-"&amp;MID(G390,SEARCH("(",G390)+1,3)&amp;"-"&amp;UPPER(LEFT(TRIM(RIGHT(SUBSTITUTE(TRIM(D390)," ",REPT(" ",100)),100)),3))&amp;"-"&amp;TEXT(A390,"000"))</f>
        <v/>
      </c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15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</row>
    <row r="391">
      <c r="A391" s="13">
        <f>IF(ISBLANK(C391),"",ROW()-1)</f>
        <v/>
      </c>
      <c r="B391" s="13">
        <f>IF(ISBLANK(C391),"","DIG-"&amp;MID(F391,SEARCH("(",F391)+1,3)&amp;"-"&amp;MID(G391,SEARCH("(",G391)+1,3)&amp;"-"&amp;UPPER(LEFT(TRIM(RIGHT(SUBSTITUTE(TRIM(D391)," ",REPT(" ",100)),100)),3))&amp;"-"&amp;TEXT(A391,"000"))</f>
        <v/>
      </c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15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</row>
    <row r="392">
      <c r="A392" s="13">
        <f>IF(ISBLANK(C392),"",ROW()-1)</f>
        <v/>
      </c>
      <c r="B392" s="13">
        <f>IF(ISBLANK(C392),"","DIG-"&amp;MID(F392,SEARCH("(",F392)+1,3)&amp;"-"&amp;MID(G392,SEARCH("(",G392)+1,3)&amp;"-"&amp;UPPER(LEFT(TRIM(RIGHT(SUBSTITUTE(TRIM(D392)," ",REPT(" ",100)),100)),3))&amp;"-"&amp;TEXT(A392,"000"))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15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</row>
    <row r="393">
      <c r="A393" s="13">
        <f>IF(ISBLANK(C393),"",ROW()-1)</f>
        <v/>
      </c>
      <c r="B393" s="13">
        <f>IF(ISBLANK(C393),"","DIG-"&amp;MID(F393,SEARCH("(",F393)+1,3)&amp;"-"&amp;MID(G393,SEARCH("(",G393)+1,3)&amp;"-"&amp;UPPER(LEFT(TRIM(RIGHT(SUBSTITUTE(TRIM(D393)," ",REPT(" ",100)),100)),3))&amp;"-"&amp;TEXT(A393,"000"))</f>
        <v/>
      </c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15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</row>
    <row r="394">
      <c r="A394" s="13">
        <f>IF(ISBLANK(C394),"",ROW()-1)</f>
        <v/>
      </c>
      <c r="B394" s="13">
        <f>IF(ISBLANK(C394),"","DIG-"&amp;MID(F394,SEARCH("(",F394)+1,3)&amp;"-"&amp;MID(G394,SEARCH("(",G394)+1,3)&amp;"-"&amp;UPPER(LEFT(TRIM(RIGHT(SUBSTITUTE(TRIM(D394)," ",REPT(" ",100)),100)),3))&amp;"-"&amp;TEXT(A394,"000"))</f>
        <v/>
      </c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15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</row>
    <row r="395">
      <c r="A395" s="13">
        <f>IF(ISBLANK(C395),"",ROW()-1)</f>
        <v/>
      </c>
      <c r="B395" s="13">
        <f>IF(ISBLANK(C395),"","DIG-"&amp;MID(F395,SEARCH("(",F395)+1,3)&amp;"-"&amp;MID(G395,SEARCH("(",G395)+1,3)&amp;"-"&amp;UPPER(LEFT(TRIM(RIGHT(SUBSTITUTE(TRIM(D395)," ",REPT(" ",100)),100)),3))&amp;"-"&amp;TEXT(A395,"000"))</f>
        <v/>
      </c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15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</row>
    <row r="396">
      <c r="A396" s="13">
        <f>IF(ISBLANK(C396),"",ROW()-1)</f>
        <v/>
      </c>
      <c r="B396" s="13">
        <f>IF(ISBLANK(C396),"","DIG-"&amp;MID(F396,SEARCH("(",F396)+1,3)&amp;"-"&amp;MID(G396,SEARCH("(",G396)+1,3)&amp;"-"&amp;UPPER(LEFT(TRIM(RIGHT(SUBSTITUTE(TRIM(D396)," ",REPT(" ",100)),100)),3))&amp;"-"&amp;TEXT(A396,"000"))</f>
        <v/>
      </c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15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</row>
    <row r="397">
      <c r="A397" s="13">
        <f>IF(ISBLANK(C397),"",ROW()-1)</f>
        <v/>
      </c>
      <c r="B397" s="13">
        <f>IF(ISBLANK(C397),"","DIG-"&amp;MID(F397,SEARCH("(",F397)+1,3)&amp;"-"&amp;MID(G397,SEARCH("(",G397)+1,3)&amp;"-"&amp;UPPER(LEFT(TRIM(RIGHT(SUBSTITUTE(TRIM(D397)," ",REPT(" ",100)),100)),3))&amp;"-"&amp;TEXT(A397,"000"))</f>
        <v/>
      </c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15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</row>
    <row r="398">
      <c r="A398" s="13">
        <f>IF(ISBLANK(C398),"",ROW()-1)</f>
        <v/>
      </c>
      <c r="B398" s="13">
        <f>IF(ISBLANK(C398),"","DIG-"&amp;MID(F398,SEARCH("(",F398)+1,3)&amp;"-"&amp;MID(G398,SEARCH("(",G398)+1,3)&amp;"-"&amp;UPPER(LEFT(TRIM(RIGHT(SUBSTITUTE(TRIM(D398)," ",REPT(" ",100)),100)),3))&amp;"-"&amp;TEXT(A398,"000"))</f>
        <v/>
      </c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15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</row>
    <row r="399">
      <c r="A399" s="13">
        <f>IF(ISBLANK(C399),"",ROW()-1)</f>
        <v/>
      </c>
      <c r="B399" s="13">
        <f>IF(ISBLANK(C399),"","DIG-"&amp;MID(F399,SEARCH("(",F399)+1,3)&amp;"-"&amp;MID(G399,SEARCH("(",G399)+1,3)&amp;"-"&amp;UPPER(LEFT(TRIM(RIGHT(SUBSTITUTE(TRIM(D399)," ",REPT(" ",100)),100)),3))&amp;"-"&amp;TEXT(A399,"000"))</f>
        <v/>
      </c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15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</row>
    <row r="400">
      <c r="A400" s="13">
        <f>IF(ISBLANK(C400),"",ROW()-1)</f>
        <v/>
      </c>
      <c r="B400" s="13">
        <f>IF(ISBLANK(C400),"","DIG-"&amp;MID(F400,SEARCH("(",F400)+1,3)&amp;"-"&amp;MID(G400,SEARCH("(",G400)+1,3)&amp;"-"&amp;UPPER(LEFT(TRIM(RIGHT(SUBSTITUTE(TRIM(D400)," ",REPT(" ",100)),100)),3))&amp;"-"&amp;TEXT(A400,"000"))</f>
        <v/>
      </c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15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</row>
    <row r="401">
      <c r="A401" s="13">
        <f>IF(ISBLANK(C401),"",ROW()-1)</f>
        <v/>
      </c>
      <c r="B401" s="13">
        <f>IF(ISBLANK(C401),"","DIG-"&amp;MID(F401,SEARCH("(",F401)+1,3)&amp;"-"&amp;MID(G401,SEARCH("(",G401)+1,3)&amp;"-"&amp;UPPER(LEFT(TRIM(RIGHT(SUBSTITUTE(TRIM(D401)," ",REPT(" ",100)),100)),3))&amp;"-"&amp;TEXT(A401,"000"))</f>
        <v/>
      </c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15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</row>
    <row r="402">
      <c r="A402" s="13">
        <f>IF(ISBLANK(C402),"",ROW()-1)</f>
        <v/>
      </c>
      <c r="B402" s="13">
        <f>IF(ISBLANK(C402),"","DIG-"&amp;MID(F402,SEARCH("(",F402)+1,3)&amp;"-"&amp;MID(G402,SEARCH("(",G402)+1,3)&amp;"-"&amp;UPPER(LEFT(TRIM(RIGHT(SUBSTITUTE(TRIM(D402)," ",REPT(" ",100)),100)),3))&amp;"-"&amp;TEXT(A402,"000"))</f>
        <v/>
      </c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15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</row>
    <row r="403">
      <c r="A403" s="13">
        <f>IF(ISBLANK(C403),"",ROW()-1)</f>
        <v/>
      </c>
      <c r="B403" s="13">
        <f>IF(ISBLANK(C403),"","DIG-"&amp;MID(F403,SEARCH("(",F403)+1,3)&amp;"-"&amp;MID(G403,SEARCH("(",G403)+1,3)&amp;"-"&amp;UPPER(LEFT(TRIM(RIGHT(SUBSTITUTE(TRIM(D403)," ",REPT(" ",100)),100)),3))&amp;"-"&amp;TEXT(A403,"000"))</f>
        <v/>
      </c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15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</row>
    <row r="404">
      <c r="A404" s="13">
        <f>IF(ISBLANK(C404),"",ROW()-1)</f>
        <v/>
      </c>
      <c r="B404" s="13">
        <f>IF(ISBLANK(C404),"","DIG-"&amp;MID(F404,SEARCH("(",F404)+1,3)&amp;"-"&amp;MID(G404,SEARCH("(",G404)+1,3)&amp;"-"&amp;UPPER(LEFT(TRIM(RIGHT(SUBSTITUTE(TRIM(D404)," ",REPT(" ",100)),100)),3))&amp;"-"&amp;TEXT(A404,"000"))</f>
        <v/>
      </c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15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</row>
    <row r="405">
      <c r="A405" s="13">
        <f>IF(ISBLANK(C405),"",ROW()-1)</f>
        <v/>
      </c>
      <c r="B405" s="13">
        <f>IF(ISBLANK(C405),"","DIG-"&amp;MID(F405,SEARCH("(",F405)+1,3)&amp;"-"&amp;MID(G405,SEARCH("(",G405)+1,3)&amp;"-"&amp;UPPER(LEFT(TRIM(RIGHT(SUBSTITUTE(TRIM(D405)," ",REPT(" ",100)),100)),3))&amp;"-"&amp;TEXT(A405,"000"))</f>
        <v/>
      </c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15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</row>
    <row r="406">
      <c r="A406" s="13">
        <f>IF(ISBLANK(C406),"",ROW()-1)</f>
        <v/>
      </c>
      <c r="B406" s="13">
        <f>IF(ISBLANK(C406),"","DIG-"&amp;MID(F406,SEARCH("(",F406)+1,3)&amp;"-"&amp;MID(G406,SEARCH("(",G406)+1,3)&amp;"-"&amp;UPPER(LEFT(TRIM(RIGHT(SUBSTITUTE(TRIM(D406)," ",REPT(" ",100)),100)),3))&amp;"-"&amp;TEXT(A406,"000"))</f>
        <v/>
      </c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15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</row>
    <row r="407">
      <c r="A407" s="13">
        <f>IF(ISBLANK(C407),"",ROW()-1)</f>
        <v/>
      </c>
      <c r="B407" s="13">
        <f>IF(ISBLANK(C407),"","DIG-"&amp;MID(F407,SEARCH("(",F407)+1,3)&amp;"-"&amp;MID(G407,SEARCH("(",G407)+1,3)&amp;"-"&amp;UPPER(LEFT(TRIM(RIGHT(SUBSTITUTE(TRIM(D407)," ",REPT(" ",100)),100)),3))&amp;"-"&amp;TEXT(A407,"000"))</f>
        <v/>
      </c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15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</row>
    <row r="408">
      <c r="A408" s="13">
        <f>IF(ISBLANK(C408),"",ROW()-1)</f>
        <v/>
      </c>
      <c r="B408" s="13">
        <f>IF(ISBLANK(C408),"","DIG-"&amp;MID(F408,SEARCH("(",F408)+1,3)&amp;"-"&amp;MID(G408,SEARCH("(",G408)+1,3)&amp;"-"&amp;UPPER(LEFT(TRIM(RIGHT(SUBSTITUTE(TRIM(D408)," ",REPT(" ",100)),100)),3))&amp;"-"&amp;TEXT(A408,"000"))</f>
        <v/>
      </c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15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</row>
    <row r="409">
      <c r="A409" s="13">
        <f>IF(ISBLANK(C409),"",ROW()-1)</f>
        <v/>
      </c>
      <c r="B409" s="13">
        <f>IF(ISBLANK(C409),"","DIG-"&amp;MID(F409,SEARCH("(",F409)+1,3)&amp;"-"&amp;MID(G409,SEARCH("(",G409)+1,3)&amp;"-"&amp;UPPER(LEFT(TRIM(RIGHT(SUBSTITUTE(TRIM(D409)," ",REPT(" ",100)),100)),3))&amp;"-"&amp;TEXT(A409,"000"))</f>
        <v/>
      </c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15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</row>
    <row r="410">
      <c r="A410" s="13">
        <f>IF(ISBLANK(C410),"",ROW()-1)</f>
        <v/>
      </c>
      <c r="B410" s="13">
        <f>IF(ISBLANK(C410),"","DIG-"&amp;MID(F410,SEARCH("(",F410)+1,3)&amp;"-"&amp;MID(G410,SEARCH("(",G410)+1,3)&amp;"-"&amp;UPPER(LEFT(TRIM(RIGHT(SUBSTITUTE(TRIM(D410)," ",REPT(" ",100)),100)),3))&amp;"-"&amp;TEXT(A410,"000"))</f>
        <v/>
      </c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15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</row>
    <row r="411">
      <c r="A411" s="13">
        <f>IF(ISBLANK(C411),"",ROW()-1)</f>
        <v/>
      </c>
      <c r="B411" s="13">
        <f>IF(ISBLANK(C411),"","DIG-"&amp;MID(F411,SEARCH("(",F411)+1,3)&amp;"-"&amp;MID(G411,SEARCH("(",G411)+1,3)&amp;"-"&amp;UPPER(LEFT(TRIM(RIGHT(SUBSTITUTE(TRIM(D411)," ",REPT(" ",100)),100)),3))&amp;"-"&amp;TEXT(A411,"000"))</f>
        <v/>
      </c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15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</row>
    <row r="412">
      <c r="A412" s="13">
        <f>IF(ISBLANK(C412),"",ROW()-1)</f>
        <v/>
      </c>
      <c r="B412" s="13">
        <f>IF(ISBLANK(C412),"","DIG-"&amp;MID(F412,SEARCH("(",F412)+1,3)&amp;"-"&amp;MID(G412,SEARCH("(",G412)+1,3)&amp;"-"&amp;UPPER(LEFT(TRIM(RIGHT(SUBSTITUTE(TRIM(D412)," ",REPT(" ",100)),100)),3))&amp;"-"&amp;TEXT(A412,"000"))</f>
        <v/>
      </c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15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</row>
    <row r="413">
      <c r="A413" s="13">
        <f>IF(ISBLANK(C413),"",ROW()-1)</f>
        <v/>
      </c>
      <c r="B413" s="13">
        <f>IF(ISBLANK(C413),"","DIG-"&amp;MID(F413,SEARCH("(",F413)+1,3)&amp;"-"&amp;MID(G413,SEARCH("(",G413)+1,3)&amp;"-"&amp;UPPER(LEFT(TRIM(RIGHT(SUBSTITUTE(TRIM(D413)," ",REPT(" ",100)),100)),3))&amp;"-"&amp;TEXT(A413,"000"))</f>
        <v/>
      </c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15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</row>
    <row r="414">
      <c r="A414" s="13">
        <f>IF(ISBLANK(C414),"",ROW()-1)</f>
        <v/>
      </c>
      <c r="B414" s="13">
        <f>IF(ISBLANK(C414),"","DIG-"&amp;MID(F414,SEARCH("(",F414)+1,3)&amp;"-"&amp;MID(G414,SEARCH("(",G414)+1,3)&amp;"-"&amp;UPPER(LEFT(TRIM(RIGHT(SUBSTITUTE(TRIM(D414)," ",REPT(" ",100)),100)),3))&amp;"-"&amp;TEXT(A414,"000"))</f>
        <v/>
      </c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15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</row>
    <row r="415">
      <c r="A415" s="13">
        <f>IF(ISBLANK(C415),"",ROW()-1)</f>
        <v/>
      </c>
      <c r="B415" s="13">
        <f>IF(ISBLANK(C415),"","DIG-"&amp;MID(F415,SEARCH("(",F415)+1,3)&amp;"-"&amp;MID(G415,SEARCH("(",G415)+1,3)&amp;"-"&amp;UPPER(LEFT(TRIM(RIGHT(SUBSTITUTE(TRIM(D415)," ",REPT(" ",100)),100)),3))&amp;"-"&amp;TEXT(A415,"000"))</f>
        <v/>
      </c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15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</row>
    <row r="416">
      <c r="A416" s="13">
        <f>IF(ISBLANK(C416),"",ROW()-1)</f>
        <v/>
      </c>
      <c r="B416" s="13">
        <f>IF(ISBLANK(C416),"","DIG-"&amp;MID(F416,SEARCH("(",F416)+1,3)&amp;"-"&amp;MID(G416,SEARCH("(",G416)+1,3)&amp;"-"&amp;UPPER(LEFT(TRIM(RIGHT(SUBSTITUTE(TRIM(D416)," ",REPT(" ",100)),100)),3))&amp;"-"&amp;TEXT(A416,"000"))</f>
        <v/>
      </c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15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</row>
    <row r="417">
      <c r="A417" s="13">
        <f>IF(ISBLANK(C417),"",ROW()-1)</f>
        <v/>
      </c>
      <c r="B417" s="13">
        <f>IF(ISBLANK(C417),"","DIG-"&amp;MID(F417,SEARCH("(",F417)+1,3)&amp;"-"&amp;MID(G417,SEARCH("(",G417)+1,3)&amp;"-"&amp;UPPER(LEFT(TRIM(RIGHT(SUBSTITUTE(TRIM(D417)," ",REPT(" ",100)),100)),3))&amp;"-"&amp;TEXT(A417,"000"))</f>
        <v/>
      </c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15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</row>
    <row r="418">
      <c r="A418" s="13">
        <f>IF(ISBLANK(C418),"",ROW()-1)</f>
        <v/>
      </c>
      <c r="B418" s="13">
        <f>IF(ISBLANK(C418),"","DIG-"&amp;MID(F418,SEARCH("(",F418)+1,3)&amp;"-"&amp;MID(G418,SEARCH("(",G418)+1,3)&amp;"-"&amp;UPPER(LEFT(TRIM(RIGHT(SUBSTITUTE(TRIM(D418)," ",REPT(" ",100)),100)),3))&amp;"-"&amp;TEXT(A418,"000"))</f>
        <v/>
      </c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15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</row>
    <row r="419">
      <c r="A419" s="13">
        <f>IF(ISBLANK(C419),"",ROW()-1)</f>
        <v/>
      </c>
      <c r="B419" s="13">
        <f>IF(ISBLANK(C419),"","DIG-"&amp;MID(F419,SEARCH("(",F419)+1,3)&amp;"-"&amp;MID(G419,SEARCH("(",G419)+1,3)&amp;"-"&amp;UPPER(LEFT(TRIM(RIGHT(SUBSTITUTE(TRIM(D419)," ",REPT(" ",100)),100)),3))&amp;"-"&amp;TEXT(A419,"000"))</f>
        <v/>
      </c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15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</row>
    <row r="420">
      <c r="A420" s="13">
        <f>IF(ISBLANK(C420),"",ROW()-1)</f>
        <v/>
      </c>
      <c r="B420" s="13">
        <f>IF(ISBLANK(C420),"","DIG-"&amp;MID(F420,SEARCH("(",F420)+1,3)&amp;"-"&amp;MID(G420,SEARCH("(",G420)+1,3)&amp;"-"&amp;UPPER(LEFT(TRIM(RIGHT(SUBSTITUTE(TRIM(D420)," ",REPT(" ",100)),100)),3))&amp;"-"&amp;TEXT(A420,"000"))</f>
        <v/>
      </c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15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</row>
    <row r="421">
      <c r="A421" s="13">
        <f>IF(ISBLANK(C421),"",ROW()-1)</f>
        <v/>
      </c>
      <c r="B421" s="13">
        <f>IF(ISBLANK(C421),"","DIG-"&amp;MID(F421,SEARCH("(",F421)+1,3)&amp;"-"&amp;MID(G421,SEARCH("(",G421)+1,3)&amp;"-"&amp;UPPER(LEFT(TRIM(RIGHT(SUBSTITUTE(TRIM(D421)," ",REPT(" ",100)),100)),3))&amp;"-"&amp;TEXT(A421,"000"))</f>
        <v/>
      </c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15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</row>
    <row r="422">
      <c r="A422" s="13">
        <f>IF(ISBLANK(C422),"",ROW()-1)</f>
        <v/>
      </c>
      <c r="B422" s="13">
        <f>IF(ISBLANK(C422),"","DIG-"&amp;MID(F422,SEARCH("(",F422)+1,3)&amp;"-"&amp;MID(G422,SEARCH("(",G422)+1,3)&amp;"-"&amp;UPPER(LEFT(TRIM(RIGHT(SUBSTITUTE(TRIM(D422)," ",REPT(" ",100)),100)),3))&amp;"-"&amp;TEXT(A422,"000"))</f>
        <v/>
      </c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15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</row>
    <row r="423">
      <c r="A423" s="13">
        <f>IF(ISBLANK(C423),"",ROW()-1)</f>
        <v/>
      </c>
      <c r="B423" s="13">
        <f>IF(ISBLANK(C423),"","DIG-"&amp;MID(F423,SEARCH("(",F423)+1,3)&amp;"-"&amp;MID(G423,SEARCH("(",G423)+1,3)&amp;"-"&amp;UPPER(LEFT(TRIM(RIGHT(SUBSTITUTE(TRIM(D423)," ",REPT(" ",100)),100)),3))&amp;"-"&amp;TEXT(A423,"000"))</f>
        <v/>
      </c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15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</row>
    <row r="424">
      <c r="A424" s="13">
        <f>IF(ISBLANK(C424),"",ROW()-1)</f>
        <v/>
      </c>
      <c r="B424" s="13">
        <f>IF(ISBLANK(C424),"","DIG-"&amp;MID(F424,SEARCH("(",F424)+1,3)&amp;"-"&amp;MID(G424,SEARCH("(",G424)+1,3)&amp;"-"&amp;UPPER(LEFT(TRIM(RIGHT(SUBSTITUTE(TRIM(D424)," ",REPT(" ",100)),100)),3))&amp;"-"&amp;TEXT(A424,"000"))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15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</row>
    <row r="425">
      <c r="A425" s="13">
        <f>IF(ISBLANK(C425),"",ROW()-1)</f>
        <v/>
      </c>
      <c r="B425" s="13">
        <f>IF(ISBLANK(C425),"","DIG-"&amp;MID(F425,SEARCH("(",F425)+1,3)&amp;"-"&amp;MID(G425,SEARCH("(",G425)+1,3)&amp;"-"&amp;UPPER(LEFT(TRIM(RIGHT(SUBSTITUTE(TRIM(D425)," ",REPT(" ",100)),100)),3))&amp;"-"&amp;TEXT(A425,"000"))</f>
        <v/>
      </c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15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</row>
    <row r="426">
      <c r="A426" s="13">
        <f>IF(ISBLANK(C426),"",ROW()-1)</f>
        <v/>
      </c>
      <c r="B426" s="13">
        <f>IF(ISBLANK(C426),"","DIG-"&amp;MID(F426,SEARCH("(",F426)+1,3)&amp;"-"&amp;MID(G426,SEARCH("(",G426)+1,3)&amp;"-"&amp;UPPER(LEFT(TRIM(RIGHT(SUBSTITUTE(TRIM(D426)," ",REPT(" ",100)),100)),3))&amp;"-"&amp;TEXT(A426,"000"))</f>
        <v/>
      </c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15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</row>
    <row r="427">
      <c r="A427" s="13">
        <f>IF(ISBLANK(C427),"",ROW()-1)</f>
        <v/>
      </c>
      <c r="B427" s="13">
        <f>IF(ISBLANK(C427),"","DIG-"&amp;MID(F427,SEARCH("(",F427)+1,3)&amp;"-"&amp;MID(G427,SEARCH("(",G427)+1,3)&amp;"-"&amp;UPPER(LEFT(TRIM(RIGHT(SUBSTITUTE(TRIM(D427)," ",REPT(" ",100)),100)),3))&amp;"-"&amp;TEXT(A427,"000"))</f>
        <v/>
      </c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15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</row>
    <row r="428">
      <c r="A428" s="13">
        <f>IF(ISBLANK(C428),"",ROW()-1)</f>
        <v/>
      </c>
      <c r="B428" s="13">
        <f>IF(ISBLANK(C428),"","DIG-"&amp;MID(F428,SEARCH("(",F428)+1,3)&amp;"-"&amp;MID(G428,SEARCH("(",G428)+1,3)&amp;"-"&amp;UPPER(LEFT(TRIM(RIGHT(SUBSTITUTE(TRIM(D428)," ",REPT(" ",100)),100)),3))&amp;"-"&amp;TEXT(A428,"000"))</f>
        <v/>
      </c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15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</row>
    <row r="429">
      <c r="A429" s="13">
        <f>IF(ISBLANK(C429),"",ROW()-1)</f>
        <v/>
      </c>
      <c r="B429" s="13">
        <f>IF(ISBLANK(C429),"","DIG-"&amp;MID(F429,SEARCH("(",F429)+1,3)&amp;"-"&amp;MID(G429,SEARCH("(",G429)+1,3)&amp;"-"&amp;UPPER(LEFT(TRIM(RIGHT(SUBSTITUTE(TRIM(D429)," ",REPT(" ",100)),100)),3))&amp;"-"&amp;TEXT(A429,"000"))</f>
        <v/>
      </c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15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</row>
    <row r="430">
      <c r="A430" s="13">
        <f>IF(ISBLANK(C430),"",ROW()-1)</f>
        <v/>
      </c>
      <c r="B430" s="13">
        <f>IF(ISBLANK(C430),"","DIG-"&amp;MID(F430,SEARCH("(",F430)+1,3)&amp;"-"&amp;MID(G430,SEARCH("(",G430)+1,3)&amp;"-"&amp;UPPER(LEFT(TRIM(RIGHT(SUBSTITUTE(TRIM(D430)," ",REPT(" ",100)),100)),3))&amp;"-"&amp;TEXT(A430,"000"))</f>
        <v/>
      </c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15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</row>
    <row r="431">
      <c r="A431" s="13">
        <f>IF(ISBLANK(C431),"",ROW()-1)</f>
        <v/>
      </c>
      <c r="B431" s="13">
        <f>IF(ISBLANK(C431),"","DIG-"&amp;MID(F431,SEARCH("(",F431)+1,3)&amp;"-"&amp;MID(G431,SEARCH("(",G431)+1,3)&amp;"-"&amp;UPPER(LEFT(TRIM(RIGHT(SUBSTITUTE(TRIM(D431)," ",REPT(" ",100)),100)),3))&amp;"-"&amp;TEXT(A431,"000"))</f>
        <v/>
      </c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15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</row>
    <row r="432">
      <c r="A432" s="13">
        <f>IF(ISBLANK(C432),"",ROW()-1)</f>
        <v/>
      </c>
      <c r="B432" s="13">
        <f>IF(ISBLANK(C432),"","DIG-"&amp;MID(F432,SEARCH("(",F432)+1,3)&amp;"-"&amp;MID(G432,SEARCH("(",G432)+1,3)&amp;"-"&amp;UPPER(LEFT(TRIM(RIGHT(SUBSTITUTE(TRIM(D432)," ",REPT(" ",100)),100)),3))&amp;"-"&amp;TEXT(A432,"000"))</f>
        <v/>
      </c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15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</row>
    <row r="433">
      <c r="A433" s="13">
        <f>IF(ISBLANK(C433),"",ROW()-1)</f>
        <v/>
      </c>
      <c r="B433" s="13">
        <f>IF(ISBLANK(C433),"","DIG-"&amp;MID(F433,SEARCH("(",F433)+1,3)&amp;"-"&amp;MID(G433,SEARCH("(",G433)+1,3)&amp;"-"&amp;UPPER(LEFT(TRIM(RIGHT(SUBSTITUTE(TRIM(D433)," ",REPT(" ",100)),100)),3))&amp;"-"&amp;TEXT(A433,"000"))</f>
        <v/>
      </c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15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</row>
    <row r="434">
      <c r="A434" s="13">
        <f>IF(ISBLANK(C434),"",ROW()-1)</f>
        <v/>
      </c>
      <c r="B434" s="13">
        <f>IF(ISBLANK(C434),"","DIG-"&amp;MID(F434,SEARCH("(",F434)+1,3)&amp;"-"&amp;MID(G434,SEARCH("(",G434)+1,3)&amp;"-"&amp;UPPER(LEFT(TRIM(RIGHT(SUBSTITUTE(TRIM(D434)," ",REPT(" ",100)),100)),3))&amp;"-"&amp;TEXT(A434,"000"))</f>
        <v/>
      </c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15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</row>
    <row r="435">
      <c r="A435" s="13">
        <f>IF(ISBLANK(C435),"",ROW()-1)</f>
        <v/>
      </c>
      <c r="B435" s="13">
        <f>IF(ISBLANK(C435),"","DIG-"&amp;MID(F435,SEARCH("(",F435)+1,3)&amp;"-"&amp;MID(G435,SEARCH("(",G435)+1,3)&amp;"-"&amp;UPPER(LEFT(TRIM(RIGHT(SUBSTITUTE(TRIM(D435)," ",REPT(" ",100)),100)),3))&amp;"-"&amp;TEXT(A435,"000"))</f>
        <v/>
      </c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15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</row>
    <row r="436">
      <c r="A436" s="13">
        <f>IF(ISBLANK(C436),"",ROW()-1)</f>
        <v/>
      </c>
      <c r="B436" s="13">
        <f>IF(ISBLANK(C436),"","DIG-"&amp;MID(F436,SEARCH("(",F436)+1,3)&amp;"-"&amp;MID(G436,SEARCH("(",G436)+1,3)&amp;"-"&amp;UPPER(LEFT(TRIM(RIGHT(SUBSTITUTE(TRIM(D436)," ",REPT(" ",100)),100)),3))&amp;"-"&amp;TEXT(A436,"000"))</f>
        <v/>
      </c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15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</row>
    <row r="437">
      <c r="A437" s="13">
        <f>IF(ISBLANK(C437),"",ROW()-1)</f>
        <v/>
      </c>
      <c r="B437" s="13">
        <f>IF(ISBLANK(C437),"","DIG-"&amp;MID(F437,SEARCH("(",F437)+1,3)&amp;"-"&amp;MID(G437,SEARCH("(",G437)+1,3)&amp;"-"&amp;UPPER(LEFT(TRIM(RIGHT(SUBSTITUTE(TRIM(D437)," ",REPT(" ",100)),100)),3))&amp;"-"&amp;TEXT(A437,"000"))</f>
        <v/>
      </c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15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</row>
    <row r="438">
      <c r="A438" s="13">
        <f>IF(ISBLANK(C438),"",ROW()-1)</f>
        <v/>
      </c>
      <c r="B438" s="13">
        <f>IF(ISBLANK(C438),"","DIG-"&amp;MID(F438,SEARCH("(",F438)+1,3)&amp;"-"&amp;MID(G438,SEARCH("(",G438)+1,3)&amp;"-"&amp;UPPER(LEFT(TRIM(RIGHT(SUBSTITUTE(TRIM(D438)," ",REPT(" ",100)),100)),3))&amp;"-"&amp;TEXT(A438,"000"))</f>
        <v/>
      </c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15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</row>
    <row r="439">
      <c r="A439" s="13">
        <f>IF(ISBLANK(C439),"",ROW()-1)</f>
        <v/>
      </c>
      <c r="B439" s="13">
        <f>IF(ISBLANK(C439),"","DIG-"&amp;MID(F439,SEARCH("(",F439)+1,3)&amp;"-"&amp;MID(G439,SEARCH("(",G439)+1,3)&amp;"-"&amp;UPPER(LEFT(TRIM(RIGHT(SUBSTITUTE(TRIM(D439)," ",REPT(" ",100)),100)),3))&amp;"-"&amp;TEXT(A439,"000"))</f>
        <v/>
      </c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15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</row>
    <row r="440">
      <c r="A440" s="13">
        <f>IF(ISBLANK(C440),"",ROW()-1)</f>
        <v/>
      </c>
      <c r="B440" s="13">
        <f>IF(ISBLANK(C440),"","DIG-"&amp;MID(F440,SEARCH("(",F440)+1,3)&amp;"-"&amp;MID(G440,SEARCH("(",G440)+1,3)&amp;"-"&amp;UPPER(LEFT(TRIM(RIGHT(SUBSTITUTE(TRIM(D440)," ",REPT(" ",100)),100)),3))&amp;"-"&amp;TEXT(A440,"000"))</f>
        <v/>
      </c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15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</row>
    <row r="441">
      <c r="A441" s="13">
        <f>IF(ISBLANK(C441),"",ROW()-1)</f>
        <v/>
      </c>
      <c r="B441" s="13">
        <f>IF(ISBLANK(C441),"","DIG-"&amp;MID(F441,SEARCH("(",F441)+1,3)&amp;"-"&amp;MID(G441,SEARCH("(",G441)+1,3)&amp;"-"&amp;UPPER(LEFT(TRIM(RIGHT(SUBSTITUTE(TRIM(D441)," ",REPT(" ",100)),100)),3))&amp;"-"&amp;TEXT(A441,"000"))</f>
        <v/>
      </c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15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</row>
    <row r="442">
      <c r="A442" s="13">
        <f>IF(ISBLANK(C442),"",ROW()-1)</f>
        <v/>
      </c>
      <c r="B442" s="13">
        <f>IF(ISBLANK(C442),"","DIG-"&amp;MID(F442,SEARCH("(",F442)+1,3)&amp;"-"&amp;MID(G442,SEARCH("(",G442)+1,3)&amp;"-"&amp;UPPER(LEFT(TRIM(RIGHT(SUBSTITUTE(TRIM(D442)," ",REPT(" ",100)),100)),3))&amp;"-"&amp;TEXT(A442,"000"))</f>
        <v/>
      </c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15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</row>
    <row r="443">
      <c r="A443" s="13">
        <f>IF(ISBLANK(C443),"",ROW()-1)</f>
        <v/>
      </c>
      <c r="B443" s="13">
        <f>IF(ISBLANK(C443),"","DIG-"&amp;MID(F443,SEARCH("(",F443)+1,3)&amp;"-"&amp;MID(G443,SEARCH("(",G443)+1,3)&amp;"-"&amp;UPPER(LEFT(TRIM(RIGHT(SUBSTITUTE(TRIM(D443)," ",REPT(" ",100)),100)),3))&amp;"-"&amp;TEXT(A443,"000"))</f>
        <v/>
      </c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15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</row>
    <row r="444">
      <c r="A444" s="13">
        <f>IF(ISBLANK(C444),"",ROW()-1)</f>
        <v/>
      </c>
      <c r="B444" s="13">
        <f>IF(ISBLANK(C444),"","DIG-"&amp;MID(F444,SEARCH("(",F444)+1,3)&amp;"-"&amp;MID(G444,SEARCH("(",G444)+1,3)&amp;"-"&amp;UPPER(LEFT(TRIM(RIGHT(SUBSTITUTE(TRIM(D444)," ",REPT(" ",100)),100)),3))&amp;"-"&amp;TEXT(A444,"000"))</f>
        <v/>
      </c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15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</row>
    <row r="445">
      <c r="A445" s="13">
        <f>IF(ISBLANK(C445),"",ROW()-1)</f>
        <v/>
      </c>
      <c r="B445" s="13">
        <f>IF(ISBLANK(C445),"","DIG-"&amp;MID(F445,SEARCH("(",F445)+1,3)&amp;"-"&amp;MID(G445,SEARCH("(",G445)+1,3)&amp;"-"&amp;UPPER(LEFT(TRIM(RIGHT(SUBSTITUTE(TRIM(D445)," ",REPT(" ",100)),100)),3))&amp;"-"&amp;TEXT(A445,"000"))</f>
        <v/>
      </c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15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</row>
    <row r="446">
      <c r="A446" s="13">
        <f>IF(ISBLANK(C446),"",ROW()-1)</f>
        <v/>
      </c>
      <c r="B446" s="13">
        <f>IF(ISBLANK(C446),"","DIG-"&amp;MID(F446,SEARCH("(",F446)+1,3)&amp;"-"&amp;MID(G446,SEARCH("(",G446)+1,3)&amp;"-"&amp;UPPER(LEFT(TRIM(RIGHT(SUBSTITUTE(TRIM(D446)," ",REPT(" ",100)),100)),3))&amp;"-"&amp;TEXT(A446,"000"))</f>
        <v/>
      </c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15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</row>
    <row r="447">
      <c r="A447" s="13">
        <f>IF(ISBLANK(C447),"",ROW()-1)</f>
        <v/>
      </c>
      <c r="B447" s="13">
        <f>IF(ISBLANK(C447),"","DIG-"&amp;MID(F447,SEARCH("(",F447)+1,3)&amp;"-"&amp;MID(G447,SEARCH("(",G447)+1,3)&amp;"-"&amp;UPPER(LEFT(TRIM(RIGHT(SUBSTITUTE(TRIM(D447)," ",REPT(" ",100)),100)),3))&amp;"-"&amp;TEXT(A447,"000"))</f>
        <v/>
      </c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15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</row>
    <row r="448">
      <c r="A448" s="13">
        <f>IF(ISBLANK(C448),"",ROW()-1)</f>
        <v/>
      </c>
      <c r="B448" s="13">
        <f>IF(ISBLANK(C448),"","DIG-"&amp;MID(F448,SEARCH("(",F448)+1,3)&amp;"-"&amp;MID(G448,SEARCH("(",G448)+1,3)&amp;"-"&amp;UPPER(LEFT(TRIM(RIGHT(SUBSTITUTE(TRIM(D448)," ",REPT(" ",100)),100)),3))&amp;"-"&amp;TEXT(A448,"000"))</f>
        <v/>
      </c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15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</row>
    <row r="449">
      <c r="A449" s="13">
        <f>IF(ISBLANK(C449),"",ROW()-1)</f>
        <v/>
      </c>
      <c r="B449" s="13">
        <f>IF(ISBLANK(C449),"","DIG-"&amp;MID(F449,SEARCH("(",F449)+1,3)&amp;"-"&amp;MID(G449,SEARCH("(",G449)+1,3)&amp;"-"&amp;UPPER(LEFT(TRIM(RIGHT(SUBSTITUTE(TRIM(D449)," ",REPT(" ",100)),100)),3))&amp;"-"&amp;TEXT(A449,"000"))</f>
        <v/>
      </c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15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</row>
    <row r="450">
      <c r="A450" s="13">
        <f>IF(ISBLANK(C450),"",ROW()-1)</f>
        <v/>
      </c>
      <c r="B450" s="13">
        <f>IF(ISBLANK(C450),"","DIG-"&amp;MID(F450,SEARCH("(",F450)+1,3)&amp;"-"&amp;MID(G450,SEARCH("(",G450)+1,3)&amp;"-"&amp;UPPER(LEFT(TRIM(RIGHT(SUBSTITUTE(TRIM(D450)," ",REPT(" ",100)),100)),3))&amp;"-"&amp;TEXT(A450,"000"))</f>
        <v/>
      </c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15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</row>
    <row r="451">
      <c r="A451" s="13">
        <f>IF(ISBLANK(C451),"",ROW()-1)</f>
        <v/>
      </c>
      <c r="B451" s="13">
        <f>IF(ISBLANK(C451),"","DIG-"&amp;MID(F451,SEARCH("(",F451)+1,3)&amp;"-"&amp;MID(G451,SEARCH("(",G451)+1,3)&amp;"-"&amp;UPPER(LEFT(TRIM(RIGHT(SUBSTITUTE(TRIM(D451)," ",REPT(" ",100)),100)),3))&amp;"-"&amp;TEXT(A451,"000"))</f>
        <v/>
      </c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15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</row>
    <row r="452">
      <c r="A452" s="13">
        <f>IF(ISBLANK(C452),"",ROW()-1)</f>
        <v/>
      </c>
      <c r="B452" s="13">
        <f>IF(ISBLANK(C452),"","DIG-"&amp;MID(F452,SEARCH("(",F452)+1,3)&amp;"-"&amp;MID(G452,SEARCH("(",G452)+1,3)&amp;"-"&amp;UPPER(LEFT(TRIM(RIGHT(SUBSTITUTE(TRIM(D452)," ",REPT(" ",100)),100)),3))&amp;"-"&amp;TEXT(A452,"000"))</f>
        <v/>
      </c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15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</row>
    <row r="453">
      <c r="A453" s="13">
        <f>IF(ISBLANK(C453),"",ROW()-1)</f>
        <v/>
      </c>
      <c r="B453" s="13">
        <f>IF(ISBLANK(C453),"","DIG-"&amp;MID(F453,SEARCH("(",F453)+1,3)&amp;"-"&amp;MID(G453,SEARCH("(",G453)+1,3)&amp;"-"&amp;UPPER(LEFT(TRIM(RIGHT(SUBSTITUTE(TRIM(D453)," ",REPT(" ",100)),100)),3))&amp;"-"&amp;TEXT(A453,"000"))</f>
        <v/>
      </c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15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</row>
    <row r="454">
      <c r="A454" s="13">
        <f>IF(ISBLANK(C454),"",ROW()-1)</f>
        <v/>
      </c>
      <c r="B454" s="13">
        <f>IF(ISBLANK(C454),"","DIG-"&amp;MID(F454,SEARCH("(",F454)+1,3)&amp;"-"&amp;MID(G454,SEARCH("(",G454)+1,3)&amp;"-"&amp;UPPER(LEFT(TRIM(RIGHT(SUBSTITUTE(TRIM(D454)," ",REPT(" ",100)),100)),3))&amp;"-"&amp;TEXT(A454,"000"))</f>
        <v/>
      </c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15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</row>
    <row r="455">
      <c r="A455" s="13">
        <f>IF(ISBLANK(C455),"",ROW()-1)</f>
        <v/>
      </c>
      <c r="B455" s="13">
        <f>IF(ISBLANK(C455),"","DIG-"&amp;MID(F455,SEARCH("(",F455)+1,3)&amp;"-"&amp;MID(G455,SEARCH("(",G455)+1,3)&amp;"-"&amp;UPPER(LEFT(TRIM(RIGHT(SUBSTITUTE(TRIM(D455)," ",REPT(" ",100)),100)),3))&amp;"-"&amp;TEXT(A455,"000"))</f>
        <v/>
      </c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15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</row>
    <row r="456">
      <c r="A456" s="13">
        <f>IF(ISBLANK(C456),"",ROW()-1)</f>
        <v/>
      </c>
      <c r="B456" s="13">
        <f>IF(ISBLANK(C456),"","DIG-"&amp;MID(F456,SEARCH("(",F456)+1,3)&amp;"-"&amp;MID(G456,SEARCH("(",G456)+1,3)&amp;"-"&amp;UPPER(LEFT(TRIM(RIGHT(SUBSTITUTE(TRIM(D456)," ",REPT(" ",100)),100)),3))&amp;"-"&amp;TEXT(A456,"000"))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15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</row>
    <row r="457">
      <c r="A457" s="13">
        <f>IF(ISBLANK(C457),"",ROW()-1)</f>
        <v/>
      </c>
      <c r="B457" s="13">
        <f>IF(ISBLANK(C457),"","DIG-"&amp;MID(F457,SEARCH("(",F457)+1,3)&amp;"-"&amp;MID(G457,SEARCH("(",G457)+1,3)&amp;"-"&amp;UPPER(LEFT(TRIM(RIGHT(SUBSTITUTE(TRIM(D457)," ",REPT(" ",100)),100)),3))&amp;"-"&amp;TEXT(A457,"000"))</f>
        <v/>
      </c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15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</row>
    <row r="458">
      <c r="A458" s="13">
        <f>IF(ISBLANK(C458),"",ROW()-1)</f>
        <v/>
      </c>
      <c r="B458" s="13">
        <f>IF(ISBLANK(C458),"","DIG-"&amp;MID(F458,SEARCH("(",F458)+1,3)&amp;"-"&amp;MID(G458,SEARCH("(",G458)+1,3)&amp;"-"&amp;UPPER(LEFT(TRIM(RIGHT(SUBSTITUTE(TRIM(D458)," ",REPT(" ",100)),100)),3))&amp;"-"&amp;TEXT(A458,"000"))</f>
        <v/>
      </c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15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</row>
    <row r="459">
      <c r="A459" s="13">
        <f>IF(ISBLANK(C459),"",ROW()-1)</f>
        <v/>
      </c>
      <c r="B459" s="13">
        <f>IF(ISBLANK(C459),"","DIG-"&amp;MID(F459,SEARCH("(",F459)+1,3)&amp;"-"&amp;MID(G459,SEARCH("(",G459)+1,3)&amp;"-"&amp;UPPER(LEFT(TRIM(RIGHT(SUBSTITUTE(TRIM(D459)," ",REPT(" ",100)),100)),3))&amp;"-"&amp;TEXT(A459,"000"))</f>
        <v/>
      </c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15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</row>
    <row r="460">
      <c r="A460" s="13">
        <f>IF(ISBLANK(C460),"",ROW()-1)</f>
        <v/>
      </c>
      <c r="B460" s="13">
        <f>IF(ISBLANK(C460),"","DIG-"&amp;MID(F460,SEARCH("(",F460)+1,3)&amp;"-"&amp;MID(G460,SEARCH("(",G460)+1,3)&amp;"-"&amp;UPPER(LEFT(TRIM(RIGHT(SUBSTITUTE(TRIM(D460)," ",REPT(" ",100)),100)),3))&amp;"-"&amp;TEXT(A460,"000"))</f>
        <v/>
      </c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15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</row>
    <row r="461">
      <c r="A461" s="13">
        <f>IF(ISBLANK(C461),"",ROW()-1)</f>
        <v/>
      </c>
      <c r="B461" s="13">
        <f>IF(ISBLANK(C461),"","DIG-"&amp;MID(F461,SEARCH("(",F461)+1,3)&amp;"-"&amp;MID(G461,SEARCH("(",G461)+1,3)&amp;"-"&amp;UPPER(LEFT(TRIM(RIGHT(SUBSTITUTE(TRIM(D461)," ",REPT(" ",100)),100)),3))&amp;"-"&amp;TEXT(A461,"000"))</f>
        <v/>
      </c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15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</row>
    <row r="462">
      <c r="A462" s="13">
        <f>IF(ISBLANK(C462),"",ROW()-1)</f>
        <v/>
      </c>
      <c r="B462" s="13">
        <f>IF(ISBLANK(C462),"","DIG-"&amp;MID(F462,SEARCH("(",F462)+1,3)&amp;"-"&amp;MID(G462,SEARCH("(",G462)+1,3)&amp;"-"&amp;UPPER(LEFT(TRIM(RIGHT(SUBSTITUTE(TRIM(D462)," ",REPT(" ",100)),100)),3))&amp;"-"&amp;TEXT(A462,"000"))</f>
        <v/>
      </c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15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</row>
    <row r="463">
      <c r="A463" s="13">
        <f>IF(ISBLANK(C463),"",ROW()-1)</f>
        <v/>
      </c>
      <c r="B463" s="13">
        <f>IF(ISBLANK(C463),"","DIG-"&amp;MID(F463,SEARCH("(",F463)+1,3)&amp;"-"&amp;MID(G463,SEARCH("(",G463)+1,3)&amp;"-"&amp;UPPER(LEFT(TRIM(RIGHT(SUBSTITUTE(TRIM(D463)," ",REPT(" ",100)),100)),3))&amp;"-"&amp;TEXT(A463,"000"))</f>
        <v/>
      </c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15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</row>
    <row r="464">
      <c r="A464" s="13">
        <f>IF(ISBLANK(C464),"",ROW()-1)</f>
        <v/>
      </c>
      <c r="B464" s="13">
        <f>IF(ISBLANK(C464),"","DIG-"&amp;MID(F464,SEARCH("(",F464)+1,3)&amp;"-"&amp;MID(G464,SEARCH("(",G464)+1,3)&amp;"-"&amp;UPPER(LEFT(TRIM(RIGHT(SUBSTITUTE(TRIM(D464)," ",REPT(" ",100)),100)),3))&amp;"-"&amp;TEXT(A464,"000"))</f>
        <v/>
      </c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15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</row>
    <row r="465">
      <c r="A465" s="13">
        <f>IF(ISBLANK(C465),"",ROW()-1)</f>
        <v/>
      </c>
      <c r="B465" s="13">
        <f>IF(ISBLANK(C465),"","DIG-"&amp;MID(F465,SEARCH("(",F465)+1,3)&amp;"-"&amp;MID(G465,SEARCH("(",G465)+1,3)&amp;"-"&amp;UPPER(LEFT(TRIM(RIGHT(SUBSTITUTE(TRIM(D465)," ",REPT(" ",100)),100)),3))&amp;"-"&amp;TEXT(A465,"000"))</f>
        <v/>
      </c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15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</row>
    <row r="466">
      <c r="A466" s="13">
        <f>IF(ISBLANK(C466),"",ROW()-1)</f>
        <v/>
      </c>
      <c r="B466" s="13">
        <f>IF(ISBLANK(C466),"","DIG-"&amp;MID(F466,SEARCH("(",F466)+1,3)&amp;"-"&amp;MID(G466,SEARCH("(",G466)+1,3)&amp;"-"&amp;UPPER(LEFT(TRIM(RIGHT(SUBSTITUTE(TRIM(D466)," ",REPT(" ",100)),100)),3))&amp;"-"&amp;TEXT(A466,"000"))</f>
        <v/>
      </c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15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</row>
    <row r="467">
      <c r="A467" s="13">
        <f>IF(ISBLANK(C467),"",ROW()-1)</f>
        <v/>
      </c>
      <c r="B467" s="13">
        <f>IF(ISBLANK(C467),"","DIG-"&amp;MID(F467,SEARCH("(",F467)+1,3)&amp;"-"&amp;MID(G467,SEARCH("(",G467)+1,3)&amp;"-"&amp;UPPER(LEFT(TRIM(RIGHT(SUBSTITUTE(TRIM(D467)," ",REPT(" ",100)),100)),3))&amp;"-"&amp;TEXT(A467,"000"))</f>
        <v/>
      </c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15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</row>
    <row r="468">
      <c r="A468" s="13">
        <f>IF(ISBLANK(C468),"",ROW()-1)</f>
        <v/>
      </c>
      <c r="B468" s="13">
        <f>IF(ISBLANK(C468),"","DIG-"&amp;MID(F468,SEARCH("(",F468)+1,3)&amp;"-"&amp;MID(G468,SEARCH("(",G468)+1,3)&amp;"-"&amp;UPPER(LEFT(TRIM(RIGHT(SUBSTITUTE(TRIM(D468)," ",REPT(" ",100)),100)),3))&amp;"-"&amp;TEXT(A468,"000"))</f>
        <v/>
      </c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15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</row>
    <row r="469">
      <c r="A469" s="13">
        <f>IF(ISBLANK(C469),"",ROW()-1)</f>
        <v/>
      </c>
      <c r="B469" s="13">
        <f>IF(ISBLANK(C469),"","DIG-"&amp;MID(F469,SEARCH("(",F469)+1,3)&amp;"-"&amp;MID(G469,SEARCH("(",G469)+1,3)&amp;"-"&amp;UPPER(LEFT(TRIM(RIGHT(SUBSTITUTE(TRIM(D469)," ",REPT(" ",100)),100)),3))&amp;"-"&amp;TEXT(A469,"000"))</f>
        <v/>
      </c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15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</row>
    <row r="470">
      <c r="A470" s="13">
        <f>IF(ISBLANK(C470),"",ROW()-1)</f>
        <v/>
      </c>
      <c r="B470" s="13">
        <f>IF(ISBLANK(C470),"","DIG-"&amp;MID(F470,SEARCH("(",F470)+1,3)&amp;"-"&amp;MID(G470,SEARCH("(",G470)+1,3)&amp;"-"&amp;UPPER(LEFT(TRIM(RIGHT(SUBSTITUTE(TRIM(D470)," ",REPT(" ",100)),100)),3))&amp;"-"&amp;TEXT(A470,"000"))</f>
        <v/>
      </c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15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</row>
    <row r="471">
      <c r="A471" s="13">
        <f>IF(ISBLANK(C471),"",ROW()-1)</f>
        <v/>
      </c>
      <c r="B471" s="13">
        <f>IF(ISBLANK(C471),"","DIG-"&amp;MID(F471,SEARCH("(",F471)+1,3)&amp;"-"&amp;MID(G471,SEARCH("(",G471)+1,3)&amp;"-"&amp;UPPER(LEFT(TRIM(RIGHT(SUBSTITUTE(TRIM(D471)," ",REPT(" ",100)),100)),3))&amp;"-"&amp;TEXT(A471,"000"))</f>
        <v/>
      </c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15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</row>
    <row r="472">
      <c r="A472" s="13">
        <f>IF(ISBLANK(C472),"",ROW()-1)</f>
        <v/>
      </c>
      <c r="B472" s="13">
        <f>IF(ISBLANK(C472),"","DIG-"&amp;MID(F472,SEARCH("(",F472)+1,3)&amp;"-"&amp;MID(G472,SEARCH("(",G472)+1,3)&amp;"-"&amp;UPPER(LEFT(TRIM(RIGHT(SUBSTITUTE(TRIM(D472)," ",REPT(" ",100)),100)),3))&amp;"-"&amp;TEXT(A472,"000"))</f>
        <v/>
      </c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15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</row>
    <row r="473">
      <c r="A473" s="13">
        <f>IF(ISBLANK(C473),"",ROW()-1)</f>
        <v/>
      </c>
      <c r="B473" s="13">
        <f>IF(ISBLANK(C473),"","DIG-"&amp;MID(F473,SEARCH("(",F473)+1,3)&amp;"-"&amp;MID(G473,SEARCH("(",G473)+1,3)&amp;"-"&amp;UPPER(LEFT(TRIM(RIGHT(SUBSTITUTE(TRIM(D473)," ",REPT(" ",100)),100)),3))&amp;"-"&amp;TEXT(A473,"000"))</f>
        <v/>
      </c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15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</row>
    <row r="474">
      <c r="A474" s="13">
        <f>IF(ISBLANK(C474),"",ROW()-1)</f>
        <v/>
      </c>
      <c r="B474" s="13">
        <f>IF(ISBLANK(C474),"","DIG-"&amp;MID(F474,SEARCH("(",F474)+1,3)&amp;"-"&amp;MID(G474,SEARCH("(",G474)+1,3)&amp;"-"&amp;UPPER(LEFT(TRIM(RIGHT(SUBSTITUTE(TRIM(D474)," ",REPT(" ",100)),100)),3))&amp;"-"&amp;TEXT(A474,"000"))</f>
        <v/>
      </c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15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</row>
    <row r="475">
      <c r="A475" s="13">
        <f>IF(ISBLANK(C475),"",ROW()-1)</f>
        <v/>
      </c>
      <c r="B475" s="13">
        <f>IF(ISBLANK(C475),"","DIG-"&amp;MID(F475,SEARCH("(",F475)+1,3)&amp;"-"&amp;MID(G475,SEARCH("(",G475)+1,3)&amp;"-"&amp;UPPER(LEFT(TRIM(RIGHT(SUBSTITUTE(TRIM(D475)," ",REPT(" ",100)),100)),3))&amp;"-"&amp;TEXT(A475,"000"))</f>
        <v/>
      </c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15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</row>
    <row r="476">
      <c r="A476" s="13">
        <f>IF(ISBLANK(C476),"",ROW()-1)</f>
        <v/>
      </c>
      <c r="B476" s="13">
        <f>IF(ISBLANK(C476),"","DIG-"&amp;MID(F476,SEARCH("(",F476)+1,3)&amp;"-"&amp;MID(G476,SEARCH("(",G476)+1,3)&amp;"-"&amp;UPPER(LEFT(TRIM(RIGHT(SUBSTITUTE(TRIM(D476)," ",REPT(" ",100)),100)),3))&amp;"-"&amp;TEXT(A476,"000"))</f>
        <v/>
      </c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15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</row>
    <row r="477">
      <c r="A477" s="13">
        <f>IF(ISBLANK(C477),"",ROW()-1)</f>
        <v/>
      </c>
      <c r="B477" s="13">
        <f>IF(ISBLANK(C477),"","DIG-"&amp;MID(F477,SEARCH("(",F477)+1,3)&amp;"-"&amp;MID(G477,SEARCH("(",G477)+1,3)&amp;"-"&amp;UPPER(LEFT(TRIM(RIGHT(SUBSTITUTE(TRIM(D477)," ",REPT(" ",100)),100)),3))&amp;"-"&amp;TEXT(A477,"000"))</f>
        <v/>
      </c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15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</row>
    <row r="478">
      <c r="A478" s="13">
        <f>IF(ISBLANK(C478),"",ROW()-1)</f>
        <v/>
      </c>
      <c r="B478" s="13">
        <f>IF(ISBLANK(C478),"","DIG-"&amp;MID(F478,SEARCH("(",F478)+1,3)&amp;"-"&amp;MID(G478,SEARCH("(",G478)+1,3)&amp;"-"&amp;UPPER(LEFT(TRIM(RIGHT(SUBSTITUTE(TRIM(D478)," ",REPT(" ",100)),100)),3))&amp;"-"&amp;TEXT(A478,"000"))</f>
        <v/>
      </c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15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</row>
    <row r="479">
      <c r="A479" s="13">
        <f>IF(ISBLANK(C479),"",ROW()-1)</f>
        <v/>
      </c>
      <c r="B479" s="13">
        <f>IF(ISBLANK(C479),"","DIG-"&amp;MID(F479,SEARCH("(",F479)+1,3)&amp;"-"&amp;MID(G479,SEARCH("(",G479)+1,3)&amp;"-"&amp;UPPER(LEFT(TRIM(RIGHT(SUBSTITUTE(TRIM(D479)," ",REPT(" ",100)),100)),3))&amp;"-"&amp;TEXT(A479,"000"))</f>
        <v/>
      </c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15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</row>
    <row r="480">
      <c r="A480" s="13">
        <f>IF(ISBLANK(C480),"",ROW()-1)</f>
        <v/>
      </c>
      <c r="B480" s="13">
        <f>IF(ISBLANK(C480),"","DIG-"&amp;MID(F480,SEARCH("(",F480)+1,3)&amp;"-"&amp;MID(G480,SEARCH("(",G480)+1,3)&amp;"-"&amp;UPPER(LEFT(TRIM(RIGHT(SUBSTITUTE(TRIM(D480)," ",REPT(" ",100)),100)),3))&amp;"-"&amp;TEXT(A480,"000"))</f>
        <v/>
      </c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15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</row>
    <row r="481">
      <c r="A481" s="13">
        <f>IF(ISBLANK(C481),"",ROW()-1)</f>
        <v/>
      </c>
      <c r="B481" s="13">
        <f>IF(ISBLANK(C481),"","DIG-"&amp;MID(F481,SEARCH("(",F481)+1,3)&amp;"-"&amp;MID(G481,SEARCH("(",G481)+1,3)&amp;"-"&amp;UPPER(LEFT(TRIM(RIGHT(SUBSTITUTE(TRIM(D481)," ",REPT(" ",100)),100)),3))&amp;"-"&amp;TEXT(A481,"000"))</f>
        <v/>
      </c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15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</row>
    <row r="482">
      <c r="A482" s="13">
        <f>IF(ISBLANK(C482),"",ROW()-1)</f>
        <v/>
      </c>
      <c r="B482" s="13">
        <f>IF(ISBLANK(C482),"","DIG-"&amp;MID(F482,SEARCH("(",F482)+1,3)&amp;"-"&amp;MID(G482,SEARCH("(",G482)+1,3)&amp;"-"&amp;UPPER(LEFT(TRIM(RIGHT(SUBSTITUTE(TRIM(D482)," ",REPT(" ",100)),100)),3))&amp;"-"&amp;TEXT(A482,"000"))</f>
        <v/>
      </c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15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</row>
    <row r="483">
      <c r="A483" s="13">
        <f>IF(ISBLANK(C483),"",ROW()-1)</f>
        <v/>
      </c>
      <c r="B483" s="13">
        <f>IF(ISBLANK(C483),"","DIG-"&amp;MID(F483,SEARCH("(",F483)+1,3)&amp;"-"&amp;MID(G483,SEARCH("(",G483)+1,3)&amp;"-"&amp;UPPER(LEFT(TRIM(RIGHT(SUBSTITUTE(TRIM(D483)," ",REPT(" ",100)),100)),3))&amp;"-"&amp;TEXT(A483,"000"))</f>
        <v/>
      </c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15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</row>
    <row r="484">
      <c r="A484" s="13">
        <f>IF(ISBLANK(C484),"",ROW()-1)</f>
        <v/>
      </c>
      <c r="B484" s="13">
        <f>IF(ISBLANK(C484),"","DIG-"&amp;MID(F484,SEARCH("(",F484)+1,3)&amp;"-"&amp;MID(G484,SEARCH("(",G484)+1,3)&amp;"-"&amp;UPPER(LEFT(TRIM(RIGHT(SUBSTITUTE(TRIM(D484)," ",REPT(" ",100)),100)),3))&amp;"-"&amp;TEXT(A484,"000"))</f>
        <v/>
      </c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15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</row>
    <row r="485">
      <c r="A485" s="13">
        <f>IF(ISBLANK(C485),"",ROW()-1)</f>
        <v/>
      </c>
      <c r="B485" s="13">
        <f>IF(ISBLANK(C485),"","DIG-"&amp;MID(F485,SEARCH("(",F485)+1,3)&amp;"-"&amp;MID(G485,SEARCH("(",G485)+1,3)&amp;"-"&amp;UPPER(LEFT(TRIM(RIGHT(SUBSTITUTE(TRIM(D485)," ",REPT(" ",100)),100)),3))&amp;"-"&amp;TEXT(A485,"000"))</f>
        <v/>
      </c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15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</row>
    <row r="486">
      <c r="A486" s="13">
        <f>IF(ISBLANK(C486),"",ROW()-1)</f>
        <v/>
      </c>
      <c r="B486" s="13">
        <f>IF(ISBLANK(C486),"","DIG-"&amp;MID(F486,SEARCH("(",F486)+1,3)&amp;"-"&amp;MID(G486,SEARCH("(",G486)+1,3)&amp;"-"&amp;UPPER(LEFT(TRIM(RIGHT(SUBSTITUTE(TRIM(D486)," ",REPT(" ",100)),100)),3))&amp;"-"&amp;TEXT(A486,"000"))</f>
        <v/>
      </c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15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</row>
    <row r="487">
      <c r="A487" s="13">
        <f>IF(ISBLANK(C487),"",ROW()-1)</f>
        <v/>
      </c>
      <c r="B487" s="13">
        <f>IF(ISBLANK(C487),"","DIG-"&amp;MID(F487,SEARCH("(",F487)+1,3)&amp;"-"&amp;MID(G487,SEARCH("(",G487)+1,3)&amp;"-"&amp;UPPER(LEFT(TRIM(RIGHT(SUBSTITUTE(TRIM(D487)," ",REPT(" ",100)),100)),3))&amp;"-"&amp;TEXT(A487,"000"))</f>
        <v/>
      </c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15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</row>
    <row r="488">
      <c r="A488" s="13">
        <f>IF(ISBLANK(C488),"",ROW()-1)</f>
        <v/>
      </c>
      <c r="B488" s="13">
        <f>IF(ISBLANK(C488),"","DIG-"&amp;MID(F488,SEARCH("(",F488)+1,3)&amp;"-"&amp;MID(G488,SEARCH("(",G488)+1,3)&amp;"-"&amp;UPPER(LEFT(TRIM(RIGHT(SUBSTITUTE(TRIM(D488)," ",REPT(" ",100)),100)),3))&amp;"-"&amp;TEXT(A488,"000"))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15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</row>
    <row r="489">
      <c r="A489" s="13">
        <f>IF(ISBLANK(C489),"",ROW()-1)</f>
        <v/>
      </c>
      <c r="B489" s="13">
        <f>IF(ISBLANK(C489),"","DIG-"&amp;MID(F489,SEARCH("(",F489)+1,3)&amp;"-"&amp;MID(G489,SEARCH("(",G489)+1,3)&amp;"-"&amp;UPPER(LEFT(TRIM(RIGHT(SUBSTITUTE(TRIM(D489)," ",REPT(" ",100)),100)),3))&amp;"-"&amp;TEXT(A489,"000"))</f>
        <v/>
      </c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15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</row>
    <row r="490">
      <c r="A490" s="13">
        <f>IF(ISBLANK(C490),"",ROW()-1)</f>
        <v/>
      </c>
      <c r="B490" s="13">
        <f>IF(ISBLANK(C490),"","DIG-"&amp;MID(F490,SEARCH("(",F490)+1,3)&amp;"-"&amp;MID(G490,SEARCH("(",G490)+1,3)&amp;"-"&amp;UPPER(LEFT(TRIM(RIGHT(SUBSTITUTE(TRIM(D490)," ",REPT(" ",100)),100)),3))&amp;"-"&amp;TEXT(A490,"000"))</f>
        <v/>
      </c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15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</row>
    <row r="491">
      <c r="A491" s="13">
        <f>IF(ISBLANK(C491),"",ROW()-1)</f>
        <v/>
      </c>
      <c r="B491" s="13">
        <f>IF(ISBLANK(C491),"","DIG-"&amp;MID(F491,SEARCH("(",F491)+1,3)&amp;"-"&amp;MID(G491,SEARCH("(",G491)+1,3)&amp;"-"&amp;UPPER(LEFT(TRIM(RIGHT(SUBSTITUTE(TRIM(D491)," ",REPT(" ",100)),100)),3))&amp;"-"&amp;TEXT(A491,"000"))</f>
        <v/>
      </c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15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</row>
    <row r="492">
      <c r="A492" s="13">
        <f>IF(ISBLANK(C492),"",ROW()-1)</f>
        <v/>
      </c>
      <c r="B492" s="13">
        <f>IF(ISBLANK(C492),"","DIG-"&amp;MID(F492,SEARCH("(",F492)+1,3)&amp;"-"&amp;MID(G492,SEARCH("(",G492)+1,3)&amp;"-"&amp;UPPER(LEFT(TRIM(RIGHT(SUBSTITUTE(TRIM(D492)," ",REPT(" ",100)),100)),3))&amp;"-"&amp;TEXT(A492,"000"))</f>
        <v/>
      </c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15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</row>
    <row r="493">
      <c r="A493" s="13">
        <f>IF(ISBLANK(C493),"",ROW()-1)</f>
        <v/>
      </c>
      <c r="B493" s="13">
        <f>IF(ISBLANK(C493),"","DIG-"&amp;MID(F493,SEARCH("(",F493)+1,3)&amp;"-"&amp;MID(G493,SEARCH("(",G493)+1,3)&amp;"-"&amp;UPPER(LEFT(TRIM(RIGHT(SUBSTITUTE(TRIM(D493)," ",REPT(" ",100)),100)),3))&amp;"-"&amp;TEXT(A493,"000"))</f>
        <v/>
      </c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15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</row>
    <row r="494">
      <c r="A494" s="13">
        <f>IF(ISBLANK(C494),"",ROW()-1)</f>
        <v/>
      </c>
      <c r="B494" s="13">
        <f>IF(ISBLANK(C494),"","DIG-"&amp;MID(F494,SEARCH("(",F494)+1,3)&amp;"-"&amp;MID(G494,SEARCH("(",G494)+1,3)&amp;"-"&amp;UPPER(LEFT(TRIM(RIGHT(SUBSTITUTE(TRIM(D494)," ",REPT(" ",100)),100)),3))&amp;"-"&amp;TEXT(A494,"000"))</f>
        <v/>
      </c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15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</row>
    <row r="495">
      <c r="A495" s="13">
        <f>IF(ISBLANK(C495),"",ROW()-1)</f>
        <v/>
      </c>
      <c r="B495" s="13">
        <f>IF(ISBLANK(C495),"","DIG-"&amp;MID(F495,SEARCH("(",F495)+1,3)&amp;"-"&amp;MID(G495,SEARCH("(",G495)+1,3)&amp;"-"&amp;UPPER(LEFT(TRIM(RIGHT(SUBSTITUTE(TRIM(D495)," ",REPT(" ",100)),100)),3))&amp;"-"&amp;TEXT(A495,"000"))</f>
        <v/>
      </c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15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</row>
    <row r="496">
      <c r="A496" s="13">
        <f>IF(ISBLANK(C496),"",ROW()-1)</f>
        <v/>
      </c>
      <c r="B496" s="13">
        <f>IF(ISBLANK(C496),"","DIG-"&amp;MID(F496,SEARCH("(",F496)+1,3)&amp;"-"&amp;MID(G496,SEARCH("(",G496)+1,3)&amp;"-"&amp;UPPER(LEFT(TRIM(RIGHT(SUBSTITUTE(TRIM(D496)," ",REPT(" ",100)),100)),3))&amp;"-"&amp;TEXT(A496,"000"))</f>
        <v/>
      </c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15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</row>
    <row r="497">
      <c r="A497" s="13">
        <f>IF(ISBLANK(C497),"",ROW()-1)</f>
        <v/>
      </c>
      <c r="B497" s="13">
        <f>IF(ISBLANK(C497),"","DIG-"&amp;MID(F497,SEARCH("(",F497)+1,3)&amp;"-"&amp;MID(G497,SEARCH("(",G497)+1,3)&amp;"-"&amp;UPPER(LEFT(TRIM(RIGHT(SUBSTITUTE(TRIM(D497)," ",REPT(" ",100)),100)),3))&amp;"-"&amp;TEXT(A497,"000"))</f>
        <v/>
      </c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15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</row>
    <row r="498">
      <c r="A498" s="13">
        <f>IF(ISBLANK(C498),"",ROW()-1)</f>
        <v/>
      </c>
      <c r="B498" s="13">
        <f>IF(ISBLANK(C498),"","DIG-"&amp;MID(F498,SEARCH("(",F498)+1,3)&amp;"-"&amp;MID(G498,SEARCH("(",G498)+1,3)&amp;"-"&amp;UPPER(LEFT(TRIM(RIGHT(SUBSTITUTE(TRIM(D498)," ",REPT(" ",100)),100)),3))&amp;"-"&amp;TEXT(A498,"000"))</f>
        <v/>
      </c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15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</row>
    <row r="499">
      <c r="A499" s="13">
        <f>IF(ISBLANK(C499),"",ROW()-1)</f>
        <v/>
      </c>
      <c r="B499" s="13">
        <f>IF(ISBLANK(C499),"","DIG-"&amp;MID(F499,SEARCH("(",F499)+1,3)&amp;"-"&amp;MID(G499,SEARCH("(",G499)+1,3)&amp;"-"&amp;UPPER(LEFT(TRIM(RIGHT(SUBSTITUTE(TRIM(D499)," ",REPT(" ",100)),100)),3))&amp;"-"&amp;TEXT(A499,"000"))</f>
        <v/>
      </c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15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</row>
    <row r="500">
      <c r="A500" s="13">
        <f>IF(ISBLANK(C500),"",ROW()-1)</f>
        <v/>
      </c>
      <c r="B500" s="13">
        <f>IF(ISBLANK(C500),"","DIG-"&amp;MID(F500,SEARCH("(",F500)+1,3)&amp;"-"&amp;MID(G500,SEARCH("(",G500)+1,3)&amp;"-"&amp;UPPER(LEFT(TRIM(RIGHT(SUBSTITUTE(TRIM(D500)," ",REPT(" ",100)),100)),3))&amp;"-"&amp;TEXT(A500,"000"))</f>
        <v/>
      </c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15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</row>
    <row r="501">
      <c r="A501" s="13">
        <f>IF(ISBLANK(C501),"",ROW()-1)</f>
        <v/>
      </c>
      <c r="B501" s="13">
        <f>IF(ISBLANK(C501),"","DIG-"&amp;MID(F501,SEARCH("(",F501)+1,3)&amp;"-"&amp;MID(G501,SEARCH("(",G501)+1,3)&amp;"-"&amp;UPPER(LEFT(TRIM(RIGHT(SUBSTITUTE(TRIM(D501)," ",REPT(" ",100)),100)),3))&amp;"-"&amp;TEXT(A501,"000"))</f>
        <v/>
      </c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15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720"/>
  <autoFilter ref="A1:AA501"/>
  <dataValidations count="9">
    <dataValidation sqref="F2:F501" showDropDown="0" showInputMessage="0" showErrorMessage="0" allowBlank="1" type="list">
      <formula1>=ResourceTypeList</formula1>
    </dataValidation>
    <dataValidation sqref="G2:G501" showDropDown="0" showInputMessage="0" showErrorMessage="0" allowBlank="1" type="list">
      <formula1>=GenreList</formula1>
    </dataValidation>
    <dataValidation sqref="H2:H501" showDropDown="0" showInputMessage="0" showErrorMessage="0" allowBlank="1" type="list">
      <formula1>=LanguageList</formula1>
    </dataValidation>
    <dataValidation sqref="I2:I501" showDropDown="0" showInputMessage="0" showErrorMessage="0" allowBlank="1" type="list">
      <formula1>=FormatList</formula1>
    </dataValidation>
    <dataValidation sqref="O2:O501" showDropDown="0" showInputMessage="0" showErrorMessage="0" allowBlank="1" type="list">
      <formula1>=OCRStatusList</formula1>
    </dataValidation>
    <dataValidation sqref="S2:S501" showDropDown="0" showInputMessage="0" showErrorMessage="0" allowBlank="1" type="list">
      <formula1>=RightsList</formula1>
    </dataValidation>
    <dataValidation sqref="T2:T501" showDropDown="0" showInputMessage="0" showErrorMessage="0" allowBlank="1" type="list">
      <formula1>=AccessLevelList</formula1>
    </dataValidation>
    <dataValidation sqref="Z2:Z501" showDropDown="0" showInputMessage="0" showErrorMessage="0" allowBlank="1" type="list">
      <formula1>=ReadingStatusList</formula1>
    </dataValidation>
    <dataValidation sqref="AA2:AA501" showDropDown="0" showInputMessage="0" showErrorMessage="0" allowBlank="1" type="list">
      <formula1>=PreservationList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14" customWidth="1" min="4" max="4"/>
    <col width="34" customWidth="1" min="5" max="5"/>
    <col width="20" customWidth="1" min="6" max="6"/>
    <col width="14" customWidth="1" min="7" max="7"/>
    <col width="12" customWidth="1" min="8" max="8"/>
    <col width="26" customWidth="1" min="9" max="9"/>
    <col width="22" customWidth="1" min="10" max="10"/>
    <col width="14" customWidth="1" min="11" max="11"/>
    <col width="14" customWidth="1" min="12" max="12"/>
    <col width="18" customWidth="1" min="13" max="13"/>
    <col width="20" customWidth="1" min="14" max="14"/>
    <col width="18" customWidth="1" min="15" max="15"/>
    <col width="16" customWidth="1" min="16" max="16"/>
    <col width="16" customWidth="1" min="17" max="17"/>
    <col width="16" customWidth="1" min="18" max="18"/>
    <col width="14" customWidth="1" min="19" max="19"/>
    <col width="30" customWidth="1" min="20" max="20"/>
    <col width="18" customWidth="1" min="21" max="21"/>
    <col width="22" customWidth="1" min="22" max="22"/>
    <col width="22" customWidth="1" min="23" max="23"/>
    <col width="18" customWidth="1" min="24" max="24"/>
    <col width="26" customWidth="1" min="25" max="25"/>
    <col width="22" customWidth="1" min="26" max="26"/>
    <col width="40" customWidth="1" min="27" max="27"/>
    <col width="16" customWidth="1" min="28" max="28"/>
  </cols>
  <sheetData>
    <row r="1" ht="34" customHeight="1">
      <c r="A1" s="6" t="inlineStr">
        <is>
          <t>Archive ID</t>
        </is>
      </c>
      <c r="B1" s="6" t="inlineStr">
        <is>
          <t>Title</t>
        </is>
      </c>
      <c r="C1" s="6" t="inlineStr">
        <is>
          <t>Creator</t>
        </is>
      </c>
      <c r="D1" s="6" t="inlineStr">
        <is>
          <t>Date</t>
        </is>
      </c>
      <c r="E1" s="6" t="inlineStr">
        <is>
          <t>Description</t>
        </is>
      </c>
      <c r="F1" s="6" t="inlineStr">
        <is>
          <t>Resource Type</t>
        </is>
      </c>
      <c r="G1" s="6" t="inlineStr">
        <is>
          <t>Physical/Digital</t>
        </is>
      </c>
      <c r="H1" s="6" t="inlineStr">
        <is>
          <t>Language</t>
        </is>
      </c>
      <c r="I1" s="6" t="inlineStr">
        <is>
          <t>Provenance</t>
        </is>
      </c>
      <c r="J1" s="6" t="inlineStr">
        <is>
          <t>Acquisition</t>
        </is>
      </c>
      <c r="K1" s="6" t="inlineStr">
        <is>
          <t>Condition</t>
        </is>
      </c>
      <c r="L1" s="6" t="inlineStr">
        <is>
          <t>Location Type</t>
        </is>
      </c>
      <c r="M1" s="6" t="inlineStr">
        <is>
          <t>Location Identifier</t>
        </is>
      </c>
      <c r="N1" s="6" t="inlineStr">
        <is>
          <t>Digital Surrogate</t>
        </is>
      </c>
      <c r="O1" s="6" t="inlineStr">
        <is>
          <t>Digitisation Status</t>
        </is>
      </c>
      <c r="P1" s="6" t="inlineStr">
        <is>
          <t>OCR Status</t>
        </is>
      </c>
      <c r="Q1" s="6" t="inlineStr">
        <is>
          <t>Rights</t>
        </is>
      </c>
      <c r="R1" s="6" t="inlineStr">
        <is>
          <t>Access Level</t>
        </is>
      </c>
      <c r="S1" s="6" t="inlineStr">
        <is>
          <t>Related Resource ID</t>
        </is>
      </c>
      <c r="T1" s="6" t="inlineStr">
        <is>
          <t>Notes</t>
        </is>
      </c>
      <c r="U1" s="6" t="inlineStr">
        <is>
          <t>Collection</t>
        </is>
      </c>
      <c r="V1" s="6" t="inlineStr">
        <is>
          <t>Dimensions</t>
        </is>
      </c>
      <c r="W1" s="6" t="inlineStr">
        <is>
          <t>Material</t>
        </is>
      </c>
      <c r="X1" s="6" t="inlineStr">
        <is>
          <t>Place</t>
        </is>
      </c>
      <c r="Y1" s="6" t="inlineStr">
        <is>
          <t>Subject / Keywords</t>
        </is>
      </c>
      <c r="Z1" s="6" t="inlineStr">
        <is>
          <t>Digital File Name</t>
        </is>
      </c>
      <c r="AA1" s="6" t="inlineStr">
        <is>
          <t>Public Link</t>
        </is>
      </c>
      <c r="AB1" s="6" t="inlineStr">
        <is>
          <t>Media Preview</t>
        </is>
      </c>
    </row>
    <row r="2">
      <c r="A2" s="13">
        <f>IF(ISBLANK(B2),"","ARC-"&amp;TEXT(ROW()-1,"0000"))</f>
        <v/>
      </c>
      <c r="B2" s="9" t="inlineStr">
        <is>
          <t>Historical newspaper clipping</t>
        </is>
      </c>
      <c r="C2" s="9" t="inlineStr"/>
      <c r="D2" s="9" t="inlineStr">
        <is>
          <t>1947-08-15</t>
        </is>
      </c>
      <c r="E2" s="9" t="inlineStr">
        <is>
          <t>Bengali newspaper clipping from independence era.</t>
        </is>
      </c>
      <c r="F2" s="9" t="inlineStr">
        <is>
          <t>Newspaper Clipping</t>
        </is>
      </c>
      <c r="G2" s="9" t="inlineStr">
        <is>
          <t>Physical</t>
        </is>
      </c>
      <c r="H2" s="9" t="inlineStr">
        <is>
          <t>Bengali</t>
        </is>
      </c>
      <c r="I2" s="9" t="inlineStr">
        <is>
          <t>Family collection</t>
        </is>
      </c>
      <c r="J2" s="9" t="inlineStr">
        <is>
          <t>Inherited</t>
        </is>
      </c>
      <c r="K2" s="9" t="inlineStr">
        <is>
          <t>Fair</t>
        </is>
      </c>
      <c r="L2" s="9" t="inlineStr">
        <is>
          <t>Archive</t>
        </is>
      </c>
      <c r="M2" s="9" t="inlineStr">
        <is>
          <t>ARCH-01</t>
        </is>
      </c>
      <c r="N2" s="9" t="inlineStr"/>
      <c r="O2" s="9" t="inlineStr">
        <is>
          <t>Not Digitised</t>
        </is>
      </c>
      <c r="P2" s="9" t="inlineStr">
        <is>
          <t>Not Applicable</t>
        </is>
      </c>
      <c r="Q2" s="9" t="inlineStr">
        <is>
          <t>Unknown</t>
        </is>
      </c>
      <c r="R2" s="9" t="inlineStr">
        <is>
          <t>Private</t>
        </is>
      </c>
      <c r="S2" s="9" t="inlineStr"/>
      <c r="T2" s="9" t="inlineStr">
        <is>
          <t>Fragile; store in acid-free sleeve.</t>
        </is>
      </c>
      <c r="U2" s="9" t="inlineStr">
        <is>
          <t>Newspapers</t>
        </is>
      </c>
      <c r="V2" s="9" t="inlineStr">
        <is>
          <t>18 × 12 cm</t>
        </is>
      </c>
      <c r="W2" s="9" t="inlineStr">
        <is>
          <t>newsprint</t>
        </is>
      </c>
      <c r="X2" s="9" t="inlineStr">
        <is>
          <t>Kolkata</t>
        </is>
      </c>
      <c r="Y2" s="9" t="inlineStr">
        <is>
          <t>independence, 1947, Bengal</t>
        </is>
      </c>
      <c r="Z2" s="9" t="inlineStr"/>
      <c r="AA2" s="9" t="inlineStr"/>
      <c r="AB2" s="15">
        <f>IF(AA2="","",HYPERLINK(AA2,"Open ↗"))</f>
        <v/>
      </c>
    </row>
    <row r="3">
      <c r="A3" s="13">
        <f>IF(ISBLANK(B3),"","ARC-"&amp;TEXT(ROW()-1,"0000"))</f>
        <v/>
      </c>
      <c r="B3" s="9" t="inlineStr">
        <is>
          <t>Scanned Bengali manuscript</t>
        </is>
      </c>
      <c r="C3" s="9" t="inlineStr"/>
      <c r="D3" s="9" t="inlineStr">
        <is>
          <t>1890</t>
        </is>
      </c>
      <c r="E3" s="9" t="inlineStr">
        <is>
          <t>Digitised manuscript with traditional binding.</t>
        </is>
      </c>
      <c r="F3" s="9" t="inlineStr">
        <is>
          <t>Manuscript</t>
        </is>
      </c>
      <c r="G3" s="9" t="inlineStr">
        <is>
          <t>Digital</t>
        </is>
      </c>
      <c r="H3" s="9" t="inlineStr">
        <is>
          <t>Bengali</t>
        </is>
      </c>
      <c r="I3" s="9" t="inlineStr">
        <is>
          <t>Purchased at auction</t>
        </is>
      </c>
      <c r="J3" s="9" t="inlineStr">
        <is>
          <t>Purchase</t>
        </is>
      </c>
      <c r="K3" s="9" t="inlineStr">
        <is>
          <t>Good</t>
        </is>
      </c>
      <c r="L3" s="9" t="inlineStr">
        <is>
          <t>Archive</t>
        </is>
      </c>
      <c r="M3" s="9" t="inlineStr">
        <is>
          <t>ARCH-02</t>
        </is>
      </c>
      <c r="N3" s="9" t="inlineStr"/>
      <c r="O3" s="9" t="inlineStr">
        <is>
          <t>Scanned</t>
        </is>
      </c>
      <c r="P3" s="9" t="inlineStr">
        <is>
          <t>OCR Pending</t>
        </is>
      </c>
      <c r="Q3" s="9" t="inlineStr">
        <is>
          <t>Public Domain</t>
        </is>
      </c>
      <c r="R3" s="9" t="inlineStr">
        <is>
          <t>Research Only</t>
        </is>
      </c>
      <c r="S3" s="9" t="inlineStr"/>
      <c r="T3" s="9" t="inlineStr">
        <is>
          <t>High-res TIFF master.</t>
        </is>
      </c>
      <c r="U3" s="9" t="inlineStr">
        <is>
          <t>Manuscripts</t>
        </is>
      </c>
      <c r="V3" s="9" t="inlineStr">
        <is>
          <t>24 × 16 × 3 cm</t>
        </is>
      </c>
      <c r="W3" s="9" t="inlineStr">
        <is>
          <t>paper, ink, cloth</t>
        </is>
      </c>
      <c r="X3" s="9" t="inlineStr">
        <is>
          <t>Bengal</t>
        </is>
      </c>
      <c r="Y3" s="9" t="inlineStr">
        <is>
          <t>manuscript, 19th century, Bengali</t>
        </is>
      </c>
      <c r="Z3" s="9" t="inlineStr">
        <is>
          <t>manuscript_1890_scan.tif</t>
        </is>
      </c>
      <c r="AA3" s="9" t="inlineStr"/>
      <c r="AB3" s="15">
        <f>IF(AA3="","",HYPERLINK(AA3,"Open ↗"))</f>
        <v/>
      </c>
    </row>
    <row r="4">
      <c r="A4" s="13">
        <f>IF(ISBLANK(B4),"","ARC-"&amp;TEXT(ROW()-1,"0000"))</f>
        <v/>
      </c>
      <c r="B4" s="9" t="inlineStr">
        <is>
          <t>Brass Nataraja statuette</t>
        </is>
      </c>
      <c r="C4" s="9" t="inlineStr"/>
      <c r="D4" s="9" t="inlineStr">
        <is>
          <t>c. 1950</t>
        </is>
      </c>
      <c r="E4" s="9" t="inlineStr">
        <is>
          <t>Small brass sculpture of Nataraja.</t>
        </is>
      </c>
      <c r="F4" s="9" t="inlineStr">
        <is>
          <t>Sculpture</t>
        </is>
      </c>
      <c r="G4" s="9" t="inlineStr">
        <is>
          <t>Physical</t>
        </is>
      </c>
      <c r="H4" s="9" t="inlineStr">
        <is>
          <t>Bengali</t>
        </is>
      </c>
      <c r="I4" s="9" t="inlineStr">
        <is>
          <t>Family heirloom</t>
        </is>
      </c>
      <c r="J4" s="9" t="inlineStr">
        <is>
          <t>Inherited</t>
        </is>
      </c>
      <c r="K4" s="9" t="inlineStr">
        <is>
          <t>Excellent</t>
        </is>
      </c>
      <c r="L4" s="9" t="inlineStr">
        <is>
          <t>Display Case</t>
        </is>
      </c>
      <c r="M4" s="9" t="inlineStr">
        <is>
          <t>CAB-01</t>
        </is>
      </c>
      <c r="N4" s="9" t="inlineStr"/>
      <c r="O4" s="9" t="inlineStr">
        <is>
          <t>Digitisation Planned</t>
        </is>
      </c>
      <c r="P4" s="9" t="inlineStr">
        <is>
          <t>Not Applicable</t>
        </is>
      </c>
      <c r="Q4" s="9" t="inlineStr">
        <is>
          <t>User-Owned</t>
        </is>
      </c>
      <c r="R4" s="9" t="inlineStr">
        <is>
          <t>Private</t>
        </is>
      </c>
      <c r="S4" s="9" t="inlineStr"/>
      <c r="T4" s="9" t="inlineStr">
        <is>
          <t>Do not handle with bare hands.</t>
        </is>
      </c>
      <c r="U4" s="9" t="inlineStr">
        <is>
          <t>Sculptures</t>
        </is>
      </c>
      <c r="V4" s="9" t="inlineStr">
        <is>
          <t>12 × 8 × 8 cm</t>
        </is>
      </c>
      <c r="W4" s="9" t="inlineStr">
        <is>
          <t>brass</t>
        </is>
      </c>
      <c r="X4" s="9" t="inlineStr">
        <is>
          <t>South India</t>
        </is>
      </c>
      <c r="Y4" s="9" t="inlineStr">
        <is>
          <t>Nataraja, Shiva, brass</t>
        </is>
      </c>
      <c r="Z4" s="9" t="inlineStr">
        <is>
          <t>nataraja_front.jpg</t>
        </is>
      </c>
      <c r="AA4" s="9" t="inlineStr"/>
      <c r="AB4" s="15">
        <f>IF(AA4="","",HYPERLINK(AA4,"Open ↗"))</f>
        <v/>
      </c>
    </row>
    <row r="5">
      <c r="A5" s="13">
        <f>IF(ISBLANK(B5),"","ARC-"&amp;TEXT(ROW()-1,"0000"))</f>
        <v/>
      </c>
      <c r="B5" s="9" t="inlineStr">
        <is>
          <t>Grandmother's wedding saree</t>
        </is>
      </c>
      <c r="C5" s="9" t="inlineStr"/>
      <c r="D5" s="9" t="inlineStr">
        <is>
          <t>c. 1930</t>
        </is>
      </c>
      <c r="E5" s="9" t="inlineStr">
        <is>
          <t>Handwoven silk saree with zari border.</t>
        </is>
      </c>
      <c r="F5" s="9" t="inlineStr">
        <is>
          <t>Textile</t>
        </is>
      </c>
      <c r="G5" s="9" t="inlineStr">
        <is>
          <t>Physical</t>
        </is>
      </c>
      <c r="H5" s="9" t="inlineStr">
        <is>
          <t>Bengali</t>
        </is>
      </c>
      <c r="I5" s="9" t="inlineStr">
        <is>
          <t>Family collection</t>
        </is>
      </c>
      <c r="J5" s="9" t="inlineStr">
        <is>
          <t>Inherited</t>
        </is>
      </c>
      <c r="K5" s="9" t="inlineStr">
        <is>
          <t>Fair</t>
        </is>
      </c>
      <c r="L5" s="9" t="inlineStr">
        <is>
          <t>Box</t>
        </is>
      </c>
      <c r="M5" s="9" t="inlineStr">
        <is>
          <t>BOX-07</t>
        </is>
      </c>
      <c r="N5" s="9" t="inlineStr"/>
      <c r="O5" s="9" t="inlineStr">
        <is>
          <t>Digitisation Planned</t>
        </is>
      </c>
      <c r="P5" s="9" t="inlineStr">
        <is>
          <t>Not Applicable</t>
        </is>
      </c>
      <c r="Q5" s="9" t="inlineStr">
        <is>
          <t>User-Owned</t>
        </is>
      </c>
      <c r="R5" s="9" t="inlineStr">
        <is>
          <t>Private</t>
        </is>
      </c>
      <c r="S5" s="9" t="inlineStr"/>
      <c r="T5" s="9" t="inlineStr">
        <is>
          <t>Preserve in muslin wrap.</t>
        </is>
      </c>
      <c r="U5" s="9" t="inlineStr">
        <is>
          <t>Textiles</t>
        </is>
      </c>
      <c r="V5" s="9" t="inlineStr">
        <is>
          <t>5.5 × 1.2 m</t>
        </is>
      </c>
      <c r="W5" s="9" t="inlineStr">
        <is>
          <t>silk, zari</t>
        </is>
      </c>
      <c r="X5" s="9" t="inlineStr">
        <is>
          <t>Bengal</t>
        </is>
      </c>
      <c r="Y5" s="9" t="inlineStr">
        <is>
          <t>saree, wedding, silk, zari</t>
        </is>
      </c>
      <c r="Z5" s="9" t="inlineStr">
        <is>
          <t>saree_detail.jpg</t>
        </is>
      </c>
      <c r="AA5" s="9" t="inlineStr"/>
      <c r="AB5" s="15">
        <f>IF(AA5="","",HYPERLINK(AA5,"Open ↗"))</f>
        <v/>
      </c>
    </row>
    <row r="6">
      <c r="A6" s="13">
        <f>IF(ISBLANK(B6),"","ARC-"&amp;TEXT(ROW()-1,"0000"))</f>
        <v/>
      </c>
      <c r="B6" s="9" t="inlineStr">
        <is>
          <t>Field recording — Baul songs</t>
        </is>
      </c>
      <c r="C6" s="9" t="inlineStr"/>
      <c r="D6" s="9" t="inlineStr">
        <is>
          <t>2019-11-20</t>
        </is>
      </c>
      <c r="E6" s="9" t="inlineStr">
        <is>
          <t>Audio field recording of Baul singers in Birbhum.</t>
        </is>
      </c>
      <c r="F6" s="9" t="inlineStr">
        <is>
          <t>Sound Recording</t>
        </is>
      </c>
      <c r="G6" s="9" t="inlineStr">
        <is>
          <t>Digital</t>
        </is>
      </c>
      <c r="H6" s="9" t="inlineStr">
        <is>
          <t>Bengali</t>
        </is>
      </c>
      <c r="I6" s="9" t="inlineStr">
        <is>
          <t>Own field research</t>
        </is>
      </c>
      <c r="J6" s="9" t="inlineStr">
        <is>
          <t>Recorded</t>
        </is>
      </c>
      <c r="K6" s="9" t="inlineStr">
        <is>
          <t>Excellent</t>
        </is>
      </c>
      <c r="L6" s="9" t="inlineStr">
        <is>
          <t>Archive</t>
        </is>
      </c>
      <c r="M6" s="9" t="inlineStr">
        <is>
          <t>ARCH-03</t>
        </is>
      </c>
      <c r="N6" s="9" t="inlineStr"/>
      <c r="O6" s="9" t="inlineStr">
        <is>
          <t>Scanned</t>
        </is>
      </c>
      <c r="P6" s="9" t="inlineStr">
        <is>
          <t>Not Applicable</t>
        </is>
      </c>
      <c r="Q6" s="9" t="inlineStr">
        <is>
          <t>User-Owned</t>
        </is>
      </c>
      <c r="R6" s="9" t="inlineStr">
        <is>
          <t>Research Only</t>
        </is>
      </c>
      <c r="S6" s="9" t="inlineStr"/>
      <c r="T6" s="9" t="inlineStr">
        <is>
          <t>Recorded with Zoom H5.</t>
        </is>
      </c>
      <c r="U6" s="9" t="inlineStr">
        <is>
          <t>Audio</t>
        </is>
      </c>
      <c r="V6" s="9" t="inlineStr"/>
      <c r="W6" s="9" t="inlineStr">
        <is>
          <t>digital (WAV 48 kHz)</t>
        </is>
      </c>
      <c r="X6" s="9" t="inlineStr">
        <is>
          <t>Birbhum, West Bengal</t>
        </is>
      </c>
      <c r="Y6" s="9" t="inlineStr">
        <is>
          <t>Baul, folk music, oral tradition</t>
        </is>
      </c>
      <c r="Z6" s="9" t="inlineStr">
        <is>
          <t>baul_session_2019.wav</t>
        </is>
      </c>
      <c r="AA6" s="9" t="inlineStr"/>
      <c r="AB6" s="15">
        <f>IF(AA6="","",HYPERLINK(AA6,"Open ↗"))</f>
        <v/>
      </c>
    </row>
    <row r="7">
      <c r="A7" s="13">
        <f>IF(ISBLANK(B7),"","ARC-"&amp;TEXT(ROW()-1,"0000"))</f>
        <v/>
      </c>
      <c r="B7" s="9" t="inlineStr">
        <is>
          <t>Interview with Shri Nabin Das</t>
        </is>
      </c>
      <c r="C7" s="9" t="inlineStr"/>
      <c r="D7" s="9" t="inlineStr">
        <is>
          <t>2022-03-15</t>
        </is>
      </c>
      <c r="E7" s="9" t="inlineStr">
        <is>
          <t>Video interview about local printing history.</t>
        </is>
      </c>
      <c r="F7" s="9" t="inlineStr">
        <is>
          <t>Video Recording</t>
        </is>
      </c>
      <c r="G7" s="9" t="inlineStr">
        <is>
          <t>Digital</t>
        </is>
      </c>
      <c r="H7" s="9" t="inlineStr">
        <is>
          <t>Bengali</t>
        </is>
      </c>
      <c r="I7" s="9" t="inlineStr">
        <is>
          <t>Own research</t>
        </is>
      </c>
      <c r="J7" s="9" t="inlineStr">
        <is>
          <t>Recorded</t>
        </is>
      </c>
      <c r="K7" s="9" t="inlineStr">
        <is>
          <t>Excellent</t>
        </is>
      </c>
      <c r="L7" s="9" t="inlineStr">
        <is>
          <t>Archive</t>
        </is>
      </c>
      <c r="M7" s="9" t="inlineStr">
        <is>
          <t>ARCH-04</t>
        </is>
      </c>
      <c r="N7" s="9" t="inlineStr"/>
      <c r="O7" s="9" t="inlineStr">
        <is>
          <t>Scanned</t>
        </is>
      </c>
      <c r="P7" s="9" t="inlineStr">
        <is>
          <t>Not Applicable</t>
        </is>
      </c>
      <c r="Q7" s="9" t="inlineStr">
        <is>
          <t>User-Owned</t>
        </is>
      </c>
      <c r="R7" s="9" t="inlineStr">
        <is>
          <t>Research Only</t>
        </is>
      </c>
      <c r="S7" s="9" t="inlineStr"/>
      <c r="T7" s="9" t="inlineStr"/>
      <c r="U7" s="9" t="inlineStr">
        <is>
          <t>Video</t>
        </is>
      </c>
      <c r="V7" s="9" t="inlineStr"/>
      <c r="W7" s="9" t="inlineStr">
        <is>
          <t>digital (MP4 H.264)</t>
        </is>
      </c>
      <c r="X7" s="9" t="inlineStr">
        <is>
          <t>Kolkata</t>
        </is>
      </c>
      <c r="Y7" s="9" t="inlineStr">
        <is>
          <t>interview, printing, oral history</t>
        </is>
      </c>
      <c r="Z7" s="9" t="inlineStr">
        <is>
          <t>interview_nabin_2022.mp4</t>
        </is>
      </c>
      <c r="AA7" s="9" t="inlineStr"/>
      <c r="AB7" s="15">
        <f>IF(AA7="","",HYPERLINK(AA7,"Open ↗"))</f>
        <v/>
      </c>
    </row>
    <row r="8">
      <c r="A8" s="13">
        <f>IF(ISBLANK(B8),"","ARC-"&amp;TEXT(ROW()-1,"0000"))</f>
        <v/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15">
        <f>IF(AA8="","",HYPERLINK(AA8,"Open ↗"))</f>
        <v/>
      </c>
    </row>
    <row r="9">
      <c r="A9" s="13">
        <f>IF(ISBLANK(B9),"","ARC-"&amp;TEXT(ROW()-1,"0000"))</f>
        <v/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15">
        <f>IF(AA9="","",HYPERLINK(AA9,"Open ↗"))</f>
        <v/>
      </c>
    </row>
    <row r="10">
      <c r="A10" s="13">
        <f>IF(ISBLANK(B10),"","ARC-"&amp;TEXT(ROW()-1,"0000"))</f>
        <v/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15">
        <f>IF(AA10="","",HYPERLINK(AA10,"Open ↗"))</f>
        <v/>
      </c>
    </row>
    <row r="11">
      <c r="A11" s="13">
        <f>IF(ISBLANK(B11),"","ARC-"&amp;TEXT(ROW()-1,"0000"))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15">
        <f>IF(AA11="","",HYPERLINK(AA11,"Open ↗"))</f>
        <v/>
      </c>
    </row>
    <row r="12">
      <c r="A12" s="13">
        <f>IF(ISBLANK(B12),"","ARC-"&amp;TEXT(ROW()-1,"0000"))</f>
        <v/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15">
        <f>IF(AA12="","",HYPERLINK(AA12,"Open ↗"))</f>
        <v/>
      </c>
    </row>
    <row r="13">
      <c r="A13" s="13">
        <f>IF(ISBLANK(B13),"","ARC-"&amp;TEXT(ROW()-1,"0000"))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15">
        <f>IF(AA13="","",HYPERLINK(AA13,"Open ↗"))</f>
        <v/>
      </c>
    </row>
    <row r="14">
      <c r="A14" s="13">
        <f>IF(ISBLANK(B14),"","ARC-"&amp;TEXT(ROW()-1,"0000"))</f>
        <v/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15">
        <f>IF(AA14="","",HYPERLINK(AA14,"Open ↗"))</f>
        <v/>
      </c>
    </row>
    <row r="15">
      <c r="A15" s="13">
        <f>IF(ISBLANK(B15),"","ARC-"&amp;TEXT(ROW()-1,"0000"))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15">
        <f>IF(AA15="","",HYPERLINK(AA15,"Open ↗"))</f>
        <v/>
      </c>
    </row>
    <row r="16">
      <c r="A16" s="13">
        <f>IF(ISBLANK(B16),"","ARC-"&amp;TEXT(ROW()-1,"0000"))</f>
        <v/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15">
        <f>IF(AA16="","",HYPERLINK(AA16,"Open ↗"))</f>
        <v/>
      </c>
    </row>
    <row r="17">
      <c r="A17" s="13">
        <f>IF(ISBLANK(B17),"","ARC-"&amp;TEXT(ROW()-1,"0000"))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15">
        <f>IF(AA17="","",HYPERLINK(AA17,"Open ↗"))</f>
        <v/>
      </c>
    </row>
    <row r="18">
      <c r="A18" s="13">
        <f>IF(ISBLANK(B18),"","ARC-"&amp;TEXT(ROW()-1,"0000"))</f>
        <v/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15">
        <f>IF(AA18="","",HYPERLINK(AA18,"Open ↗"))</f>
        <v/>
      </c>
    </row>
    <row r="19">
      <c r="A19" s="13">
        <f>IF(ISBLANK(B19),"","ARC-"&amp;TEXT(ROW()-1,"0000"))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15">
        <f>IF(AA19="","",HYPERLINK(AA19,"Open ↗"))</f>
        <v/>
      </c>
    </row>
    <row r="20">
      <c r="A20" s="13">
        <f>IF(ISBLANK(B20),"","ARC-"&amp;TEXT(ROW()-1,"0000"))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15">
        <f>IF(AA20="","",HYPERLINK(AA20,"Open ↗"))</f>
        <v/>
      </c>
    </row>
    <row r="21">
      <c r="A21" s="13">
        <f>IF(ISBLANK(B21),"","ARC-"&amp;TEXT(ROW()-1,"0000"))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15">
        <f>IF(AA21="","",HYPERLINK(AA21,"Open ↗"))</f>
        <v/>
      </c>
    </row>
    <row r="22">
      <c r="A22" s="13">
        <f>IF(ISBLANK(B22),"","ARC-"&amp;TEXT(ROW()-1,"0000"))</f>
        <v/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15">
        <f>IF(AA22="","",HYPERLINK(AA22,"Open ↗"))</f>
        <v/>
      </c>
    </row>
    <row r="23">
      <c r="A23" s="13">
        <f>IF(ISBLANK(B23),"","ARC-"&amp;TEXT(ROW()-1,"0000"))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15">
        <f>IF(AA23="","",HYPERLINK(AA23,"Open ↗"))</f>
        <v/>
      </c>
    </row>
    <row r="24">
      <c r="A24" s="13">
        <f>IF(ISBLANK(B24),"","ARC-"&amp;TEXT(ROW()-1,"0000"))</f>
        <v/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15">
        <f>IF(AA24="","",HYPERLINK(AA24,"Open ↗"))</f>
        <v/>
      </c>
    </row>
    <row r="25">
      <c r="A25" s="13">
        <f>IF(ISBLANK(B25),"","ARC-"&amp;TEXT(ROW()-1,"0000"))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15">
        <f>IF(AA25="","",HYPERLINK(AA25,"Open ↗"))</f>
        <v/>
      </c>
    </row>
    <row r="26">
      <c r="A26" s="13">
        <f>IF(ISBLANK(B26),"","ARC-"&amp;TEXT(ROW()-1,"0000"))</f>
        <v/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15">
        <f>IF(AA26="","",HYPERLINK(AA26,"Open ↗"))</f>
        <v/>
      </c>
    </row>
    <row r="27">
      <c r="A27" s="13">
        <f>IF(ISBLANK(B27),"","ARC-"&amp;TEXT(ROW()-1,"0000"))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15">
        <f>IF(AA27="","",HYPERLINK(AA27,"Open ↗"))</f>
        <v/>
      </c>
    </row>
    <row r="28">
      <c r="A28" s="13">
        <f>IF(ISBLANK(B28),"","ARC-"&amp;TEXT(ROW()-1,"0000"))</f>
        <v/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15">
        <f>IF(AA28="","",HYPERLINK(AA28,"Open ↗"))</f>
        <v/>
      </c>
    </row>
    <row r="29">
      <c r="A29" s="13">
        <f>IF(ISBLANK(B29),"","ARC-"&amp;TEXT(ROW()-1,"0000"))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15">
        <f>IF(AA29="","",HYPERLINK(AA29,"Open ↗"))</f>
        <v/>
      </c>
    </row>
    <row r="30">
      <c r="A30" s="13">
        <f>IF(ISBLANK(B30),"","ARC-"&amp;TEXT(ROW()-1,"0000"))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15">
        <f>IF(AA30="","",HYPERLINK(AA30,"Open ↗"))</f>
        <v/>
      </c>
    </row>
    <row r="31">
      <c r="A31" s="13">
        <f>IF(ISBLANK(B31),"","ARC-"&amp;TEXT(ROW()-1,"0000"))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15">
        <f>IF(AA31="","",HYPERLINK(AA31,"Open ↗"))</f>
        <v/>
      </c>
    </row>
    <row r="32">
      <c r="A32" s="13">
        <f>IF(ISBLANK(B32),"","ARC-"&amp;TEXT(ROW()-1,"0000"))</f>
        <v/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15">
        <f>IF(AA32="","",HYPERLINK(AA32,"Open ↗"))</f>
        <v/>
      </c>
    </row>
    <row r="33">
      <c r="A33" s="13">
        <f>IF(ISBLANK(B33),"","ARC-"&amp;TEXT(ROW()-1,"0000"))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15">
        <f>IF(AA33="","",HYPERLINK(AA33,"Open ↗"))</f>
        <v/>
      </c>
    </row>
    <row r="34">
      <c r="A34" s="13">
        <f>IF(ISBLANK(B34),"","ARC-"&amp;TEXT(ROW()-1,"0000"))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15">
        <f>IF(AA34="","",HYPERLINK(AA34,"Open ↗"))</f>
        <v/>
      </c>
    </row>
    <row r="35">
      <c r="A35" s="13">
        <f>IF(ISBLANK(B35),"","ARC-"&amp;TEXT(ROW()-1,"0000"))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15">
        <f>IF(AA35="","",HYPERLINK(AA35,"Open ↗"))</f>
        <v/>
      </c>
    </row>
    <row r="36">
      <c r="A36" s="13">
        <f>IF(ISBLANK(B36),"","ARC-"&amp;TEXT(ROW()-1,"0000"))</f>
        <v/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15">
        <f>IF(AA36="","",HYPERLINK(AA36,"Open ↗"))</f>
        <v/>
      </c>
    </row>
    <row r="37">
      <c r="A37" s="13">
        <f>IF(ISBLANK(B37),"","ARC-"&amp;TEXT(ROW()-1,"0000"))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5">
        <f>IF(AA37="","",HYPERLINK(AA37,"Open ↗"))</f>
        <v/>
      </c>
    </row>
    <row r="38">
      <c r="A38" s="13">
        <f>IF(ISBLANK(B38),"","ARC-"&amp;TEXT(ROW()-1,"0000"))</f>
        <v/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15">
        <f>IF(AA38="","",HYPERLINK(AA38,"Open ↗"))</f>
        <v/>
      </c>
    </row>
    <row r="39">
      <c r="A39" s="13">
        <f>IF(ISBLANK(B39),"","ARC-"&amp;TEXT(ROW()-1,"0000"))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15">
        <f>IF(AA39="","",HYPERLINK(AA39,"Open ↗"))</f>
        <v/>
      </c>
    </row>
    <row r="40">
      <c r="A40" s="13">
        <f>IF(ISBLANK(B40),"","ARC-"&amp;TEXT(ROW()-1,"0000"))</f>
        <v/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5">
        <f>IF(AA40="","",HYPERLINK(AA40,"Open ↗"))</f>
        <v/>
      </c>
    </row>
    <row r="41">
      <c r="A41" s="13">
        <f>IF(ISBLANK(B41),"","ARC-"&amp;TEXT(ROW()-1,"0000"))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5">
        <f>IF(AA41="","",HYPERLINK(AA41,"Open ↗"))</f>
        <v/>
      </c>
    </row>
    <row r="42">
      <c r="A42" s="13">
        <f>IF(ISBLANK(B42),"","ARC-"&amp;TEXT(ROW()-1,"0000"))</f>
        <v/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5">
        <f>IF(AA42="","",HYPERLINK(AA42,"Open ↗"))</f>
        <v/>
      </c>
    </row>
    <row r="43">
      <c r="A43" s="13">
        <f>IF(ISBLANK(B43),"","ARC-"&amp;TEXT(ROW()-1,"0000"))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15">
        <f>IF(AA43="","",HYPERLINK(AA43,"Open ↗"))</f>
        <v/>
      </c>
    </row>
    <row r="44">
      <c r="A44" s="13">
        <f>IF(ISBLANK(B44),"","ARC-"&amp;TEXT(ROW()-1,"0000"))</f>
        <v/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5">
        <f>IF(AA44="","",HYPERLINK(AA44,"Open ↗"))</f>
        <v/>
      </c>
    </row>
    <row r="45">
      <c r="A45" s="13">
        <f>IF(ISBLANK(B45),"","ARC-"&amp;TEXT(ROW()-1,"0000"))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5">
        <f>IF(AA45="","",HYPERLINK(AA45,"Open ↗"))</f>
        <v/>
      </c>
    </row>
    <row r="46">
      <c r="A46" s="13">
        <f>IF(ISBLANK(B46),"","ARC-"&amp;TEXT(ROW()-1,"0000"))</f>
        <v/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5">
        <f>IF(AA46="","",HYPERLINK(AA46,"Open ↗"))</f>
        <v/>
      </c>
    </row>
    <row r="47">
      <c r="A47" s="13">
        <f>IF(ISBLANK(B47),"","ARC-"&amp;TEXT(ROW()-1,"0000"))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5">
        <f>IF(AA47="","",HYPERLINK(AA47,"Open ↗"))</f>
        <v/>
      </c>
    </row>
    <row r="48">
      <c r="A48" s="13">
        <f>IF(ISBLANK(B48),"","ARC-"&amp;TEXT(ROW()-1,"0000"))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5">
        <f>IF(AA48="","",HYPERLINK(AA48,"Open ↗"))</f>
        <v/>
      </c>
    </row>
    <row r="49">
      <c r="A49" s="13">
        <f>IF(ISBLANK(B49),"","ARC-"&amp;TEXT(ROW()-1,"0000"))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5">
        <f>IF(AA49="","",HYPERLINK(AA49,"Open ↗"))</f>
        <v/>
      </c>
    </row>
    <row r="50">
      <c r="A50" s="13">
        <f>IF(ISBLANK(B50),"","ARC-"&amp;TEXT(ROW()-1,"0000"))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5">
        <f>IF(AA50="","",HYPERLINK(AA50,"Open ↗"))</f>
        <v/>
      </c>
    </row>
    <row r="51">
      <c r="A51" s="13">
        <f>IF(ISBLANK(B51),"","ARC-"&amp;TEXT(ROW()-1,"0000"))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5">
        <f>IF(AA51="","",HYPERLINK(AA51,"Open ↗"))</f>
        <v/>
      </c>
    </row>
    <row r="52">
      <c r="A52" s="13">
        <f>IF(ISBLANK(B52),"","ARC-"&amp;TEXT(ROW()-1,"0000"))</f>
        <v/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5">
        <f>IF(AA52="","",HYPERLINK(AA52,"Open ↗"))</f>
        <v/>
      </c>
    </row>
    <row r="53">
      <c r="A53" s="13">
        <f>IF(ISBLANK(B53),"","ARC-"&amp;TEXT(ROW()-1,"0000"))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5">
        <f>IF(AA53="","",HYPERLINK(AA53,"Open ↗"))</f>
        <v/>
      </c>
    </row>
    <row r="54">
      <c r="A54" s="13">
        <f>IF(ISBLANK(B54),"","ARC-"&amp;TEXT(ROW()-1,"0000"))</f>
        <v/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5">
        <f>IF(AA54="","",HYPERLINK(AA54,"Open ↗"))</f>
        <v/>
      </c>
    </row>
    <row r="55">
      <c r="A55" s="13">
        <f>IF(ISBLANK(B55),"","ARC-"&amp;TEXT(ROW()-1,"0000"))</f>
        <v/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5">
        <f>IF(AA55="","",HYPERLINK(AA55,"Open ↗"))</f>
        <v/>
      </c>
    </row>
    <row r="56">
      <c r="A56" s="13">
        <f>IF(ISBLANK(B56),"","ARC-"&amp;TEXT(ROW()-1,"0000"))</f>
        <v/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5">
        <f>IF(AA56="","",HYPERLINK(AA56,"Open ↗"))</f>
        <v/>
      </c>
    </row>
    <row r="57">
      <c r="A57" s="13">
        <f>IF(ISBLANK(B57),"","ARC-"&amp;TEXT(ROW()-1,"0000"))</f>
        <v/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15">
        <f>IF(AA57="","",HYPERLINK(AA57,"Open ↗"))</f>
        <v/>
      </c>
    </row>
    <row r="58">
      <c r="A58" s="13">
        <f>IF(ISBLANK(B58),"","ARC-"&amp;TEXT(ROW()-1,"0000"))</f>
        <v/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15">
        <f>IF(AA58="","",HYPERLINK(AA58,"Open ↗"))</f>
        <v/>
      </c>
    </row>
    <row r="59">
      <c r="A59" s="13">
        <f>IF(ISBLANK(B59),"","ARC-"&amp;TEXT(ROW()-1,"0000"))</f>
        <v/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5">
        <f>IF(AA59="","",HYPERLINK(AA59,"Open ↗"))</f>
        <v/>
      </c>
    </row>
    <row r="60">
      <c r="A60" s="13">
        <f>IF(ISBLANK(B60),"","ARC-"&amp;TEXT(ROW()-1,"0000"))</f>
        <v/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15">
        <f>IF(AA60="","",HYPERLINK(AA60,"Open ↗"))</f>
        <v/>
      </c>
    </row>
    <row r="61">
      <c r="A61" s="13">
        <f>IF(ISBLANK(B61),"","ARC-"&amp;TEXT(ROW()-1,"0000"))</f>
        <v/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15">
        <f>IF(AA61="","",HYPERLINK(AA61,"Open ↗"))</f>
        <v/>
      </c>
    </row>
    <row r="62">
      <c r="A62" s="13">
        <f>IF(ISBLANK(B62),"","ARC-"&amp;TEXT(ROW()-1,"0000"))</f>
        <v/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15">
        <f>IF(AA62="","",HYPERLINK(AA62,"Open ↗"))</f>
        <v/>
      </c>
    </row>
    <row r="63">
      <c r="A63" s="13">
        <f>IF(ISBLANK(B63),"","ARC-"&amp;TEXT(ROW()-1,"0000"))</f>
        <v/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15">
        <f>IF(AA63="","",HYPERLINK(AA63,"Open ↗"))</f>
        <v/>
      </c>
    </row>
    <row r="64">
      <c r="A64" s="13">
        <f>IF(ISBLANK(B64),"","ARC-"&amp;TEXT(ROW()-1,"0000"))</f>
        <v/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15">
        <f>IF(AA64="","",HYPERLINK(AA64,"Open ↗"))</f>
        <v/>
      </c>
    </row>
    <row r="65">
      <c r="A65" s="13">
        <f>IF(ISBLANK(B65),"","ARC-"&amp;TEXT(ROW()-1,"0000"))</f>
        <v/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15">
        <f>IF(AA65="","",HYPERLINK(AA65,"Open ↗"))</f>
        <v/>
      </c>
    </row>
    <row r="66">
      <c r="A66" s="13">
        <f>IF(ISBLANK(B66),"","ARC-"&amp;TEXT(ROW()-1,"0000"))</f>
        <v/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15">
        <f>IF(AA66="","",HYPERLINK(AA66,"Open ↗"))</f>
        <v/>
      </c>
    </row>
    <row r="67">
      <c r="A67" s="13">
        <f>IF(ISBLANK(B67),"","ARC-"&amp;TEXT(ROW()-1,"0000"))</f>
        <v/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15">
        <f>IF(AA67="","",HYPERLINK(AA67,"Open ↗"))</f>
        <v/>
      </c>
    </row>
    <row r="68">
      <c r="A68" s="13">
        <f>IF(ISBLANK(B68),"","ARC-"&amp;TEXT(ROW()-1,"0000"))</f>
        <v/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15">
        <f>IF(AA68="","",HYPERLINK(AA68,"Open ↗"))</f>
        <v/>
      </c>
    </row>
    <row r="69">
      <c r="A69" s="13">
        <f>IF(ISBLANK(B69),"","ARC-"&amp;TEXT(ROW()-1,"0000"))</f>
        <v/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5">
        <f>IF(AA69="","",HYPERLINK(AA69,"Open ↗"))</f>
        <v/>
      </c>
    </row>
    <row r="70">
      <c r="A70" s="13">
        <f>IF(ISBLANK(B70),"","ARC-"&amp;TEXT(ROW()-1,"0000"))</f>
        <v/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15">
        <f>IF(AA70="","",HYPERLINK(AA70,"Open ↗"))</f>
        <v/>
      </c>
    </row>
    <row r="71">
      <c r="A71" s="13">
        <f>IF(ISBLANK(B71),"","ARC-"&amp;TEXT(ROW()-1,"0000"))</f>
        <v/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15">
        <f>IF(AA71="","",HYPERLINK(AA71,"Open ↗"))</f>
        <v/>
      </c>
    </row>
    <row r="72">
      <c r="A72" s="13">
        <f>IF(ISBLANK(B72),"","ARC-"&amp;TEXT(ROW()-1,"0000"))</f>
        <v/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15">
        <f>IF(AA72="","",HYPERLINK(AA72,"Open ↗"))</f>
        <v/>
      </c>
    </row>
    <row r="73">
      <c r="A73" s="13">
        <f>IF(ISBLANK(B73),"","ARC-"&amp;TEXT(ROW()-1,"0000"))</f>
        <v/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5">
        <f>IF(AA73="","",HYPERLINK(AA73,"Open ↗"))</f>
        <v/>
      </c>
    </row>
    <row r="74">
      <c r="A74" s="13">
        <f>IF(ISBLANK(B74),"","ARC-"&amp;TEXT(ROW()-1,"0000"))</f>
        <v/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15">
        <f>IF(AA74="","",HYPERLINK(AA74,"Open ↗"))</f>
        <v/>
      </c>
    </row>
    <row r="75">
      <c r="A75" s="13">
        <f>IF(ISBLANK(B75),"","ARC-"&amp;TEXT(ROW()-1,"0000"))</f>
        <v/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5">
        <f>IF(AA75="","",HYPERLINK(AA75,"Open ↗"))</f>
        <v/>
      </c>
    </row>
    <row r="76">
      <c r="A76" s="13">
        <f>IF(ISBLANK(B76),"","ARC-"&amp;TEXT(ROW()-1,"0000"))</f>
        <v/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5">
        <f>IF(AA76="","",HYPERLINK(AA76,"Open ↗"))</f>
        <v/>
      </c>
    </row>
    <row r="77">
      <c r="A77" s="13">
        <f>IF(ISBLANK(B77),"","ARC-"&amp;TEXT(ROW()-1,"0000"))</f>
        <v/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15">
        <f>IF(AA77="","",HYPERLINK(AA77,"Open ↗"))</f>
        <v/>
      </c>
    </row>
    <row r="78">
      <c r="A78" s="13">
        <f>IF(ISBLANK(B78),"","ARC-"&amp;TEXT(ROW()-1,"0000"))</f>
        <v/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5">
        <f>IF(AA78="","",HYPERLINK(AA78,"Open ↗"))</f>
        <v/>
      </c>
    </row>
    <row r="79">
      <c r="A79" s="13">
        <f>IF(ISBLANK(B79),"","ARC-"&amp;TEXT(ROW()-1,"0000"))</f>
        <v/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5">
        <f>IF(AA79="","",HYPERLINK(AA79,"Open ↗"))</f>
        <v/>
      </c>
    </row>
    <row r="80">
      <c r="A80" s="13">
        <f>IF(ISBLANK(B80),"","ARC-"&amp;TEXT(ROW()-1,"0000"))</f>
        <v/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5">
        <f>IF(AA80="","",HYPERLINK(AA80,"Open ↗"))</f>
        <v/>
      </c>
    </row>
    <row r="81">
      <c r="A81" s="13">
        <f>IF(ISBLANK(B81),"","ARC-"&amp;TEXT(ROW()-1,"0000"))</f>
        <v/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5">
        <f>IF(AA81="","",HYPERLINK(AA81,"Open ↗"))</f>
        <v/>
      </c>
    </row>
    <row r="82">
      <c r="A82" s="13">
        <f>IF(ISBLANK(B82),"","ARC-"&amp;TEXT(ROW()-1,"0000"))</f>
        <v/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5">
        <f>IF(AA82="","",HYPERLINK(AA82,"Open ↗"))</f>
        <v/>
      </c>
    </row>
    <row r="83">
      <c r="A83" s="13">
        <f>IF(ISBLANK(B83),"","ARC-"&amp;TEXT(ROW()-1,"0000"))</f>
        <v/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5">
        <f>IF(AA83="","",HYPERLINK(AA83,"Open ↗"))</f>
        <v/>
      </c>
    </row>
    <row r="84">
      <c r="A84" s="13">
        <f>IF(ISBLANK(B84),"","ARC-"&amp;TEXT(ROW()-1,"0000"))</f>
        <v/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5">
        <f>IF(AA84="","",HYPERLINK(AA84,"Open ↗"))</f>
        <v/>
      </c>
    </row>
    <row r="85">
      <c r="A85" s="13">
        <f>IF(ISBLANK(B85),"","ARC-"&amp;TEXT(ROW()-1,"0000"))</f>
        <v/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5">
        <f>IF(AA85="","",HYPERLINK(AA85,"Open ↗"))</f>
        <v/>
      </c>
    </row>
    <row r="86">
      <c r="A86" s="13">
        <f>IF(ISBLANK(B86),"","ARC-"&amp;TEXT(ROW()-1,"0000"))</f>
        <v/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5">
        <f>IF(AA86="","",HYPERLINK(AA86,"Open ↗"))</f>
        <v/>
      </c>
    </row>
    <row r="87">
      <c r="A87" s="13">
        <f>IF(ISBLANK(B87),"","ARC-"&amp;TEXT(ROW()-1,"0000"))</f>
        <v/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5">
        <f>IF(AA87="","",HYPERLINK(AA87,"Open ↗"))</f>
        <v/>
      </c>
    </row>
    <row r="88">
      <c r="A88" s="13">
        <f>IF(ISBLANK(B88),"","ARC-"&amp;TEXT(ROW()-1,"0000"))</f>
        <v/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5">
        <f>IF(AA88="","",HYPERLINK(AA88,"Open ↗"))</f>
        <v/>
      </c>
    </row>
    <row r="89">
      <c r="A89" s="13">
        <f>IF(ISBLANK(B89),"","ARC-"&amp;TEXT(ROW()-1,"0000"))</f>
        <v/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5">
        <f>IF(AA89="","",HYPERLINK(AA89,"Open ↗"))</f>
        <v/>
      </c>
    </row>
    <row r="90">
      <c r="A90" s="13">
        <f>IF(ISBLANK(B90),"","ARC-"&amp;TEXT(ROW()-1,"0000"))</f>
        <v/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5">
        <f>IF(AA90="","",HYPERLINK(AA90,"Open ↗"))</f>
        <v/>
      </c>
    </row>
    <row r="91">
      <c r="A91" s="13">
        <f>IF(ISBLANK(B91),"","ARC-"&amp;TEXT(ROW()-1,"0000"))</f>
        <v/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5">
        <f>IF(AA91="","",HYPERLINK(AA91,"Open ↗"))</f>
        <v/>
      </c>
    </row>
    <row r="92">
      <c r="A92" s="13">
        <f>IF(ISBLANK(B92),"","ARC-"&amp;TEXT(ROW()-1,"0000"))</f>
        <v/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5">
        <f>IF(AA92="","",HYPERLINK(AA92,"Open ↗"))</f>
        <v/>
      </c>
    </row>
    <row r="93">
      <c r="A93" s="13">
        <f>IF(ISBLANK(B93),"","ARC-"&amp;TEXT(ROW()-1,"0000"))</f>
        <v/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5">
        <f>IF(AA93="","",HYPERLINK(AA93,"Open ↗"))</f>
        <v/>
      </c>
    </row>
    <row r="94">
      <c r="A94" s="13">
        <f>IF(ISBLANK(B94),"","ARC-"&amp;TEXT(ROW()-1,"0000"))</f>
        <v/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5">
        <f>IF(AA94="","",HYPERLINK(AA94,"Open ↗"))</f>
        <v/>
      </c>
    </row>
    <row r="95">
      <c r="A95" s="13">
        <f>IF(ISBLANK(B95),"","ARC-"&amp;TEXT(ROW()-1,"0000"))</f>
        <v/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5">
        <f>IF(AA95="","",HYPERLINK(AA95,"Open ↗"))</f>
        <v/>
      </c>
    </row>
    <row r="96">
      <c r="A96" s="13">
        <f>IF(ISBLANK(B96),"","ARC-"&amp;TEXT(ROW()-1,"0000"))</f>
        <v/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5">
        <f>IF(AA96="","",HYPERLINK(AA96,"Open ↗"))</f>
        <v/>
      </c>
    </row>
    <row r="97">
      <c r="A97" s="13">
        <f>IF(ISBLANK(B97),"","ARC-"&amp;TEXT(ROW()-1,"0000"))</f>
        <v/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5">
        <f>IF(AA97="","",HYPERLINK(AA97,"Open ↗"))</f>
        <v/>
      </c>
    </row>
    <row r="98">
      <c r="A98" s="13">
        <f>IF(ISBLANK(B98),"","ARC-"&amp;TEXT(ROW()-1,"0000"))</f>
        <v/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5">
        <f>IF(AA98="","",HYPERLINK(AA98,"Open ↗"))</f>
        <v/>
      </c>
    </row>
    <row r="99">
      <c r="A99" s="13">
        <f>IF(ISBLANK(B99),"","ARC-"&amp;TEXT(ROW()-1,"0000"))</f>
        <v/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5">
        <f>IF(AA99="","",HYPERLINK(AA99,"Open ↗"))</f>
        <v/>
      </c>
    </row>
    <row r="100">
      <c r="A100" s="13">
        <f>IF(ISBLANK(B100),"","ARC-"&amp;TEXT(ROW()-1,"0000"))</f>
        <v/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5">
        <f>IF(AA100="","",HYPERLINK(AA100,"Open ↗"))</f>
        <v/>
      </c>
    </row>
    <row r="101">
      <c r="A101" s="13">
        <f>IF(ISBLANK(B101),"","ARC-"&amp;TEXT(ROW()-1,"0000"))</f>
        <v/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5">
        <f>IF(AA101="","",HYPERLINK(AA101,"Open ↗"))</f>
        <v/>
      </c>
    </row>
    <row r="102">
      <c r="A102" s="13">
        <f>IF(ISBLANK(B102),"","ARC-"&amp;TEXT(ROW()-1,"0000"))</f>
        <v/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5">
        <f>IF(AA102="","",HYPERLINK(AA102,"Open ↗"))</f>
        <v/>
      </c>
    </row>
    <row r="103">
      <c r="A103" s="13">
        <f>IF(ISBLANK(B103),"","ARC-"&amp;TEXT(ROW()-1,"0000"))</f>
        <v/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5">
        <f>IF(AA103="","",HYPERLINK(AA103,"Open ↗"))</f>
        <v/>
      </c>
    </row>
    <row r="104">
      <c r="A104" s="13">
        <f>IF(ISBLANK(B104),"","ARC-"&amp;TEXT(ROW()-1,"0000"))</f>
        <v/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5">
        <f>IF(AA104="","",HYPERLINK(AA104,"Open ↗"))</f>
        <v/>
      </c>
    </row>
    <row r="105">
      <c r="A105" s="13">
        <f>IF(ISBLANK(B105),"","ARC-"&amp;TEXT(ROW()-1,"0000"))</f>
        <v/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5">
        <f>IF(AA105="","",HYPERLINK(AA105,"Open ↗"))</f>
        <v/>
      </c>
    </row>
    <row r="106">
      <c r="A106" s="13">
        <f>IF(ISBLANK(B106),"","ARC-"&amp;TEXT(ROW()-1,"0000"))</f>
        <v/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5">
        <f>IF(AA106="","",HYPERLINK(AA106,"Open ↗"))</f>
        <v/>
      </c>
    </row>
    <row r="107">
      <c r="A107" s="13">
        <f>IF(ISBLANK(B107),"","ARC-"&amp;TEXT(ROW()-1,"0000"))</f>
        <v/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5">
        <f>IF(AA107="","",HYPERLINK(AA107,"Open ↗"))</f>
        <v/>
      </c>
    </row>
    <row r="108">
      <c r="A108" s="13">
        <f>IF(ISBLANK(B108),"","ARC-"&amp;TEXT(ROW()-1,"0000"))</f>
        <v/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5">
        <f>IF(AA108="","",HYPERLINK(AA108,"Open ↗"))</f>
        <v/>
      </c>
    </row>
    <row r="109">
      <c r="A109" s="13">
        <f>IF(ISBLANK(B109),"","ARC-"&amp;TEXT(ROW()-1,"0000"))</f>
        <v/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5">
        <f>IF(AA109="","",HYPERLINK(AA109,"Open ↗"))</f>
        <v/>
      </c>
    </row>
    <row r="110">
      <c r="A110" s="13">
        <f>IF(ISBLANK(B110),"","ARC-"&amp;TEXT(ROW()-1,"0000"))</f>
        <v/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5">
        <f>IF(AA110="","",HYPERLINK(AA110,"Open ↗"))</f>
        <v/>
      </c>
    </row>
    <row r="111">
      <c r="A111" s="13">
        <f>IF(ISBLANK(B111),"","ARC-"&amp;TEXT(ROW()-1,"0000"))</f>
        <v/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5">
        <f>IF(AA111="","",HYPERLINK(AA111,"Open ↗"))</f>
        <v/>
      </c>
    </row>
    <row r="112">
      <c r="A112" s="13">
        <f>IF(ISBLANK(B112),"","ARC-"&amp;TEXT(ROW()-1,"0000"))</f>
        <v/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5">
        <f>IF(AA112="","",HYPERLINK(AA112,"Open ↗"))</f>
        <v/>
      </c>
    </row>
    <row r="113">
      <c r="A113" s="13">
        <f>IF(ISBLANK(B113),"","ARC-"&amp;TEXT(ROW()-1,"0000"))</f>
        <v/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5">
        <f>IF(AA113="","",HYPERLINK(AA113,"Open ↗"))</f>
        <v/>
      </c>
    </row>
    <row r="114">
      <c r="A114" s="13">
        <f>IF(ISBLANK(B114),"","ARC-"&amp;TEXT(ROW()-1,"0000"))</f>
        <v/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5">
        <f>IF(AA114="","",HYPERLINK(AA114,"Open ↗"))</f>
        <v/>
      </c>
    </row>
    <row r="115">
      <c r="A115" s="13">
        <f>IF(ISBLANK(B115),"","ARC-"&amp;TEXT(ROW()-1,"0000"))</f>
        <v/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5">
        <f>IF(AA115="","",HYPERLINK(AA115,"Open ↗"))</f>
        <v/>
      </c>
    </row>
    <row r="116">
      <c r="A116" s="13">
        <f>IF(ISBLANK(B116),"","ARC-"&amp;TEXT(ROW()-1,"0000"))</f>
        <v/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5">
        <f>IF(AA116="","",HYPERLINK(AA116,"Open ↗"))</f>
        <v/>
      </c>
    </row>
    <row r="117">
      <c r="A117" s="13">
        <f>IF(ISBLANK(B117),"","ARC-"&amp;TEXT(ROW()-1,"0000"))</f>
        <v/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5">
        <f>IF(AA117="","",HYPERLINK(AA117,"Open ↗"))</f>
        <v/>
      </c>
    </row>
    <row r="118">
      <c r="A118" s="13">
        <f>IF(ISBLANK(B118),"","ARC-"&amp;TEXT(ROW()-1,"0000"))</f>
        <v/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5">
        <f>IF(AA118="","",HYPERLINK(AA118,"Open ↗"))</f>
        <v/>
      </c>
    </row>
    <row r="119">
      <c r="A119" s="13">
        <f>IF(ISBLANK(B119),"","ARC-"&amp;TEXT(ROW()-1,"0000"))</f>
        <v/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5">
        <f>IF(AA119="","",HYPERLINK(AA119,"Open ↗"))</f>
        <v/>
      </c>
    </row>
    <row r="120">
      <c r="A120" s="13">
        <f>IF(ISBLANK(B120),"","ARC-"&amp;TEXT(ROW()-1,"0000"))</f>
        <v/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5">
        <f>IF(AA120="","",HYPERLINK(AA120,"Open ↗"))</f>
        <v/>
      </c>
    </row>
    <row r="121">
      <c r="A121" s="13">
        <f>IF(ISBLANK(B121),"","ARC-"&amp;TEXT(ROW()-1,"0000"))</f>
        <v/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5">
        <f>IF(AA121="","",HYPERLINK(AA121,"Open ↗"))</f>
        <v/>
      </c>
    </row>
    <row r="122">
      <c r="A122" s="13">
        <f>IF(ISBLANK(B122),"","ARC-"&amp;TEXT(ROW()-1,"0000"))</f>
        <v/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5">
        <f>IF(AA122="","",HYPERLINK(AA122,"Open ↗"))</f>
        <v/>
      </c>
    </row>
    <row r="123">
      <c r="A123" s="13">
        <f>IF(ISBLANK(B123),"","ARC-"&amp;TEXT(ROW()-1,"0000"))</f>
        <v/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5">
        <f>IF(AA123="","",HYPERLINK(AA123,"Open ↗"))</f>
        <v/>
      </c>
    </row>
    <row r="124">
      <c r="A124" s="13">
        <f>IF(ISBLANK(B124),"","ARC-"&amp;TEXT(ROW()-1,"0000"))</f>
        <v/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5">
        <f>IF(AA124="","",HYPERLINK(AA124,"Open ↗"))</f>
        <v/>
      </c>
    </row>
    <row r="125">
      <c r="A125" s="13">
        <f>IF(ISBLANK(B125),"","ARC-"&amp;TEXT(ROW()-1,"0000"))</f>
        <v/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5">
        <f>IF(AA125="","",HYPERLINK(AA125,"Open ↗"))</f>
        <v/>
      </c>
    </row>
    <row r="126">
      <c r="A126" s="13">
        <f>IF(ISBLANK(B126),"","ARC-"&amp;TEXT(ROW()-1,"0000"))</f>
        <v/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5">
        <f>IF(AA126="","",HYPERLINK(AA126,"Open ↗"))</f>
        <v/>
      </c>
    </row>
    <row r="127">
      <c r="A127" s="13">
        <f>IF(ISBLANK(B127),"","ARC-"&amp;TEXT(ROW()-1,"0000"))</f>
        <v/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5">
        <f>IF(AA127="","",HYPERLINK(AA127,"Open ↗"))</f>
        <v/>
      </c>
    </row>
    <row r="128">
      <c r="A128" s="13">
        <f>IF(ISBLANK(B128),"","ARC-"&amp;TEXT(ROW()-1,"0000"))</f>
        <v/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5">
        <f>IF(AA128="","",HYPERLINK(AA128,"Open ↗"))</f>
        <v/>
      </c>
    </row>
    <row r="129">
      <c r="A129" s="13">
        <f>IF(ISBLANK(B129),"","ARC-"&amp;TEXT(ROW()-1,"0000"))</f>
        <v/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5">
        <f>IF(AA129="","",HYPERLINK(AA129,"Open ↗"))</f>
        <v/>
      </c>
    </row>
    <row r="130">
      <c r="A130" s="13">
        <f>IF(ISBLANK(B130),"","ARC-"&amp;TEXT(ROW()-1,"0000"))</f>
        <v/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5">
        <f>IF(AA130="","",HYPERLINK(AA130,"Open ↗"))</f>
        <v/>
      </c>
    </row>
    <row r="131">
      <c r="A131" s="13">
        <f>IF(ISBLANK(B131),"","ARC-"&amp;TEXT(ROW()-1,"0000"))</f>
        <v/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5">
        <f>IF(AA131="","",HYPERLINK(AA131,"Open ↗"))</f>
        <v/>
      </c>
    </row>
    <row r="132">
      <c r="A132" s="13">
        <f>IF(ISBLANK(B132),"","ARC-"&amp;TEXT(ROW()-1,"0000"))</f>
        <v/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5">
        <f>IF(AA132="","",HYPERLINK(AA132,"Open ↗"))</f>
        <v/>
      </c>
    </row>
    <row r="133">
      <c r="A133" s="13">
        <f>IF(ISBLANK(B133),"","ARC-"&amp;TEXT(ROW()-1,"0000"))</f>
        <v/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5">
        <f>IF(AA133="","",HYPERLINK(AA133,"Open ↗"))</f>
        <v/>
      </c>
    </row>
    <row r="134">
      <c r="A134" s="13">
        <f>IF(ISBLANK(B134),"","ARC-"&amp;TEXT(ROW()-1,"0000"))</f>
        <v/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5">
        <f>IF(AA134="","",HYPERLINK(AA134,"Open ↗"))</f>
        <v/>
      </c>
    </row>
    <row r="135">
      <c r="A135" s="13">
        <f>IF(ISBLANK(B135),"","ARC-"&amp;TEXT(ROW()-1,"0000"))</f>
        <v/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5">
        <f>IF(AA135="","",HYPERLINK(AA135,"Open ↗"))</f>
        <v/>
      </c>
    </row>
    <row r="136">
      <c r="A136" s="13">
        <f>IF(ISBLANK(B136),"","ARC-"&amp;TEXT(ROW()-1,"0000"))</f>
        <v/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5">
        <f>IF(AA136="","",HYPERLINK(AA136,"Open ↗"))</f>
        <v/>
      </c>
    </row>
    <row r="137">
      <c r="A137" s="13">
        <f>IF(ISBLANK(B137),"","ARC-"&amp;TEXT(ROW()-1,"0000"))</f>
        <v/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5">
        <f>IF(AA137="","",HYPERLINK(AA137,"Open ↗"))</f>
        <v/>
      </c>
    </row>
    <row r="138">
      <c r="A138" s="13">
        <f>IF(ISBLANK(B138),"","ARC-"&amp;TEXT(ROW()-1,"0000"))</f>
        <v/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5">
        <f>IF(AA138="","",HYPERLINK(AA138,"Open ↗"))</f>
        <v/>
      </c>
    </row>
    <row r="139">
      <c r="A139" s="13">
        <f>IF(ISBLANK(B139),"","ARC-"&amp;TEXT(ROW()-1,"0000"))</f>
        <v/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5">
        <f>IF(AA139="","",HYPERLINK(AA139,"Open ↗"))</f>
        <v/>
      </c>
    </row>
    <row r="140">
      <c r="A140" s="13">
        <f>IF(ISBLANK(B140),"","ARC-"&amp;TEXT(ROW()-1,"0000"))</f>
        <v/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5">
        <f>IF(AA140="","",HYPERLINK(AA140,"Open ↗"))</f>
        <v/>
      </c>
    </row>
    <row r="141">
      <c r="A141" s="13">
        <f>IF(ISBLANK(B141),"","ARC-"&amp;TEXT(ROW()-1,"0000"))</f>
        <v/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5">
        <f>IF(AA141="","",HYPERLINK(AA141,"Open ↗"))</f>
        <v/>
      </c>
    </row>
    <row r="142">
      <c r="A142" s="13">
        <f>IF(ISBLANK(B142),"","ARC-"&amp;TEXT(ROW()-1,"0000"))</f>
        <v/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5">
        <f>IF(AA142="","",HYPERLINK(AA142,"Open ↗"))</f>
        <v/>
      </c>
    </row>
    <row r="143">
      <c r="A143" s="13">
        <f>IF(ISBLANK(B143),"","ARC-"&amp;TEXT(ROW()-1,"0000"))</f>
        <v/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5">
        <f>IF(AA143="","",HYPERLINK(AA143,"Open ↗"))</f>
        <v/>
      </c>
    </row>
    <row r="144">
      <c r="A144" s="13">
        <f>IF(ISBLANK(B144),"","ARC-"&amp;TEXT(ROW()-1,"0000"))</f>
        <v/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5">
        <f>IF(AA144="","",HYPERLINK(AA144,"Open ↗"))</f>
        <v/>
      </c>
    </row>
    <row r="145">
      <c r="A145" s="13">
        <f>IF(ISBLANK(B145),"","ARC-"&amp;TEXT(ROW()-1,"0000"))</f>
        <v/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5">
        <f>IF(AA145="","",HYPERLINK(AA145,"Open ↗"))</f>
        <v/>
      </c>
    </row>
    <row r="146">
      <c r="A146" s="13">
        <f>IF(ISBLANK(B146),"","ARC-"&amp;TEXT(ROW()-1,"0000"))</f>
        <v/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5">
        <f>IF(AA146="","",HYPERLINK(AA146,"Open ↗"))</f>
        <v/>
      </c>
    </row>
    <row r="147">
      <c r="A147" s="13">
        <f>IF(ISBLANK(B147),"","ARC-"&amp;TEXT(ROW()-1,"0000"))</f>
        <v/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5">
        <f>IF(AA147="","",HYPERLINK(AA147,"Open ↗"))</f>
        <v/>
      </c>
    </row>
    <row r="148">
      <c r="A148" s="13">
        <f>IF(ISBLANK(B148),"","ARC-"&amp;TEXT(ROW()-1,"0000"))</f>
        <v/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5">
        <f>IF(AA148="","",HYPERLINK(AA148,"Open ↗"))</f>
        <v/>
      </c>
    </row>
    <row r="149">
      <c r="A149" s="13">
        <f>IF(ISBLANK(B149),"","ARC-"&amp;TEXT(ROW()-1,"0000"))</f>
        <v/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5">
        <f>IF(AA149="","",HYPERLINK(AA149,"Open ↗"))</f>
        <v/>
      </c>
    </row>
    <row r="150">
      <c r="A150" s="13">
        <f>IF(ISBLANK(B150),"","ARC-"&amp;TEXT(ROW()-1,"0000"))</f>
        <v/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5">
        <f>IF(AA150="","",HYPERLINK(AA150,"Open ↗"))</f>
        <v/>
      </c>
    </row>
    <row r="151">
      <c r="A151" s="13">
        <f>IF(ISBLANK(B151),"","ARC-"&amp;TEXT(ROW()-1,"0000"))</f>
        <v/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5">
        <f>IF(AA151="","",HYPERLINK(AA151,"Open ↗"))</f>
        <v/>
      </c>
    </row>
    <row r="152">
      <c r="A152" s="13">
        <f>IF(ISBLANK(B152),"","ARC-"&amp;TEXT(ROW()-1,"0000"))</f>
        <v/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5">
        <f>IF(AA152="","",HYPERLINK(AA152,"Open ↗"))</f>
        <v/>
      </c>
    </row>
    <row r="153">
      <c r="A153" s="13">
        <f>IF(ISBLANK(B153),"","ARC-"&amp;TEXT(ROW()-1,"0000"))</f>
        <v/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5">
        <f>IF(AA153="","",HYPERLINK(AA153,"Open ↗"))</f>
        <v/>
      </c>
    </row>
    <row r="154">
      <c r="A154" s="13">
        <f>IF(ISBLANK(B154),"","ARC-"&amp;TEXT(ROW()-1,"0000"))</f>
        <v/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5">
        <f>IF(AA154="","",HYPERLINK(AA154,"Open ↗"))</f>
        <v/>
      </c>
    </row>
    <row r="155">
      <c r="A155" s="13">
        <f>IF(ISBLANK(B155),"","ARC-"&amp;TEXT(ROW()-1,"0000"))</f>
        <v/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5">
        <f>IF(AA155="","",HYPERLINK(AA155,"Open ↗"))</f>
        <v/>
      </c>
    </row>
    <row r="156">
      <c r="A156" s="13">
        <f>IF(ISBLANK(B156),"","ARC-"&amp;TEXT(ROW()-1,"0000"))</f>
        <v/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5">
        <f>IF(AA156="","",HYPERLINK(AA156,"Open ↗"))</f>
        <v/>
      </c>
    </row>
    <row r="157">
      <c r="A157" s="13">
        <f>IF(ISBLANK(B157),"","ARC-"&amp;TEXT(ROW()-1,"0000"))</f>
        <v/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5">
        <f>IF(AA157="","",HYPERLINK(AA157,"Open ↗"))</f>
        <v/>
      </c>
    </row>
    <row r="158">
      <c r="A158" s="13">
        <f>IF(ISBLANK(B158),"","ARC-"&amp;TEXT(ROW()-1,"0000"))</f>
        <v/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5">
        <f>IF(AA158="","",HYPERLINK(AA158,"Open ↗"))</f>
        <v/>
      </c>
    </row>
    <row r="159">
      <c r="A159" s="13">
        <f>IF(ISBLANK(B159),"","ARC-"&amp;TEXT(ROW()-1,"0000"))</f>
        <v/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5">
        <f>IF(AA159="","",HYPERLINK(AA159,"Open ↗"))</f>
        <v/>
      </c>
    </row>
    <row r="160">
      <c r="A160" s="13">
        <f>IF(ISBLANK(B160),"","ARC-"&amp;TEXT(ROW()-1,"0000"))</f>
        <v/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5">
        <f>IF(AA160="","",HYPERLINK(AA160,"Open ↗"))</f>
        <v/>
      </c>
    </row>
    <row r="161">
      <c r="A161" s="13">
        <f>IF(ISBLANK(B161),"","ARC-"&amp;TEXT(ROW()-1,"0000"))</f>
        <v/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5">
        <f>IF(AA161="","",HYPERLINK(AA161,"Open ↗"))</f>
        <v/>
      </c>
    </row>
    <row r="162">
      <c r="A162" s="13">
        <f>IF(ISBLANK(B162),"","ARC-"&amp;TEXT(ROW()-1,"0000"))</f>
        <v/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5">
        <f>IF(AA162="","",HYPERLINK(AA162,"Open ↗"))</f>
        <v/>
      </c>
    </row>
    <row r="163">
      <c r="A163" s="13">
        <f>IF(ISBLANK(B163),"","ARC-"&amp;TEXT(ROW()-1,"0000"))</f>
        <v/>
      </c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5">
        <f>IF(AA163="","",HYPERLINK(AA163,"Open ↗"))</f>
        <v/>
      </c>
    </row>
    <row r="164">
      <c r="A164" s="13">
        <f>IF(ISBLANK(B164),"","ARC-"&amp;TEXT(ROW()-1,"0000"))</f>
        <v/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5">
        <f>IF(AA164="","",HYPERLINK(AA164,"Open ↗"))</f>
        <v/>
      </c>
    </row>
    <row r="165">
      <c r="A165" s="13">
        <f>IF(ISBLANK(B165),"","ARC-"&amp;TEXT(ROW()-1,"0000"))</f>
        <v/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5">
        <f>IF(AA165="","",HYPERLINK(AA165,"Open ↗"))</f>
        <v/>
      </c>
    </row>
    <row r="166">
      <c r="A166" s="13">
        <f>IF(ISBLANK(B166),"","ARC-"&amp;TEXT(ROW()-1,"0000"))</f>
        <v/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5">
        <f>IF(AA166="","",HYPERLINK(AA166,"Open ↗"))</f>
        <v/>
      </c>
    </row>
    <row r="167">
      <c r="A167" s="13">
        <f>IF(ISBLANK(B167),"","ARC-"&amp;TEXT(ROW()-1,"0000"))</f>
        <v/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5">
        <f>IF(AA167="","",HYPERLINK(AA167,"Open ↗"))</f>
        <v/>
      </c>
    </row>
    <row r="168">
      <c r="A168" s="13">
        <f>IF(ISBLANK(B168),"","ARC-"&amp;TEXT(ROW()-1,"0000"))</f>
        <v/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5">
        <f>IF(AA168="","",HYPERLINK(AA168,"Open ↗"))</f>
        <v/>
      </c>
    </row>
    <row r="169">
      <c r="A169" s="13">
        <f>IF(ISBLANK(B169),"","ARC-"&amp;TEXT(ROW()-1,"0000"))</f>
        <v/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5">
        <f>IF(AA169="","",HYPERLINK(AA169,"Open ↗"))</f>
        <v/>
      </c>
    </row>
    <row r="170">
      <c r="A170" s="13">
        <f>IF(ISBLANK(B170),"","ARC-"&amp;TEXT(ROW()-1,"0000"))</f>
        <v/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5">
        <f>IF(AA170="","",HYPERLINK(AA170,"Open ↗"))</f>
        <v/>
      </c>
    </row>
    <row r="171">
      <c r="A171" s="13">
        <f>IF(ISBLANK(B171),"","ARC-"&amp;TEXT(ROW()-1,"0000"))</f>
        <v/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5">
        <f>IF(AA171="","",HYPERLINK(AA171,"Open ↗"))</f>
        <v/>
      </c>
    </row>
    <row r="172">
      <c r="A172" s="13">
        <f>IF(ISBLANK(B172),"","ARC-"&amp;TEXT(ROW()-1,"0000"))</f>
        <v/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5">
        <f>IF(AA172="","",HYPERLINK(AA172,"Open ↗"))</f>
        <v/>
      </c>
    </row>
    <row r="173">
      <c r="A173" s="13">
        <f>IF(ISBLANK(B173),"","ARC-"&amp;TEXT(ROW()-1,"0000"))</f>
        <v/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5">
        <f>IF(AA173="","",HYPERLINK(AA173,"Open ↗"))</f>
        <v/>
      </c>
    </row>
    <row r="174">
      <c r="A174" s="13">
        <f>IF(ISBLANK(B174),"","ARC-"&amp;TEXT(ROW()-1,"0000"))</f>
        <v/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5">
        <f>IF(AA174="","",HYPERLINK(AA174,"Open ↗"))</f>
        <v/>
      </c>
    </row>
    <row r="175">
      <c r="A175" s="13">
        <f>IF(ISBLANK(B175),"","ARC-"&amp;TEXT(ROW()-1,"0000"))</f>
        <v/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5">
        <f>IF(AA175="","",HYPERLINK(AA175,"Open ↗"))</f>
        <v/>
      </c>
    </row>
    <row r="176">
      <c r="A176" s="13">
        <f>IF(ISBLANK(B176),"","ARC-"&amp;TEXT(ROW()-1,"0000"))</f>
        <v/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5">
        <f>IF(AA176="","",HYPERLINK(AA176,"Open ↗"))</f>
        <v/>
      </c>
    </row>
    <row r="177">
      <c r="A177" s="13">
        <f>IF(ISBLANK(B177),"","ARC-"&amp;TEXT(ROW()-1,"0000"))</f>
        <v/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5">
        <f>IF(AA177="","",HYPERLINK(AA177,"Open ↗"))</f>
        <v/>
      </c>
    </row>
    <row r="178">
      <c r="A178" s="13">
        <f>IF(ISBLANK(B178),"","ARC-"&amp;TEXT(ROW()-1,"0000"))</f>
        <v/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5">
        <f>IF(AA178="","",HYPERLINK(AA178,"Open ↗"))</f>
        <v/>
      </c>
    </row>
    <row r="179">
      <c r="A179" s="13">
        <f>IF(ISBLANK(B179),"","ARC-"&amp;TEXT(ROW()-1,"0000"))</f>
        <v/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5">
        <f>IF(AA179="","",HYPERLINK(AA179,"Open ↗"))</f>
        <v/>
      </c>
    </row>
    <row r="180">
      <c r="A180" s="13">
        <f>IF(ISBLANK(B180),"","ARC-"&amp;TEXT(ROW()-1,"0000"))</f>
        <v/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5">
        <f>IF(AA180="","",HYPERLINK(AA180,"Open ↗"))</f>
        <v/>
      </c>
    </row>
    <row r="181">
      <c r="A181" s="13">
        <f>IF(ISBLANK(B181),"","ARC-"&amp;TEXT(ROW()-1,"0000"))</f>
        <v/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5">
        <f>IF(AA181="","",HYPERLINK(AA181,"Open ↗"))</f>
        <v/>
      </c>
    </row>
    <row r="182">
      <c r="A182" s="13">
        <f>IF(ISBLANK(B182),"","ARC-"&amp;TEXT(ROW()-1,"0000"))</f>
        <v/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5">
        <f>IF(AA182="","",HYPERLINK(AA182,"Open ↗"))</f>
        <v/>
      </c>
    </row>
    <row r="183">
      <c r="A183" s="13">
        <f>IF(ISBLANK(B183),"","ARC-"&amp;TEXT(ROW()-1,"0000"))</f>
        <v/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5">
        <f>IF(AA183="","",HYPERLINK(AA183,"Open ↗"))</f>
        <v/>
      </c>
    </row>
    <row r="184">
      <c r="A184" s="13">
        <f>IF(ISBLANK(B184),"","ARC-"&amp;TEXT(ROW()-1,"0000"))</f>
        <v/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5">
        <f>IF(AA184="","",HYPERLINK(AA184,"Open ↗"))</f>
        <v/>
      </c>
    </row>
    <row r="185">
      <c r="A185" s="13">
        <f>IF(ISBLANK(B185),"","ARC-"&amp;TEXT(ROW()-1,"0000"))</f>
        <v/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5">
        <f>IF(AA185="","",HYPERLINK(AA185,"Open ↗"))</f>
        <v/>
      </c>
    </row>
    <row r="186">
      <c r="A186" s="13">
        <f>IF(ISBLANK(B186),"","ARC-"&amp;TEXT(ROW()-1,"0000"))</f>
        <v/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5">
        <f>IF(AA186="","",HYPERLINK(AA186,"Open ↗"))</f>
        <v/>
      </c>
    </row>
    <row r="187">
      <c r="A187" s="13">
        <f>IF(ISBLANK(B187),"","ARC-"&amp;TEXT(ROW()-1,"0000"))</f>
        <v/>
      </c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5">
        <f>IF(AA187="","",HYPERLINK(AA187,"Open ↗"))</f>
        <v/>
      </c>
    </row>
    <row r="188">
      <c r="A188" s="13">
        <f>IF(ISBLANK(B188),"","ARC-"&amp;TEXT(ROW()-1,"0000"))</f>
        <v/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5">
        <f>IF(AA188="","",HYPERLINK(AA188,"Open ↗"))</f>
        <v/>
      </c>
    </row>
    <row r="189">
      <c r="A189" s="13">
        <f>IF(ISBLANK(B189),"","ARC-"&amp;TEXT(ROW()-1,"0000"))</f>
        <v/>
      </c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5">
        <f>IF(AA189="","",HYPERLINK(AA189,"Open ↗"))</f>
        <v/>
      </c>
    </row>
    <row r="190">
      <c r="A190" s="13">
        <f>IF(ISBLANK(B190),"","ARC-"&amp;TEXT(ROW()-1,"0000"))</f>
        <v/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5">
        <f>IF(AA190="","",HYPERLINK(AA190,"Open ↗"))</f>
        <v/>
      </c>
    </row>
    <row r="191">
      <c r="A191" s="13">
        <f>IF(ISBLANK(B191),"","ARC-"&amp;TEXT(ROW()-1,"0000"))</f>
        <v/>
      </c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5">
        <f>IF(AA191="","",HYPERLINK(AA191,"Open ↗"))</f>
        <v/>
      </c>
    </row>
    <row r="192">
      <c r="A192" s="13">
        <f>IF(ISBLANK(B192),"","ARC-"&amp;TEXT(ROW()-1,"0000"))</f>
        <v/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5">
        <f>IF(AA192="","",HYPERLINK(AA192,"Open ↗"))</f>
        <v/>
      </c>
    </row>
    <row r="193">
      <c r="A193" s="13">
        <f>IF(ISBLANK(B193),"","ARC-"&amp;TEXT(ROW()-1,"0000"))</f>
        <v/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5">
        <f>IF(AA193="","",HYPERLINK(AA193,"Open ↗"))</f>
        <v/>
      </c>
    </row>
    <row r="194">
      <c r="A194" s="13">
        <f>IF(ISBLANK(B194),"","ARC-"&amp;TEXT(ROW()-1,"0000"))</f>
        <v/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5">
        <f>IF(AA194="","",HYPERLINK(AA194,"Open ↗"))</f>
        <v/>
      </c>
    </row>
    <row r="195">
      <c r="A195" s="13">
        <f>IF(ISBLANK(B195),"","ARC-"&amp;TEXT(ROW()-1,"0000"))</f>
        <v/>
      </c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5">
        <f>IF(AA195="","",HYPERLINK(AA195,"Open ↗"))</f>
        <v/>
      </c>
    </row>
    <row r="196">
      <c r="A196" s="13">
        <f>IF(ISBLANK(B196),"","ARC-"&amp;TEXT(ROW()-1,"0000"))</f>
        <v/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5">
        <f>IF(AA196="","",HYPERLINK(AA196,"Open ↗"))</f>
        <v/>
      </c>
    </row>
    <row r="197">
      <c r="A197" s="13">
        <f>IF(ISBLANK(B197),"","ARC-"&amp;TEXT(ROW()-1,"0000"))</f>
        <v/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5">
        <f>IF(AA197="","",HYPERLINK(AA197,"Open ↗"))</f>
        <v/>
      </c>
    </row>
    <row r="198">
      <c r="A198" s="13">
        <f>IF(ISBLANK(B198),"","ARC-"&amp;TEXT(ROW()-1,"0000"))</f>
        <v/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5">
        <f>IF(AA198="","",HYPERLINK(AA198,"Open ↗"))</f>
        <v/>
      </c>
    </row>
    <row r="199">
      <c r="A199" s="13">
        <f>IF(ISBLANK(B199),"","ARC-"&amp;TEXT(ROW()-1,"0000"))</f>
        <v/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5">
        <f>IF(AA199="","",HYPERLINK(AA199,"Open ↗"))</f>
        <v/>
      </c>
    </row>
    <row r="200">
      <c r="A200" s="13">
        <f>IF(ISBLANK(B200),"","ARC-"&amp;TEXT(ROW()-1,"0000"))</f>
        <v/>
      </c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5">
        <f>IF(AA200="","",HYPERLINK(AA200,"Open ↗"))</f>
        <v/>
      </c>
    </row>
    <row r="201">
      <c r="A201" s="13">
        <f>IF(ISBLANK(B201),"","ARC-"&amp;TEXT(ROW()-1,"0000"))</f>
        <v/>
      </c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5">
        <f>IF(AA201="","",HYPERLINK(AA201,"Open ↗"))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720"/>
  <autoFilter ref="A1:AB201"/>
  <dataValidations count="10">
    <dataValidation sqref="F2:F201" showDropDown="0" showInputMessage="0" showErrorMessage="0" allowBlank="1" type="list">
      <formula1>=ResourceTypeList</formula1>
    </dataValidation>
    <dataValidation sqref="G2:G201" showDropDown="0" showInputMessage="0" showErrorMessage="0" allowBlank="1" type="list">
      <formula1>=PhysDigiList</formula1>
    </dataValidation>
    <dataValidation sqref="H2:H201" showDropDown="0" showInputMessage="0" showErrorMessage="0" allowBlank="1" type="list">
      <formula1>=LanguageList</formula1>
    </dataValidation>
    <dataValidation sqref="K2:K201" showDropDown="0" showInputMessage="0" showErrorMessage="0" allowBlank="1" type="list">
      <formula1>=ConditionList</formula1>
    </dataValidation>
    <dataValidation sqref="L2:L201" showDropDown="0" showInputMessage="0" showErrorMessage="0" allowBlank="1" type="list">
      <formula1>=LocationTypeList</formula1>
    </dataValidation>
    <dataValidation sqref="O2:O201" showDropDown="0" showInputMessage="0" showErrorMessage="0" allowBlank="1" type="list">
      <formula1>=DigitisationList</formula1>
    </dataValidation>
    <dataValidation sqref="P2:P201" showDropDown="0" showInputMessage="0" showErrorMessage="0" allowBlank="1" type="list">
      <formula1>=OCRStatusList</formula1>
    </dataValidation>
    <dataValidation sqref="Q2:Q201" showDropDown="0" showInputMessage="0" showErrorMessage="0" allowBlank="1" type="list">
      <formula1>=RightsList</formula1>
    </dataValidation>
    <dataValidation sqref="R2:R201" showDropDown="0" showInputMessage="0" showErrorMessage="0" allowBlank="1" type="list">
      <formula1>=AccessLevelList</formula1>
    </dataValidation>
    <dataValidation sqref="U2:U201" showDropDown="0" showInputMessage="0" showErrorMessage="0" allowBlank="1" type="list">
      <formula1>=CollectionList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  <col width="30" customWidth="1" min="9" max="9"/>
  </cols>
  <sheetData>
    <row r="1" ht="30" customHeight="1">
      <c r="A1" s="6" t="inlineStr">
        <is>
          <t>Loan ID</t>
        </is>
      </c>
      <c r="B1" s="6" t="inlineStr">
        <is>
          <t>Item ID</t>
        </is>
      </c>
      <c r="C1" s="6" t="inlineStr">
        <is>
          <t>Member ID</t>
        </is>
      </c>
      <c r="D1" s="6" t="inlineStr">
        <is>
          <t>Borrower Name</t>
        </is>
      </c>
      <c r="E1" s="6" t="inlineStr">
        <is>
          <t>Checkout Date</t>
        </is>
      </c>
      <c r="F1" s="6" t="inlineStr">
        <is>
          <t>Due Date</t>
        </is>
      </c>
      <c r="G1" s="6" t="inlineStr">
        <is>
          <t>Return Date</t>
        </is>
      </c>
      <c r="H1" s="6" t="inlineStr">
        <is>
          <t>Status</t>
        </is>
      </c>
      <c r="I1" s="6" t="inlineStr">
        <is>
          <t>Notes</t>
        </is>
      </c>
    </row>
    <row r="2">
      <c r="A2" s="13">
        <f>IF(ISBLANK(B2),"",ROW()-1)</f>
        <v/>
      </c>
      <c r="B2" s="9" t="n"/>
      <c r="C2" s="9" t="n"/>
      <c r="D2" s="15">
        <f>IFERROR(IF(ISBLANK(C2),"",VLOOKUP(C2,Members!$A$2:$B$101,2,FALSE)),"")</f>
        <v/>
      </c>
      <c r="E2" s="9" t="n"/>
      <c r="F2" s="13">
        <f>IF(ISBLANK(E2),"",E2+Settings!$B$7)</f>
        <v/>
      </c>
      <c r="G2" s="9" t="n"/>
      <c r="H2" s="15">
        <f>IF(ISBLANK(B2),"",IF(NOT(ISBLANK(G2)),"Returned",IF(TODAY()&gt;F2,"Overdue","Active")))</f>
        <v/>
      </c>
      <c r="I2" s="9" t="n"/>
    </row>
    <row r="3">
      <c r="A3" s="13">
        <f>IF(ISBLANK(B3),"",ROW()-1)</f>
        <v/>
      </c>
      <c r="B3" s="9" t="n"/>
      <c r="C3" s="9" t="n"/>
      <c r="D3" s="15">
        <f>IFERROR(IF(ISBLANK(C3),"",VLOOKUP(C3,Members!$A$2:$B$101,2,FALSE)),"")</f>
        <v/>
      </c>
      <c r="E3" s="9" t="n"/>
      <c r="F3" s="13">
        <f>IF(ISBLANK(E3),"",E3+Settings!$B$7)</f>
        <v/>
      </c>
      <c r="G3" s="9" t="n"/>
      <c r="H3" s="15">
        <f>IF(ISBLANK(B3),"",IF(NOT(ISBLANK(G3)),"Returned",IF(TODAY()&gt;F3,"Overdue","Active")))</f>
        <v/>
      </c>
      <c r="I3" s="9" t="n"/>
    </row>
    <row r="4">
      <c r="A4" s="13">
        <f>IF(ISBLANK(B4),"",ROW()-1)</f>
        <v/>
      </c>
      <c r="B4" s="9" t="n"/>
      <c r="C4" s="9" t="n"/>
      <c r="D4" s="15">
        <f>IFERROR(IF(ISBLANK(C4),"",VLOOKUP(C4,Members!$A$2:$B$101,2,FALSE)),"")</f>
        <v/>
      </c>
      <c r="E4" s="9" t="n"/>
      <c r="F4" s="13">
        <f>IF(ISBLANK(E4),"",E4+Settings!$B$7)</f>
        <v/>
      </c>
      <c r="G4" s="9" t="n"/>
      <c r="H4" s="15">
        <f>IF(ISBLANK(B4),"",IF(NOT(ISBLANK(G4)),"Returned",IF(TODAY()&gt;F4,"Overdue","Active")))</f>
        <v/>
      </c>
      <c r="I4" s="9" t="n"/>
    </row>
    <row r="5">
      <c r="A5" s="13">
        <f>IF(ISBLANK(B5),"",ROW()-1)</f>
        <v/>
      </c>
      <c r="B5" s="9" t="n"/>
      <c r="C5" s="9" t="n"/>
      <c r="D5" s="15">
        <f>IFERROR(IF(ISBLANK(C5),"",VLOOKUP(C5,Members!$A$2:$B$101,2,FALSE)),"")</f>
        <v/>
      </c>
      <c r="E5" s="9" t="n"/>
      <c r="F5" s="13">
        <f>IF(ISBLANK(E5),"",E5+Settings!$B$7)</f>
        <v/>
      </c>
      <c r="G5" s="9" t="n"/>
      <c r="H5" s="15">
        <f>IF(ISBLANK(B5),"",IF(NOT(ISBLANK(G5)),"Returned",IF(TODAY()&gt;F5,"Overdue","Active")))</f>
        <v/>
      </c>
      <c r="I5" s="9" t="n"/>
    </row>
    <row r="6">
      <c r="A6" s="13">
        <f>IF(ISBLANK(B6),"",ROW()-1)</f>
        <v/>
      </c>
      <c r="B6" s="9" t="n"/>
      <c r="C6" s="9" t="n"/>
      <c r="D6" s="15">
        <f>IFERROR(IF(ISBLANK(C6),"",VLOOKUP(C6,Members!$A$2:$B$101,2,FALSE)),"")</f>
        <v/>
      </c>
      <c r="E6" s="9" t="n"/>
      <c r="F6" s="13">
        <f>IF(ISBLANK(E6),"",E6+Settings!$B$7)</f>
        <v/>
      </c>
      <c r="G6" s="9" t="n"/>
      <c r="H6" s="15">
        <f>IF(ISBLANK(B6),"",IF(NOT(ISBLANK(G6)),"Returned",IF(TODAY()&gt;F6,"Overdue","Active")))</f>
        <v/>
      </c>
      <c r="I6" s="9" t="n"/>
    </row>
    <row r="7">
      <c r="A7" s="13">
        <f>IF(ISBLANK(B7),"",ROW()-1)</f>
        <v/>
      </c>
      <c r="B7" s="9" t="n"/>
      <c r="C7" s="9" t="n"/>
      <c r="D7" s="15">
        <f>IFERROR(IF(ISBLANK(C7),"",VLOOKUP(C7,Members!$A$2:$B$101,2,FALSE)),"")</f>
        <v/>
      </c>
      <c r="E7" s="9" t="n"/>
      <c r="F7" s="13">
        <f>IF(ISBLANK(E7),"",E7+Settings!$B$7)</f>
        <v/>
      </c>
      <c r="G7" s="9" t="n"/>
      <c r="H7" s="15">
        <f>IF(ISBLANK(B7),"",IF(NOT(ISBLANK(G7)),"Returned",IF(TODAY()&gt;F7,"Overdue","Active")))</f>
        <v/>
      </c>
      <c r="I7" s="9" t="n"/>
    </row>
    <row r="8">
      <c r="A8" s="13">
        <f>IF(ISBLANK(B8),"",ROW()-1)</f>
        <v/>
      </c>
      <c r="B8" s="9" t="n"/>
      <c r="C8" s="9" t="n"/>
      <c r="D8" s="15">
        <f>IFERROR(IF(ISBLANK(C8),"",VLOOKUP(C8,Members!$A$2:$B$101,2,FALSE)),"")</f>
        <v/>
      </c>
      <c r="E8" s="9" t="n"/>
      <c r="F8" s="13">
        <f>IF(ISBLANK(E8),"",E8+Settings!$B$7)</f>
        <v/>
      </c>
      <c r="G8" s="9" t="n"/>
      <c r="H8" s="15">
        <f>IF(ISBLANK(B8),"",IF(NOT(ISBLANK(G8)),"Returned",IF(TODAY()&gt;F8,"Overdue","Active")))</f>
        <v/>
      </c>
      <c r="I8" s="9" t="n"/>
    </row>
    <row r="9">
      <c r="A9" s="13">
        <f>IF(ISBLANK(B9),"",ROW()-1)</f>
        <v/>
      </c>
      <c r="B9" s="9" t="n"/>
      <c r="C9" s="9" t="n"/>
      <c r="D9" s="15">
        <f>IFERROR(IF(ISBLANK(C9),"",VLOOKUP(C9,Members!$A$2:$B$101,2,FALSE)),"")</f>
        <v/>
      </c>
      <c r="E9" s="9" t="n"/>
      <c r="F9" s="13">
        <f>IF(ISBLANK(E9),"",E9+Settings!$B$7)</f>
        <v/>
      </c>
      <c r="G9" s="9" t="n"/>
      <c r="H9" s="15">
        <f>IF(ISBLANK(B9),"",IF(NOT(ISBLANK(G9)),"Returned",IF(TODAY()&gt;F9,"Overdue","Active")))</f>
        <v/>
      </c>
      <c r="I9" s="9" t="n"/>
    </row>
    <row r="10">
      <c r="A10" s="13">
        <f>IF(ISBLANK(B10),"",ROW()-1)</f>
        <v/>
      </c>
      <c r="B10" s="9" t="n"/>
      <c r="C10" s="9" t="n"/>
      <c r="D10" s="15">
        <f>IFERROR(IF(ISBLANK(C10),"",VLOOKUP(C10,Members!$A$2:$B$101,2,FALSE)),"")</f>
        <v/>
      </c>
      <c r="E10" s="9" t="n"/>
      <c r="F10" s="13">
        <f>IF(ISBLANK(E10),"",E10+Settings!$B$7)</f>
        <v/>
      </c>
      <c r="G10" s="9" t="n"/>
      <c r="H10" s="15">
        <f>IF(ISBLANK(B10),"",IF(NOT(ISBLANK(G10)),"Returned",IF(TODAY()&gt;F10,"Overdue","Active")))</f>
        <v/>
      </c>
      <c r="I10" s="9" t="n"/>
    </row>
    <row r="11">
      <c r="A11" s="13">
        <f>IF(ISBLANK(B11),"",ROW()-1)</f>
        <v/>
      </c>
      <c r="B11" s="9" t="n"/>
      <c r="C11" s="9" t="n"/>
      <c r="D11" s="15">
        <f>IFERROR(IF(ISBLANK(C11),"",VLOOKUP(C11,Members!$A$2:$B$101,2,FALSE)),"")</f>
        <v/>
      </c>
      <c r="E11" s="9" t="n"/>
      <c r="F11" s="13">
        <f>IF(ISBLANK(E11),"",E11+Settings!$B$7)</f>
        <v/>
      </c>
      <c r="G11" s="9" t="n"/>
      <c r="H11" s="15">
        <f>IF(ISBLANK(B11),"",IF(NOT(ISBLANK(G11)),"Returned",IF(TODAY()&gt;F11,"Overdue","Active")))</f>
        <v/>
      </c>
      <c r="I11" s="9" t="n"/>
    </row>
    <row r="12">
      <c r="A12" s="13">
        <f>IF(ISBLANK(B12),"",ROW()-1)</f>
        <v/>
      </c>
      <c r="B12" s="9" t="n"/>
      <c r="C12" s="9" t="n"/>
      <c r="D12" s="15">
        <f>IFERROR(IF(ISBLANK(C12),"",VLOOKUP(C12,Members!$A$2:$B$101,2,FALSE)),"")</f>
        <v/>
      </c>
      <c r="E12" s="9" t="n"/>
      <c r="F12" s="13">
        <f>IF(ISBLANK(E12),"",E12+Settings!$B$7)</f>
        <v/>
      </c>
      <c r="G12" s="9" t="n"/>
      <c r="H12" s="15">
        <f>IF(ISBLANK(B12),"",IF(NOT(ISBLANK(G12)),"Returned",IF(TODAY()&gt;F12,"Overdue","Active")))</f>
        <v/>
      </c>
      <c r="I12" s="9" t="n"/>
    </row>
    <row r="13">
      <c r="A13" s="13">
        <f>IF(ISBLANK(B13),"",ROW()-1)</f>
        <v/>
      </c>
      <c r="B13" s="9" t="n"/>
      <c r="C13" s="9" t="n"/>
      <c r="D13" s="15">
        <f>IFERROR(IF(ISBLANK(C13),"",VLOOKUP(C13,Members!$A$2:$B$101,2,FALSE)),"")</f>
        <v/>
      </c>
      <c r="E13" s="9" t="n"/>
      <c r="F13" s="13">
        <f>IF(ISBLANK(E13),"",E13+Settings!$B$7)</f>
        <v/>
      </c>
      <c r="G13" s="9" t="n"/>
      <c r="H13" s="15">
        <f>IF(ISBLANK(B13),"",IF(NOT(ISBLANK(G13)),"Returned",IF(TODAY()&gt;F13,"Overdue","Active")))</f>
        <v/>
      </c>
      <c r="I13" s="9" t="n"/>
    </row>
    <row r="14">
      <c r="A14" s="13">
        <f>IF(ISBLANK(B14),"",ROW()-1)</f>
        <v/>
      </c>
      <c r="B14" s="9" t="n"/>
      <c r="C14" s="9" t="n"/>
      <c r="D14" s="15">
        <f>IFERROR(IF(ISBLANK(C14),"",VLOOKUP(C14,Members!$A$2:$B$101,2,FALSE)),"")</f>
        <v/>
      </c>
      <c r="E14" s="9" t="n"/>
      <c r="F14" s="13">
        <f>IF(ISBLANK(E14),"",E14+Settings!$B$7)</f>
        <v/>
      </c>
      <c r="G14" s="9" t="n"/>
      <c r="H14" s="15">
        <f>IF(ISBLANK(B14),"",IF(NOT(ISBLANK(G14)),"Returned",IF(TODAY()&gt;F14,"Overdue","Active")))</f>
        <v/>
      </c>
      <c r="I14" s="9" t="n"/>
    </row>
    <row r="15">
      <c r="A15" s="13">
        <f>IF(ISBLANK(B15),"",ROW()-1)</f>
        <v/>
      </c>
      <c r="B15" s="9" t="n"/>
      <c r="C15" s="9" t="n"/>
      <c r="D15" s="15">
        <f>IFERROR(IF(ISBLANK(C15),"",VLOOKUP(C15,Members!$A$2:$B$101,2,FALSE)),"")</f>
        <v/>
      </c>
      <c r="E15" s="9" t="n"/>
      <c r="F15" s="13">
        <f>IF(ISBLANK(E15),"",E15+Settings!$B$7)</f>
        <v/>
      </c>
      <c r="G15" s="9" t="n"/>
      <c r="H15" s="15">
        <f>IF(ISBLANK(B15),"",IF(NOT(ISBLANK(G15)),"Returned",IF(TODAY()&gt;F15,"Overdue","Active")))</f>
        <v/>
      </c>
      <c r="I15" s="9" t="n"/>
    </row>
    <row r="16">
      <c r="A16" s="13">
        <f>IF(ISBLANK(B16),"",ROW()-1)</f>
        <v/>
      </c>
      <c r="B16" s="9" t="n"/>
      <c r="C16" s="9" t="n"/>
      <c r="D16" s="15">
        <f>IFERROR(IF(ISBLANK(C16),"",VLOOKUP(C16,Members!$A$2:$B$101,2,FALSE)),"")</f>
        <v/>
      </c>
      <c r="E16" s="9" t="n"/>
      <c r="F16" s="13">
        <f>IF(ISBLANK(E16),"",E16+Settings!$B$7)</f>
        <v/>
      </c>
      <c r="G16" s="9" t="n"/>
      <c r="H16" s="15">
        <f>IF(ISBLANK(B16),"",IF(NOT(ISBLANK(G16)),"Returned",IF(TODAY()&gt;F16,"Overdue","Active")))</f>
        <v/>
      </c>
      <c r="I16" s="9" t="n"/>
    </row>
    <row r="17">
      <c r="A17" s="13">
        <f>IF(ISBLANK(B17),"",ROW()-1)</f>
        <v/>
      </c>
      <c r="B17" s="9" t="n"/>
      <c r="C17" s="9" t="n"/>
      <c r="D17" s="15">
        <f>IFERROR(IF(ISBLANK(C17),"",VLOOKUP(C17,Members!$A$2:$B$101,2,FALSE)),"")</f>
        <v/>
      </c>
      <c r="E17" s="9" t="n"/>
      <c r="F17" s="13">
        <f>IF(ISBLANK(E17),"",E17+Settings!$B$7)</f>
        <v/>
      </c>
      <c r="G17" s="9" t="n"/>
      <c r="H17" s="15">
        <f>IF(ISBLANK(B17),"",IF(NOT(ISBLANK(G17)),"Returned",IF(TODAY()&gt;F17,"Overdue","Active")))</f>
        <v/>
      </c>
      <c r="I17" s="9" t="n"/>
    </row>
    <row r="18">
      <c r="A18" s="13">
        <f>IF(ISBLANK(B18),"",ROW()-1)</f>
        <v/>
      </c>
      <c r="B18" s="9" t="n"/>
      <c r="C18" s="9" t="n"/>
      <c r="D18" s="15">
        <f>IFERROR(IF(ISBLANK(C18),"",VLOOKUP(C18,Members!$A$2:$B$101,2,FALSE)),"")</f>
        <v/>
      </c>
      <c r="E18" s="9" t="n"/>
      <c r="F18" s="13">
        <f>IF(ISBLANK(E18),"",E18+Settings!$B$7)</f>
        <v/>
      </c>
      <c r="G18" s="9" t="n"/>
      <c r="H18" s="15">
        <f>IF(ISBLANK(B18),"",IF(NOT(ISBLANK(G18)),"Returned",IF(TODAY()&gt;F18,"Overdue","Active")))</f>
        <v/>
      </c>
      <c r="I18" s="9" t="n"/>
    </row>
    <row r="19">
      <c r="A19" s="13">
        <f>IF(ISBLANK(B19),"",ROW()-1)</f>
        <v/>
      </c>
      <c r="B19" s="9" t="n"/>
      <c r="C19" s="9" t="n"/>
      <c r="D19" s="15">
        <f>IFERROR(IF(ISBLANK(C19),"",VLOOKUP(C19,Members!$A$2:$B$101,2,FALSE)),"")</f>
        <v/>
      </c>
      <c r="E19" s="9" t="n"/>
      <c r="F19" s="13">
        <f>IF(ISBLANK(E19),"",E19+Settings!$B$7)</f>
        <v/>
      </c>
      <c r="G19" s="9" t="n"/>
      <c r="H19" s="15">
        <f>IF(ISBLANK(B19),"",IF(NOT(ISBLANK(G19)),"Returned",IF(TODAY()&gt;F19,"Overdue","Active")))</f>
        <v/>
      </c>
      <c r="I19" s="9" t="n"/>
    </row>
    <row r="20">
      <c r="A20" s="13">
        <f>IF(ISBLANK(B20),"",ROW()-1)</f>
        <v/>
      </c>
      <c r="B20" s="9" t="n"/>
      <c r="C20" s="9" t="n"/>
      <c r="D20" s="15">
        <f>IFERROR(IF(ISBLANK(C20),"",VLOOKUP(C20,Members!$A$2:$B$101,2,FALSE)),"")</f>
        <v/>
      </c>
      <c r="E20" s="9" t="n"/>
      <c r="F20" s="13">
        <f>IF(ISBLANK(E20),"",E20+Settings!$B$7)</f>
        <v/>
      </c>
      <c r="G20" s="9" t="n"/>
      <c r="H20" s="15">
        <f>IF(ISBLANK(B20),"",IF(NOT(ISBLANK(G20)),"Returned",IF(TODAY()&gt;F20,"Overdue","Active")))</f>
        <v/>
      </c>
      <c r="I20" s="9" t="n"/>
    </row>
    <row r="21">
      <c r="A21" s="13">
        <f>IF(ISBLANK(B21),"",ROW()-1)</f>
        <v/>
      </c>
      <c r="B21" s="9" t="n"/>
      <c r="C21" s="9" t="n"/>
      <c r="D21" s="15">
        <f>IFERROR(IF(ISBLANK(C21),"",VLOOKUP(C21,Members!$A$2:$B$101,2,FALSE)),"")</f>
        <v/>
      </c>
      <c r="E21" s="9" t="n"/>
      <c r="F21" s="13">
        <f>IF(ISBLANK(E21),"",E21+Settings!$B$7)</f>
        <v/>
      </c>
      <c r="G21" s="9" t="n"/>
      <c r="H21" s="15">
        <f>IF(ISBLANK(B21),"",IF(NOT(ISBLANK(G21)),"Returned",IF(TODAY()&gt;F21,"Overdue","Active")))</f>
        <v/>
      </c>
      <c r="I21" s="9" t="n"/>
    </row>
    <row r="22">
      <c r="A22" s="13">
        <f>IF(ISBLANK(B22),"",ROW()-1)</f>
        <v/>
      </c>
      <c r="B22" s="9" t="n"/>
      <c r="C22" s="9" t="n"/>
      <c r="D22" s="15">
        <f>IFERROR(IF(ISBLANK(C22),"",VLOOKUP(C22,Members!$A$2:$B$101,2,FALSE)),"")</f>
        <v/>
      </c>
      <c r="E22" s="9" t="n"/>
      <c r="F22" s="13">
        <f>IF(ISBLANK(E22),"",E22+Settings!$B$7)</f>
        <v/>
      </c>
      <c r="G22" s="9" t="n"/>
      <c r="H22" s="15">
        <f>IF(ISBLANK(B22),"",IF(NOT(ISBLANK(G22)),"Returned",IF(TODAY()&gt;F22,"Overdue","Active")))</f>
        <v/>
      </c>
      <c r="I22" s="9" t="n"/>
    </row>
    <row r="23">
      <c r="A23" s="13">
        <f>IF(ISBLANK(B23),"",ROW()-1)</f>
        <v/>
      </c>
      <c r="B23" s="9" t="n"/>
      <c r="C23" s="9" t="n"/>
      <c r="D23" s="15">
        <f>IFERROR(IF(ISBLANK(C23),"",VLOOKUP(C23,Members!$A$2:$B$101,2,FALSE)),"")</f>
        <v/>
      </c>
      <c r="E23" s="9" t="n"/>
      <c r="F23" s="13">
        <f>IF(ISBLANK(E23),"",E23+Settings!$B$7)</f>
        <v/>
      </c>
      <c r="G23" s="9" t="n"/>
      <c r="H23" s="15">
        <f>IF(ISBLANK(B23),"",IF(NOT(ISBLANK(G23)),"Returned",IF(TODAY()&gt;F23,"Overdue","Active")))</f>
        <v/>
      </c>
      <c r="I23" s="9" t="n"/>
    </row>
    <row r="24">
      <c r="A24" s="13">
        <f>IF(ISBLANK(B24),"",ROW()-1)</f>
        <v/>
      </c>
      <c r="B24" s="9" t="n"/>
      <c r="C24" s="9" t="n"/>
      <c r="D24" s="15">
        <f>IFERROR(IF(ISBLANK(C24),"",VLOOKUP(C24,Members!$A$2:$B$101,2,FALSE)),"")</f>
        <v/>
      </c>
      <c r="E24" s="9" t="n"/>
      <c r="F24" s="13">
        <f>IF(ISBLANK(E24),"",E24+Settings!$B$7)</f>
        <v/>
      </c>
      <c r="G24" s="9" t="n"/>
      <c r="H24" s="15">
        <f>IF(ISBLANK(B24),"",IF(NOT(ISBLANK(G24)),"Returned",IF(TODAY()&gt;F24,"Overdue","Active")))</f>
        <v/>
      </c>
      <c r="I24" s="9" t="n"/>
    </row>
    <row r="25">
      <c r="A25" s="13">
        <f>IF(ISBLANK(B25),"",ROW()-1)</f>
        <v/>
      </c>
      <c r="B25" s="9" t="n"/>
      <c r="C25" s="9" t="n"/>
      <c r="D25" s="15">
        <f>IFERROR(IF(ISBLANK(C25),"",VLOOKUP(C25,Members!$A$2:$B$101,2,FALSE)),"")</f>
        <v/>
      </c>
      <c r="E25" s="9" t="n"/>
      <c r="F25" s="13">
        <f>IF(ISBLANK(E25),"",E25+Settings!$B$7)</f>
        <v/>
      </c>
      <c r="G25" s="9" t="n"/>
      <c r="H25" s="15">
        <f>IF(ISBLANK(B25),"",IF(NOT(ISBLANK(G25)),"Returned",IF(TODAY()&gt;F25,"Overdue","Active")))</f>
        <v/>
      </c>
      <c r="I25" s="9" t="n"/>
    </row>
    <row r="26">
      <c r="A26" s="13">
        <f>IF(ISBLANK(B26),"",ROW()-1)</f>
        <v/>
      </c>
      <c r="B26" s="9" t="n"/>
      <c r="C26" s="9" t="n"/>
      <c r="D26" s="15">
        <f>IFERROR(IF(ISBLANK(C26),"",VLOOKUP(C26,Members!$A$2:$B$101,2,FALSE)),"")</f>
        <v/>
      </c>
      <c r="E26" s="9" t="n"/>
      <c r="F26" s="13">
        <f>IF(ISBLANK(E26),"",E26+Settings!$B$7)</f>
        <v/>
      </c>
      <c r="G26" s="9" t="n"/>
      <c r="H26" s="15">
        <f>IF(ISBLANK(B26),"",IF(NOT(ISBLANK(G26)),"Returned",IF(TODAY()&gt;F26,"Overdue","Active")))</f>
        <v/>
      </c>
      <c r="I26" s="9" t="n"/>
    </row>
    <row r="27">
      <c r="A27" s="13">
        <f>IF(ISBLANK(B27),"",ROW()-1)</f>
        <v/>
      </c>
      <c r="B27" s="9" t="n"/>
      <c r="C27" s="9" t="n"/>
      <c r="D27" s="15">
        <f>IFERROR(IF(ISBLANK(C27),"",VLOOKUP(C27,Members!$A$2:$B$101,2,FALSE)),"")</f>
        <v/>
      </c>
      <c r="E27" s="9" t="n"/>
      <c r="F27" s="13">
        <f>IF(ISBLANK(E27),"",E27+Settings!$B$7)</f>
        <v/>
      </c>
      <c r="G27" s="9" t="n"/>
      <c r="H27" s="15">
        <f>IF(ISBLANK(B27),"",IF(NOT(ISBLANK(G27)),"Returned",IF(TODAY()&gt;F27,"Overdue","Active")))</f>
        <v/>
      </c>
      <c r="I27" s="9" t="n"/>
    </row>
    <row r="28">
      <c r="A28" s="13">
        <f>IF(ISBLANK(B28),"",ROW()-1)</f>
        <v/>
      </c>
      <c r="B28" s="9" t="n"/>
      <c r="C28" s="9" t="n"/>
      <c r="D28" s="15">
        <f>IFERROR(IF(ISBLANK(C28),"",VLOOKUP(C28,Members!$A$2:$B$101,2,FALSE)),"")</f>
        <v/>
      </c>
      <c r="E28" s="9" t="n"/>
      <c r="F28" s="13">
        <f>IF(ISBLANK(E28),"",E28+Settings!$B$7)</f>
        <v/>
      </c>
      <c r="G28" s="9" t="n"/>
      <c r="H28" s="15">
        <f>IF(ISBLANK(B28),"",IF(NOT(ISBLANK(G28)),"Returned",IF(TODAY()&gt;F28,"Overdue","Active")))</f>
        <v/>
      </c>
      <c r="I28" s="9" t="n"/>
    </row>
    <row r="29">
      <c r="A29" s="13">
        <f>IF(ISBLANK(B29),"",ROW()-1)</f>
        <v/>
      </c>
      <c r="B29" s="9" t="n"/>
      <c r="C29" s="9" t="n"/>
      <c r="D29" s="15">
        <f>IFERROR(IF(ISBLANK(C29),"",VLOOKUP(C29,Members!$A$2:$B$101,2,FALSE)),"")</f>
        <v/>
      </c>
      <c r="E29" s="9" t="n"/>
      <c r="F29" s="13">
        <f>IF(ISBLANK(E29),"",E29+Settings!$B$7)</f>
        <v/>
      </c>
      <c r="G29" s="9" t="n"/>
      <c r="H29" s="15">
        <f>IF(ISBLANK(B29),"",IF(NOT(ISBLANK(G29)),"Returned",IF(TODAY()&gt;F29,"Overdue","Active")))</f>
        <v/>
      </c>
      <c r="I29" s="9" t="n"/>
    </row>
    <row r="30">
      <c r="A30" s="13">
        <f>IF(ISBLANK(B30),"",ROW()-1)</f>
        <v/>
      </c>
      <c r="B30" s="9" t="n"/>
      <c r="C30" s="9" t="n"/>
      <c r="D30" s="15">
        <f>IFERROR(IF(ISBLANK(C30),"",VLOOKUP(C30,Members!$A$2:$B$101,2,FALSE)),"")</f>
        <v/>
      </c>
      <c r="E30" s="9" t="n"/>
      <c r="F30" s="13">
        <f>IF(ISBLANK(E30),"",E30+Settings!$B$7)</f>
        <v/>
      </c>
      <c r="G30" s="9" t="n"/>
      <c r="H30" s="15">
        <f>IF(ISBLANK(B30),"",IF(NOT(ISBLANK(G30)),"Returned",IF(TODAY()&gt;F30,"Overdue","Active")))</f>
        <v/>
      </c>
      <c r="I30" s="9" t="n"/>
    </row>
    <row r="31">
      <c r="A31" s="13">
        <f>IF(ISBLANK(B31),"",ROW()-1)</f>
        <v/>
      </c>
      <c r="B31" s="9" t="n"/>
      <c r="C31" s="9" t="n"/>
      <c r="D31" s="15">
        <f>IFERROR(IF(ISBLANK(C31),"",VLOOKUP(C31,Members!$A$2:$B$101,2,FALSE)),"")</f>
        <v/>
      </c>
      <c r="E31" s="9" t="n"/>
      <c r="F31" s="13">
        <f>IF(ISBLANK(E31),"",E31+Settings!$B$7)</f>
        <v/>
      </c>
      <c r="G31" s="9" t="n"/>
      <c r="H31" s="15">
        <f>IF(ISBLANK(B31),"",IF(NOT(ISBLANK(G31)),"Returned",IF(TODAY()&gt;F31,"Overdue","Active")))</f>
        <v/>
      </c>
      <c r="I31" s="9" t="n"/>
    </row>
    <row r="32">
      <c r="A32" s="13">
        <f>IF(ISBLANK(B32),"",ROW()-1)</f>
        <v/>
      </c>
      <c r="B32" s="9" t="n"/>
      <c r="C32" s="9" t="n"/>
      <c r="D32" s="15">
        <f>IFERROR(IF(ISBLANK(C32),"",VLOOKUP(C32,Members!$A$2:$B$101,2,FALSE)),"")</f>
        <v/>
      </c>
      <c r="E32" s="9" t="n"/>
      <c r="F32" s="13">
        <f>IF(ISBLANK(E32),"",E32+Settings!$B$7)</f>
        <v/>
      </c>
      <c r="G32" s="9" t="n"/>
      <c r="H32" s="15">
        <f>IF(ISBLANK(B32),"",IF(NOT(ISBLANK(G32)),"Returned",IF(TODAY()&gt;F32,"Overdue","Active")))</f>
        <v/>
      </c>
      <c r="I32" s="9" t="n"/>
    </row>
    <row r="33">
      <c r="A33" s="13">
        <f>IF(ISBLANK(B33),"",ROW()-1)</f>
        <v/>
      </c>
      <c r="B33" s="9" t="n"/>
      <c r="C33" s="9" t="n"/>
      <c r="D33" s="15">
        <f>IFERROR(IF(ISBLANK(C33),"",VLOOKUP(C33,Members!$A$2:$B$101,2,FALSE)),"")</f>
        <v/>
      </c>
      <c r="E33" s="9" t="n"/>
      <c r="F33" s="13">
        <f>IF(ISBLANK(E33),"",E33+Settings!$B$7)</f>
        <v/>
      </c>
      <c r="G33" s="9" t="n"/>
      <c r="H33" s="15">
        <f>IF(ISBLANK(B33),"",IF(NOT(ISBLANK(G33)),"Returned",IF(TODAY()&gt;F33,"Overdue","Active")))</f>
        <v/>
      </c>
      <c r="I33" s="9" t="n"/>
    </row>
    <row r="34">
      <c r="A34" s="13">
        <f>IF(ISBLANK(B34),"",ROW()-1)</f>
        <v/>
      </c>
      <c r="B34" s="9" t="n"/>
      <c r="C34" s="9" t="n"/>
      <c r="D34" s="15">
        <f>IFERROR(IF(ISBLANK(C34),"",VLOOKUP(C34,Members!$A$2:$B$101,2,FALSE)),"")</f>
        <v/>
      </c>
      <c r="E34" s="9" t="n"/>
      <c r="F34" s="13">
        <f>IF(ISBLANK(E34),"",E34+Settings!$B$7)</f>
        <v/>
      </c>
      <c r="G34" s="9" t="n"/>
      <c r="H34" s="15">
        <f>IF(ISBLANK(B34),"",IF(NOT(ISBLANK(G34)),"Returned",IF(TODAY()&gt;F34,"Overdue","Active")))</f>
        <v/>
      </c>
      <c r="I34" s="9" t="n"/>
    </row>
    <row r="35">
      <c r="A35" s="13">
        <f>IF(ISBLANK(B35),"",ROW()-1)</f>
        <v/>
      </c>
      <c r="B35" s="9" t="n"/>
      <c r="C35" s="9" t="n"/>
      <c r="D35" s="15">
        <f>IFERROR(IF(ISBLANK(C35),"",VLOOKUP(C35,Members!$A$2:$B$101,2,FALSE)),"")</f>
        <v/>
      </c>
      <c r="E35" s="9" t="n"/>
      <c r="F35" s="13">
        <f>IF(ISBLANK(E35),"",E35+Settings!$B$7)</f>
        <v/>
      </c>
      <c r="G35" s="9" t="n"/>
      <c r="H35" s="15">
        <f>IF(ISBLANK(B35),"",IF(NOT(ISBLANK(G35)),"Returned",IF(TODAY()&gt;F35,"Overdue","Active")))</f>
        <v/>
      </c>
      <c r="I35" s="9" t="n"/>
    </row>
    <row r="36">
      <c r="A36" s="13">
        <f>IF(ISBLANK(B36),"",ROW()-1)</f>
        <v/>
      </c>
      <c r="B36" s="9" t="n"/>
      <c r="C36" s="9" t="n"/>
      <c r="D36" s="15">
        <f>IFERROR(IF(ISBLANK(C36),"",VLOOKUP(C36,Members!$A$2:$B$101,2,FALSE)),"")</f>
        <v/>
      </c>
      <c r="E36" s="9" t="n"/>
      <c r="F36" s="13">
        <f>IF(ISBLANK(E36),"",E36+Settings!$B$7)</f>
        <v/>
      </c>
      <c r="G36" s="9" t="n"/>
      <c r="H36" s="15">
        <f>IF(ISBLANK(B36),"",IF(NOT(ISBLANK(G36)),"Returned",IF(TODAY()&gt;F36,"Overdue","Active")))</f>
        <v/>
      </c>
      <c r="I36" s="9" t="n"/>
    </row>
    <row r="37">
      <c r="A37" s="13">
        <f>IF(ISBLANK(B37),"",ROW()-1)</f>
        <v/>
      </c>
      <c r="B37" s="9" t="n"/>
      <c r="C37" s="9" t="n"/>
      <c r="D37" s="15">
        <f>IFERROR(IF(ISBLANK(C37),"",VLOOKUP(C37,Members!$A$2:$B$101,2,FALSE)),"")</f>
        <v/>
      </c>
      <c r="E37" s="9" t="n"/>
      <c r="F37" s="13">
        <f>IF(ISBLANK(E37),"",E37+Settings!$B$7)</f>
        <v/>
      </c>
      <c r="G37" s="9" t="n"/>
      <c r="H37" s="15">
        <f>IF(ISBLANK(B37),"",IF(NOT(ISBLANK(G37)),"Returned",IF(TODAY()&gt;F37,"Overdue","Active")))</f>
        <v/>
      </c>
      <c r="I37" s="9" t="n"/>
    </row>
    <row r="38">
      <c r="A38" s="13">
        <f>IF(ISBLANK(B38),"",ROW()-1)</f>
        <v/>
      </c>
      <c r="B38" s="9" t="n"/>
      <c r="C38" s="9" t="n"/>
      <c r="D38" s="15">
        <f>IFERROR(IF(ISBLANK(C38),"",VLOOKUP(C38,Members!$A$2:$B$101,2,FALSE)),"")</f>
        <v/>
      </c>
      <c r="E38" s="9" t="n"/>
      <c r="F38" s="13">
        <f>IF(ISBLANK(E38),"",E38+Settings!$B$7)</f>
        <v/>
      </c>
      <c r="G38" s="9" t="n"/>
      <c r="H38" s="15">
        <f>IF(ISBLANK(B38),"",IF(NOT(ISBLANK(G38)),"Returned",IF(TODAY()&gt;F38,"Overdue","Active")))</f>
        <v/>
      </c>
      <c r="I38" s="9" t="n"/>
    </row>
    <row r="39">
      <c r="A39" s="13">
        <f>IF(ISBLANK(B39),"",ROW()-1)</f>
        <v/>
      </c>
      <c r="B39" s="9" t="n"/>
      <c r="C39" s="9" t="n"/>
      <c r="D39" s="15">
        <f>IFERROR(IF(ISBLANK(C39),"",VLOOKUP(C39,Members!$A$2:$B$101,2,FALSE)),"")</f>
        <v/>
      </c>
      <c r="E39" s="9" t="n"/>
      <c r="F39" s="13">
        <f>IF(ISBLANK(E39),"",E39+Settings!$B$7)</f>
        <v/>
      </c>
      <c r="G39" s="9" t="n"/>
      <c r="H39" s="15">
        <f>IF(ISBLANK(B39),"",IF(NOT(ISBLANK(G39)),"Returned",IF(TODAY()&gt;F39,"Overdue","Active")))</f>
        <v/>
      </c>
      <c r="I39" s="9" t="n"/>
    </row>
    <row r="40">
      <c r="A40" s="13">
        <f>IF(ISBLANK(B40),"",ROW()-1)</f>
        <v/>
      </c>
      <c r="B40" s="9" t="n"/>
      <c r="C40" s="9" t="n"/>
      <c r="D40" s="15">
        <f>IFERROR(IF(ISBLANK(C40),"",VLOOKUP(C40,Members!$A$2:$B$101,2,FALSE)),"")</f>
        <v/>
      </c>
      <c r="E40" s="9" t="n"/>
      <c r="F40" s="13">
        <f>IF(ISBLANK(E40),"",E40+Settings!$B$7)</f>
        <v/>
      </c>
      <c r="G40" s="9" t="n"/>
      <c r="H40" s="15">
        <f>IF(ISBLANK(B40),"",IF(NOT(ISBLANK(G40)),"Returned",IF(TODAY()&gt;F40,"Overdue","Active")))</f>
        <v/>
      </c>
      <c r="I40" s="9" t="n"/>
    </row>
    <row r="41">
      <c r="A41" s="13">
        <f>IF(ISBLANK(B41),"",ROW()-1)</f>
        <v/>
      </c>
      <c r="B41" s="9" t="n"/>
      <c r="C41" s="9" t="n"/>
      <c r="D41" s="15">
        <f>IFERROR(IF(ISBLANK(C41),"",VLOOKUP(C41,Members!$A$2:$B$101,2,FALSE)),"")</f>
        <v/>
      </c>
      <c r="E41" s="9" t="n"/>
      <c r="F41" s="13">
        <f>IF(ISBLANK(E41),"",E41+Settings!$B$7)</f>
        <v/>
      </c>
      <c r="G41" s="9" t="n"/>
      <c r="H41" s="15">
        <f>IF(ISBLANK(B41),"",IF(NOT(ISBLANK(G41)),"Returned",IF(TODAY()&gt;F41,"Overdue","Active")))</f>
        <v/>
      </c>
      <c r="I41" s="9" t="n"/>
    </row>
    <row r="42">
      <c r="A42" s="13">
        <f>IF(ISBLANK(B42),"",ROW()-1)</f>
        <v/>
      </c>
      <c r="B42" s="9" t="n"/>
      <c r="C42" s="9" t="n"/>
      <c r="D42" s="15">
        <f>IFERROR(IF(ISBLANK(C42),"",VLOOKUP(C42,Members!$A$2:$B$101,2,FALSE)),"")</f>
        <v/>
      </c>
      <c r="E42" s="9" t="n"/>
      <c r="F42" s="13">
        <f>IF(ISBLANK(E42),"",E42+Settings!$B$7)</f>
        <v/>
      </c>
      <c r="G42" s="9" t="n"/>
      <c r="H42" s="15">
        <f>IF(ISBLANK(B42),"",IF(NOT(ISBLANK(G42)),"Returned",IF(TODAY()&gt;F42,"Overdue","Active")))</f>
        <v/>
      </c>
      <c r="I42" s="9" t="n"/>
    </row>
    <row r="43">
      <c r="A43" s="13">
        <f>IF(ISBLANK(B43),"",ROW()-1)</f>
        <v/>
      </c>
      <c r="B43" s="9" t="n"/>
      <c r="C43" s="9" t="n"/>
      <c r="D43" s="15">
        <f>IFERROR(IF(ISBLANK(C43),"",VLOOKUP(C43,Members!$A$2:$B$101,2,FALSE)),"")</f>
        <v/>
      </c>
      <c r="E43" s="9" t="n"/>
      <c r="F43" s="13">
        <f>IF(ISBLANK(E43),"",E43+Settings!$B$7)</f>
        <v/>
      </c>
      <c r="G43" s="9" t="n"/>
      <c r="H43" s="15">
        <f>IF(ISBLANK(B43),"",IF(NOT(ISBLANK(G43)),"Returned",IF(TODAY()&gt;F43,"Overdue","Active")))</f>
        <v/>
      </c>
      <c r="I43" s="9" t="n"/>
    </row>
    <row r="44">
      <c r="A44" s="13">
        <f>IF(ISBLANK(B44),"",ROW()-1)</f>
        <v/>
      </c>
      <c r="B44" s="9" t="n"/>
      <c r="C44" s="9" t="n"/>
      <c r="D44" s="15">
        <f>IFERROR(IF(ISBLANK(C44),"",VLOOKUP(C44,Members!$A$2:$B$101,2,FALSE)),"")</f>
        <v/>
      </c>
      <c r="E44" s="9" t="n"/>
      <c r="F44" s="13">
        <f>IF(ISBLANK(E44),"",E44+Settings!$B$7)</f>
        <v/>
      </c>
      <c r="G44" s="9" t="n"/>
      <c r="H44" s="15">
        <f>IF(ISBLANK(B44),"",IF(NOT(ISBLANK(G44)),"Returned",IF(TODAY()&gt;F44,"Overdue","Active")))</f>
        <v/>
      </c>
      <c r="I44" s="9" t="n"/>
    </row>
    <row r="45">
      <c r="A45" s="13">
        <f>IF(ISBLANK(B45),"",ROW()-1)</f>
        <v/>
      </c>
      <c r="B45" s="9" t="n"/>
      <c r="C45" s="9" t="n"/>
      <c r="D45" s="15">
        <f>IFERROR(IF(ISBLANK(C45),"",VLOOKUP(C45,Members!$A$2:$B$101,2,FALSE)),"")</f>
        <v/>
      </c>
      <c r="E45" s="9" t="n"/>
      <c r="F45" s="13">
        <f>IF(ISBLANK(E45),"",E45+Settings!$B$7)</f>
        <v/>
      </c>
      <c r="G45" s="9" t="n"/>
      <c r="H45" s="15">
        <f>IF(ISBLANK(B45),"",IF(NOT(ISBLANK(G45)),"Returned",IF(TODAY()&gt;F45,"Overdue","Active")))</f>
        <v/>
      </c>
      <c r="I45" s="9" t="n"/>
    </row>
    <row r="46">
      <c r="A46" s="13">
        <f>IF(ISBLANK(B46),"",ROW()-1)</f>
        <v/>
      </c>
      <c r="B46" s="9" t="n"/>
      <c r="C46" s="9" t="n"/>
      <c r="D46" s="15">
        <f>IFERROR(IF(ISBLANK(C46),"",VLOOKUP(C46,Members!$A$2:$B$101,2,FALSE)),"")</f>
        <v/>
      </c>
      <c r="E46" s="9" t="n"/>
      <c r="F46" s="13">
        <f>IF(ISBLANK(E46),"",E46+Settings!$B$7)</f>
        <v/>
      </c>
      <c r="G46" s="9" t="n"/>
      <c r="H46" s="15">
        <f>IF(ISBLANK(B46),"",IF(NOT(ISBLANK(G46)),"Returned",IF(TODAY()&gt;F46,"Overdue","Active")))</f>
        <v/>
      </c>
      <c r="I46" s="9" t="n"/>
    </row>
    <row r="47">
      <c r="A47" s="13">
        <f>IF(ISBLANK(B47),"",ROW()-1)</f>
        <v/>
      </c>
      <c r="B47" s="9" t="n"/>
      <c r="C47" s="9" t="n"/>
      <c r="D47" s="15">
        <f>IFERROR(IF(ISBLANK(C47),"",VLOOKUP(C47,Members!$A$2:$B$101,2,FALSE)),"")</f>
        <v/>
      </c>
      <c r="E47" s="9" t="n"/>
      <c r="F47" s="13">
        <f>IF(ISBLANK(E47),"",E47+Settings!$B$7)</f>
        <v/>
      </c>
      <c r="G47" s="9" t="n"/>
      <c r="H47" s="15">
        <f>IF(ISBLANK(B47),"",IF(NOT(ISBLANK(G47)),"Returned",IF(TODAY()&gt;F47,"Overdue","Active")))</f>
        <v/>
      </c>
      <c r="I47" s="9" t="n"/>
    </row>
    <row r="48">
      <c r="A48" s="13">
        <f>IF(ISBLANK(B48),"",ROW()-1)</f>
        <v/>
      </c>
      <c r="B48" s="9" t="n"/>
      <c r="C48" s="9" t="n"/>
      <c r="D48" s="15">
        <f>IFERROR(IF(ISBLANK(C48),"",VLOOKUP(C48,Members!$A$2:$B$101,2,FALSE)),"")</f>
        <v/>
      </c>
      <c r="E48" s="9" t="n"/>
      <c r="F48" s="13">
        <f>IF(ISBLANK(E48),"",E48+Settings!$B$7)</f>
        <v/>
      </c>
      <c r="G48" s="9" t="n"/>
      <c r="H48" s="15">
        <f>IF(ISBLANK(B48),"",IF(NOT(ISBLANK(G48)),"Returned",IF(TODAY()&gt;F48,"Overdue","Active")))</f>
        <v/>
      </c>
      <c r="I48" s="9" t="n"/>
    </row>
    <row r="49">
      <c r="A49" s="13">
        <f>IF(ISBLANK(B49),"",ROW()-1)</f>
        <v/>
      </c>
      <c r="B49" s="9" t="n"/>
      <c r="C49" s="9" t="n"/>
      <c r="D49" s="15">
        <f>IFERROR(IF(ISBLANK(C49),"",VLOOKUP(C49,Members!$A$2:$B$101,2,FALSE)),"")</f>
        <v/>
      </c>
      <c r="E49" s="9" t="n"/>
      <c r="F49" s="13">
        <f>IF(ISBLANK(E49),"",E49+Settings!$B$7)</f>
        <v/>
      </c>
      <c r="G49" s="9" t="n"/>
      <c r="H49" s="15">
        <f>IF(ISBLANK(B49),"",IF(NOT(ISBLANK(G49)),"Returned",IF(TODAY()&gt;F49,"Overdue","Active")))</f>
        <v/>
      </c>
      <c r="I49" s="9" t="n"/>
    </row>
    <row r="50">
      <c r="A50" s="13">
        <f>IF(ISBLANK(B50),"",ROW()-1)</f>
        <v/>
      </c>
      <c r="B50" s="9" t="n"/>
      <c r="C50" s="9" t="n"/>
      <c r="D50" s="15">
        <f>IFERROR(IF(ISBLANK(C50),"",VLOOKUP(C50,Members!$A$2:$B$101,2,FALSE)),"")</f>
        <v/>
      </c>
      <c r="E50" s="9" t="n"/>
      <c r="F50" s="13">
        <f>IF(ISBLANK(E50),"",E50+Settings!$B$7)</f>
        <v/>
      </c>
      <c r="G50" s="9" t="n"/>
      <c r="H50" s="15">
        <f>IF(ISBLANK(B50),"",IF(NOT(ISBLANK(G50)),"Returned",IF(TODAY()&gt;F50,"Overdue","Active")))</f>
        <v/>
      </c>
      <c r="I50" s="9" t="n"/>
    </row>
    <row r="51">
      <c r="A51" s="13">
        <f>IF(ISBLANK(B51),"",ROW()-1)</f>
        <v/>
      </c>
      <c r="B51" s="9" t="n"/>
      <c r="C51" s="9" t="n"/>
      <c r="D51" s="15">
        <f>IFERROR(IF(ISBLANK(C51),"",VLOOKUP(C51,Members!$A$2:$B$101,2,FALSE)),"")</f>
        <v/>
      </c>
      <c r="E51" s="9" t="n"/>
      <c r="F51" s="13">
        <f>IF(ISBLANK(E51),"",E51+Settings!$B$7)</f>
        <v/>
      </c>
      <c r="G51" s="9" t="n"/>
      <c r="H51" s="15">
        <f>IF(ISBLANK(B51),"",IF(NOT(ISBLANK(G51)),"Returned",IF(TODAY()&gt;F51,"Overdue","Active")))</f>
        <v/>
      </c>
      <c r="I51" s="9" t="n"/>
    </row>
    <row r="52">
      <c r="A52" s="13">
        <f>IF(ISBLANK(B52),"",ROW()-1)</f>
        <v/>
      </c>
      <c r="B52" s="9" t="n"/>
      <c r="C52" s="9" t="n"/>
      <c r="D52" s="15">
        <f>IFERROR(IF(ISBLANK(C52),"",VLOOKUP(C52,Members!$A$2:$B$101,2,FALSE)),"")</f>
        <v/>
      </c>
      <c r="E52" s="9" t="n"/>
      <c r="F52" s="13">
        <f>IF(ISBLANK(E52),"",E52+Settings!$B$7)</f>
        <v/>
      </c>
      <c r="G52" s="9" t="n"/>
      <c r="H52" s="15">
        <f>IF(ISBLANK(B52),"",IF(NOT(ISBLANK(G52)),"Returned",IF(TODAY()&gt;F52,"Overdue","Active")))</f>
        <v/>
      </c>
      <c r="I52" s="9" t="n"/>
    </row>
    <row r="53">
      <c r="A53" s="13">
        <f>IF(ISBLANK(B53),"",ROW()-1)</f>
        <v/>
      </c>
      <c r="B53" s="9" t="n"/>
      <c r="C53" s="9" t="n"/>
      <c r="D53" s="15">
        <f>IFERROR(IF(ISBLANK(C53),"",VLOOKUP(C53,Members!$A$2:$B$101,2,FALSE)),"")</f>
        <v/>
      </c>
      <c r="E53" s="9" t="n"/>
      <c r="F53" s="13">
        <f>IF(ISBLANK(E53),"",E53+Settings!$B$7)</f>
        <v/>
      </c>
      <c r="G53" s="9" t="n"/>
      <c r="H53" s="15">
        <f>IF(ISBLANK(B53),"",IF(NOT(ISBLANK(G53)),"Returned",IF(TODAY()&gt;F53,"Overdue","Active")))</f>
        <v/>
      </c>
      <c r="I53" s="9" t="n"/>
    </row>
    <row r="54">
      <c r="A54" s="13">
        <f>IF(ISBLANK(B54),"",ROW()-1)</f>
        <v/>
      </c>
      <c r="B54" s="9" t="n"/>
      <c r="C54" s="9" t="n"/>
      <c r="D54" s="15">
        <f>IFERROR(IF(ISBLANK(C54),"",VLOOKUP(C54,Members!$A$2:$B$101,2,FALSE)),"")</f>
        <v/>
      </c>
      <c r="E54" s="9" t="n"/>
      <c r="F54" s="13">
        <f>IF(ISBLANK(E54),"",E54+Settings!$B$7)</f>
        <v/>
      </c>
      <c r="G54" s="9" t="n"/>
      <c r="H54" s="15">
        <f>IF(ISBLANK(B54),"",IF(NOT(ISBLANK(G54)),"Returned",IF(TODAY()&gt;F54,"Overdue","Active")))</f>
        <v/>
      </c>
      <c r="I54" s="9" t="n"/>
    </row>
    <row r="55">
      <c r="A55" s="13">
        <f>IF(ISBLANK(B55),"",ROW()-1)</f>
        <v/>
      </c>
      <c r="B55" s="9" t="n"/>
      <c r="C55" s="9" t="n"/>
      <c r="D55" s="15">
        <f>IFERROR(IF(ISBLANK(C55),"",VLOOKUP(C55,Members!$A$2:$B$101,2,FALSE)),"")</f>
        <v/>
      </c>
      <c r="E55" s="9" t="n"/>
      <c r="F55" s="13">
        <f>IF(ISBLANK(E55),"",E55+Settings!$B$7)</f>
        <v/>
      </c>
      <c r="G55" s="9" t="n"/>
      <c r="H55" s="15">
        <f>IF(ISBLANK(B55),"",IF(NOT(ISBLANK(G55)),"Returned",IF(TODAY()&gt;F55,"Overdue","Active")))</f>
        <v/>
      </c>
      <c r="I55" s="9" t="n"/>
    </row>
    <row r="56">
      <c r="A56" s="13">
        <f>IF(ISBLANK(B56),"",ROW()-1)</f>
        <v/>
      </c>
      <c r="B56" s="9" t="n"/>
      <c r="C56" s="9" t="n"/>
      <c r="D56" s="15">
        <f>IFERROR(IF(ISBLANK(C56),"",VLOOKUP(C56,Members!$A$2:$B$101,2,FALSE)),"")</f>
        <v/>
      </c>
      <c r="E56" s="9" t="n"/>
      <c r="F56" s="13">
        <f>IF(ISBLANK(E56),"",E56+Settings!$B$7)</f>
        <v/>
      </c>
      <c r="G56" s="9" t="n"/>
      <c r="H56" s="15">
        <f>IF(ISBLANK(B56),"",IF(NOT(ISBLANK(G56)),"Returned",IF(TODAY()&gt;F56,"Overdue","Active")))</f>
        <v/>
      </c>
      <c r="I56" s="9" t="n"/>
    </row>
    <row r="57">
      <c r="A57" s="13">
        <f>IF(ISBLANK(B57),"",ROW()-1)</f>
        <v/>
      </c>
      <c r="B57" s="9" t="n"/>
      <c r="C57" s="9" t="n"/>
      <c r="D57" s="15">
        <f>IFERROR(IF(ISBLANK(C57),"",VLOOKUP(C57,Members!$A$2:$B$101,2,FALSE)),"")</f>
        <v/>
      </c>
      <c r="E57" s="9" t="n"/>
      <c r="F57" s="13">
        <f>IF(ISBLANK(E57),"",E57+Settings!$B$7)</f>
        <v/>
      </c>
      <c r="G57" s="9" t="n"/>
      <c r="H57" s="15">
        <f>IF(ISBLANK(B57),"",IF(NOT(ISBLANK(G57)),"Returned",IF(TODAY()&gt;F57,"Overdue","Active")))</f>
        <v/>
      </c>
      <c r="I57" s="9" t="n"/>
    </row>
    <row r="58">
      <c r="A58" s="13">
        <f>IF(ISBLANK(B58),"",ROW()-1)</f>
        <v/>
      </c>
      <c r="B58" s="9" t="n"/>
      <c r="C58" s="9" t="n"/>
      <c r="D58" s="15">
        <f>IFERROR(IF(ISBLANK(C58),"",VLOOKUP(C58,Members!$A$2:$B$101,2,FALSE)),"")</f>
        <v/>
      </c>
      <c r="E58" s="9" t="n"/>
      <c r="F58" s="13">
        <f>IF(ISBLANK(E58),"",E58+Settings!$B$7)</f>
        <v/>
      </c>
      <c r="G58" s="9" t="n"/>
      <c r="H58" s="15">
        <f>IF(ISBLANK(B58),"",IF(NOT(ISBLANK(G58)),"Returned",IF(TODAY()&gt;F58,"Overdue","Active")))</f>
        <v/>
      </c>
      <c r="I58" s="9" t="n"/>
    </row>
    <row r="59">
      <c r="A59" s="13">
        <f>IF(ISBLANK(B59),"",ROW()-1)</f>
        <v/>
      </c>
      <c r="B59" s="9" t="n"/>
      <c r="C59" s="9" t="n"/>
      <c r="D59" s="15">
        <f>IFERROR(IF(ISBLANK(C59),"",VLOOKUP(C59,Members!$A$2:$B$101,2,FALSE)),"")</f>
        <v/>
      </c>
      <c r="E59" s="9" t="n"/>
      <c r="F59" s="13">
        <f>IF(ISBLANK(E59),"",E59+Settings!$B$7)</f>
        <v/>
      </c>
      <c r="G59" s="9" t="n"/>
      <c r="H59" s="15">
        <f>IF(ISBLANK(B59),"",IF(NOT(ISBLANK(G59)),"Returned",IF(TODAY()&gt;F59,"Overdue","Active")))</f>
        <v/>
      </c>
      <c r="I59" s="9" t="n"/>
    </row>
    <row r="60">
      <c r="A60" s="13">
        <f>IF(ISBLANK(B60),"",ROW()-1)</f>
        <v/>
      </c>
      <c r="B60" s="9" t="n"/>
      <c r="C60" s="9" t="n"/>
      <c r="D60" s="15">
        <f>IFERROR(IF(ISBLANK(C60),"",VLOOKUP(C60,Members!$A$2:$B$101,2,FALSE)),"")</f>
        <v/>
      </c>
      <c r="E60" s="9" t="n"/>
      <c r="F60" s="13">
        <f>IF(ISBLANK(E60),"",E60+Settings!$B$7)</f>
        <v/>
      </c>
      <c r="G60" s="9" t="n"/>
      <c r="H60" s="15">
        <f>IF(ISBLANK(B60),"",IF(NOT(ISBLANK(G60)),"Returned",IF(TODAY()&gt;F60,"Overdue","Active")))</f>
        <v/>
      </c>
      <c r="I60" s="9" t="n"/>
    </row>
    <row r="61">
      <c r="A61" s="13">
        <f>IF(ISBLANK(B61),"",ROW()-1)</f>
        <v/>
      </c>
      <c r="B61" s="9" t="n"/>
      <c r="C61" s="9" t="n"/>
      <c r="D61" s="15">
        <f>IFERROR(IF(ISBLANK(C61),"",VLOOKUP(C61,Members!$A$2:$B$101,2,FALSE)),"")</f>
        <v/>
      </c>
      <c r="E61" s="9" t="n"/>
      <c r="F61" s="13">
        <f>IF(ISBLANK(E61),"",E61+Settings!$B$7)</f>
        <v/>
      </c>
      <c r="G61" s="9" t="n"/>
      <c r="H61" s="15">
        <f>IF(ISBLANK(B61),"",IF(NOT(ISBLANK(G61)),"Returned",IF(TODAY()&gt;F61,"Overdue","Active")))</f>
        <v/>
      </c>
      <c r="I61" s="9" t="n"/>
    </row>
    <row r="62">
      <c r="A62" s="13">
        <f>IF(ISBLANK(B62),"",ROW()-1)</f>
        <v/>
      </c>
      <c r="B62" s="9" t="n"/>
      <c r="C62" s="9" t="n"/>
      <c r="D62" s="15">
        <f>IFERROR(IF(ISBLANK(C62),"",VLOOKUP(C62,Members!$A$2:$B$101,2,FALSE)),"")</f>
        <v/>
      </c>
      <c r="E62" s="9" t="n"/>
      <c r="F62" s="13">
        <f>IF(ISBLANK(E62),"",E62+Settings!$B$7)</f>
        <v/>
      </c>
      <c r="G62" s="9" t="n"/>
      <c r="H62" s="15">
        <f>IF(ISBLANK(B62),"",IF(NOT(ISBLANK(G62)),"Returned",IF(TODAY()&gt;F62,"Overdue","Active")))</f>
        <v/>
      </c>
      <c r="I62" s="9" t="n"/>
    </row>
    <row r="63">
      <c r="A63" s="13">
        <f>IF(ISBLANK(B63),"",ROW()-1)</f>
        <v/>
      </c>
      <c r="B63" s="9" t="n"/>
      <c r="C63" s="9" t="n"/>
      <c r="D63" s="15">
        <f>IFERROR(IF(ISBLANK(C63),"",VLOOKUP(C63,Members!$A$2:$B$101,2,FALSE)),"")</f>
        <v/>
      </c>
      <c r="E63" s="9" t="n"/>
      <c r="F63" s="13">
        <f>IF(ISBLANK(E63),"",E63+Settings!$B$7)</f>
        <v/>
      </c>
      <c r="G63" s="9" t="n"/>
      <c r="H63" s="15">
        <f>IF(ISBLANK(B63),"",IF(NOT(ISBLANK(G63)),"Returned",IF(TODAY()&gt;F63,"Overdue","Active")))</f>
        <v/>
      </c>
      <c r="I63" s="9" t="n"/>
    </row>
    <row r="64">
      <c r="A64" s="13">
        <f>IF(ISBLANK(B64),"",ROW()-1)</f>
        <v/>
      </c>
      <c r="B64" s="9" t="n"/>
      <c r="C64" s="9" t="n"/>
      <c r="D64" s="15">
        <f>IFERROR(IF(ISBLANK(C64),"",VLOOKUP(C64,Members!$A$2:$B$101,2,FALSE)),"")</f>
        <v/>
      </c>
      <c r="E64" s="9" t="n"/>
      <c r="F64" s="13">
        <f>IF(ISBLANK(E64),"",E64+Settings!$B$7)</f>
        <v/>
      </c>
      <c r="G64" s="9" t="n"/>
      <c r="H64" s="15">
        <f>IF(ISBLANK(B64),"",IF(NOT(ISBLANK(G64)),"Returned",IF(TODAY()&gt;F64,"Overdue","Active")))</f>
        <v/>
      </c>
      <c r="I64" s="9" t="n"/>
    </row>
    <row r="65">
      <c r="A65" s="13">
        <f>IF(ISBLANK(B65),"",ROW()-1)</f>
        <v/>
      </c>
      <c r="B65" s="9" t="n"/>
      <c r="C65" s="9" t="n"/>
      <c r="D65" s="15">
        <f>IFERROR(IF(ISBLANK(C65),"",VLOOKUP(C65,Members!$A$2:$B$101,2,FALSE)),"")</f>
        <v/>
      </c>
      <c r="E65" s="9" t="n"/>
      <c r="F65" s="13">
        <f>IF(ISBLANK(E65),"",E65+Settings!$B$7)</f>
        <v/>
      </c>
      <c r="G65" s="9" t="n"/>
      <c r="H65" s="15">
        <f>IF(ISBLANK(B65),"",IF(NOT(ISBLANK(G65)),"Returned",IF(TODAY()&gt;F65,"Overdue","Active")))</f>
        <v/>
      </c>
      <c r="I65" s="9" t="n"/>
    </row>
    <row r="66">
      <c r="A66" s="13">
        <f>IF(ISBLANK(B66),"",ROW()-1)</f>
        <v/>
      </c>
      <c r="B66" s="9" t="n"/>
      <c r="C66" s="9" t="n"/>
      <c r="D66" s="15">
        <f>IFERROR(IF(ISBLANK(C66),"",VLOOKUP(C66,Members!$A$2:$B$101,2,FALSE)),"")</f>
        <v/>
      </c>
      <c r="E66" s="9" t="n"/>
      <c r="F66" s="13">
        <f>IF(ISBLANK(E66),"",E66+Settings!$B$7)</f>
        <v/>
      </c>
      <c r="G66" s="9" t="n"/>
      <c r="H66" s="15">
        <f>IF(ISBLANK(B66),"",IF(NOT(ISBLANK(G66)),"Returned",IF(TODAY()&gt;F66,"Overdue","Active")))</f>
        <v/>
      </c>
      <c r="I66" s="9" t="n"/>
    </row>
    <row r="67">
      <c r="A67" s="13">
        <f>IF(ISBLANK(B67),"",ROW()-1)</f>
        <v/>
      </c>
      <c r="B67" s="9" t="n"/>
      <c r="C67" s="9" t="n"/>
      <c r="D67" s="15">
        <f>IFERROR(IF(ISBLANK(C67),"",VLOOKUP(C67,Members!$A$2:$B$101,2,FALSE)),"")</f>
        <v/>
      </c>
      <c r="E67" s="9" t="n"/>
      <c r="F67" s="13">
        <f>IF(ISBLANK(E67),"",E67+Settings!$B$7)</f>
        <v/>
      </c>
      <c r="G67" s="9" t="n"/>
      <c r="H67" s="15">
        <f>IF(ISBLANK(B67),"",IF(NOT(ISBLANK(G67)),"Returned",IF(TODAY()&gt;F67,"Overdue","Active")))</f>
        <v/>
      </c>
      <c r="I67" s="9" t="n"/>
    </row>
    <row r="68">
      <c r="A68" s="13">
        <f>IF(ISBLANK(B68),"",ROW()-1)</f>
        <v/>
      </c>
      <c r="B68" s="9" t="n"/>
      <c r="C68" s="9" t="n"/>
      <c r="D68" s="15">
        <f>IFERROR(IF(ISBLANK(C68),"",VLOOKUP(C68,Members!$A$2:$B$101,2,FALSE)),"")</f>
        <v/>
      </c>
      <c r="E68" s="9" t="n"/>
      <c r="F68" s="13">
        <f>IF(ISBLANK(E68),"",E68+Settings!$B$7)</f>
        <v/>
      </c>
      <c r="G68" s="9" t="n"/>
      <c r="H68" s="15">
        <f>IF(ISBLANK(B68),"",IF(NOT(ISBLANK(G68)),"Returned",IF(TODAY()&gt;F68,"Overdue","Active")))</f>
        <v/>
      </c>
      <c r="I68" s="9" t="n"/>
    </row>
    <row r="69">
      <c r="A69" s="13">
        <f>IF(ISBLANK(B69),"",ROW()-1)</f>
        <v/>
      </c>
      <c r="B69" s="9" t="n"/>
      <c r="C69" s="9" t="n"/>
      <c r="D69" s="15">
        <f>IFERROR(IF(ISBLANK(C69),"",VLOOKUP(C69,Members!$A$2:$B$101,2,FALSE)),"")</f>
        <v/>
      </c>
      <c r="E69" s="9" t="n"/>
      <c r="F69" s="13">
        <f>IF(ISBLANK(E69),"",E69+Settings!$B$7)</f>
        <v/>
      </c>
      <c r="G69" s="9" t="n"/>
      <c r="H69" s="15">
        <f>IF(ISBLANK(B69),"",IF(NOT(ISBLANK(G69)),"Returned",IF(TODAY()&gt;F69,"Overdue","Active")))</f>
        <v/>
      </c>
      <c r="I69" s="9" t="n"/>
    </row>
    <row r="70">
      <c r="A70" s="13">
        <f>IF(ISBLANK(B70),"",ROW()-1)</f>
        <v/>
      </c>
      <c r="B70" s="9" t="n"/>
      <c r="C70" s="9" t="n"/>
      <c r="D70" s="15">
        <f>IFERROR(IF(ISBLANK(C70),"",VLOOKUP(C70,Members!$A$2:$B$101,2,FALSE)),"")</f>
        <v/>
      </c>
      <c r="E70" s="9" t="n"/>
      <c r="F70" s="13">
        <f>IF(ISBLANK(E70),"",E70+Settings!$B$7)</f>
        <v/>
      </c>
      <c r="G70" s="9" t="n"/>
      <c r="H70" s="15">
        <f>IF(ISBLANK(B70),"",IF(NOT(ISBLANK(G70)),"Returned",IF(TODAY()&gt;F70,"Overdue","Active")))</f>
        <v/>
      </c>
      <c r="I70" s="9" t="n"/>
    </row>
    <row r="71">
      <c r="A71" s="13">
        <f>IF(ISBLANK(B71),"",ROW()-1)</f>
        <v/>
      </c>
      <c r="B71" s="9" t="n"/>
      <c r="C71" s="9" t="n"/>
      <c r="D71" s="15">
        <f>IFERROR(IF(ISBLANK(C71),"",VLOOKUP(C71,Members!$A$2:$B$101,2,FALSE)),"")</f>
        <v/>
      </c>
      <c r="E71" s="9" t="n"/>
      <c r="F71" s="13">
        <f>IF(ISBLANK(E71),"",E71+Settings!$B$7)</f>
        <v/>
      </c>
      <c r="G71" s="9" t="n"/>
      <c r="H71" s="15">
        <f>IF(ISBLANK(B71),"",IF(NOT(ISBLANK(G71)),"Returned",IF(TODAY()&gt;F71,"Overdue","Active")))</f>
        <v/>
      </c>
      <c r="I71" s="9" t="n"/>
    </row>
    <row r="72">
      <c r="A72" s="13">
        <f>IF(ISBLANK(B72),"",ROW()-1)</f>
        <v/>
      </c>
      <c r="B72" s="9" t="n"/>
      <c r="C72" s="9" t="n"/>
      <c r="D72" s="15">
        <f>IFERROR(IF(ISBLANK(C72),"",VLOOKUP(C72,Members!$A$2:$B$101,2,FALSE)),"")</f>
        <v/>
      </c>
      <c r="E72" s="9" t="n"/>
      <c r="F72" s="13">
        <f>IF(ISBLANK(E72),"",E72+Settings!$B$7)</f>
        <v/>
      </c>
      <c r="G72" s="9" t="n"/>
      <c r="H72" s="15">
        <f>IF(ISBLANK(B72),"",IF(NOT(ISBLANK(G72)),"Returned",IF(TODAY()&gt;F72,"Overdue","Active")))</f>
        <v/>
      </c>
      <c r="I72" s="9" t="n"/>
    </row>
    <row r="73">
      <c r="A73" s="13">
        <f>IF(ISBLANK(B73),"",ROW()-1)</f>
        <v/>
      </c>
      <c r="B73" s="9" t="n"/>
      <c r="C73" s="9" t="n"/>
      <c r="D73" s="15">
        <f>IFERROR(IF(ISBLANK(C73),"",VLOOKUP(C73,Members!$A$2:$B$101,2,FALSE)),"")</f>
        <v/>
      </c>
      <c r="E73" s="9" t="n"/>
      <c r="F73" s="13">
        <f>IF(ISBLANK(E73),"",E73+Settings!$B$7)</f>
        <v/>
      </c>
      <c r="G73" s="9" t="n"/>
      <c r="H73" s="15">
        <f>IF(ISBLANK(B73),"",IF(NOT(ISBLANK(G73)),"Returned",IF(TODAY()&gt;F73,"Overdue","Active")))</f>
        <v/>
      </c>
      <c r="I73" s="9" t="n"/>
    </row>
    <row r="74">
      <c r="A74" s="13">
        <f>IF(ISBLANK(B74),"",ROW()-1)</f>
        <v/>
      </c>
      <c r="B74" s="9" t="n"/>
      <c r="C74" s="9" t="n"/>
      <c r="D74" s="15">
        <f>IFERROR(IF(ISBLANK(C74),"",VLOOKUP(C74,Members!$A$2:$B$101,2,FALSE)),"")</f>
        <v/>
      </c>
      <c r="E74" s="9" t="n"/>
      <c r="F74" s="13">
        <f>IF(ISBLANK(E74),"",E74+Settings!$B$7)</f>
        <v/>
      </c>
      <c r="G74" s="9" t="n"/>
      <c r="H74" s="15">
        <f>IF(ISBLANK(B74),"",IF(NOT(ISBLANK(G74)),"Returned",IF(TODAY()&gt;F74,"Overdue","Active")))</f>
        <v/>
      </c>
      <c r="I74" s="9" t="n"/>
    </row>
    <row r="75">
      <c r="A75" s="13">
        <f>IF(ISBLANK(B75),"",ROW()-1)</f>
        <v/>
      </c>
      <c r="B75" s="9" t="n"/>
      <c r="C75" s="9" t="n"/>
      <c r="D75" s="15">
        <f>IFERROR(IF(ISBLANK(C75),"",VLOOKUP(C75,Members!$A$2:$B$101,2,FALSE)),"")</f>
        <v/>
      </c>
      <c r="E75" s="9" t="n"/>
      <c r="F75" s="13">
        <f>IF(ISBLANK(E75),"",E75+Settings!$B$7)</f>
        <v/>
      </c>
      <c r="G75" s="9" t="n"/>
      <c r="H75" s="15">
        <f>IF(ISBLANK(B75),"",IF(NOT(ISBLANK(G75)),"Returned",IF(TODAY()&gt;F75,"Overdue","Active")))</f>
        <v/>
      </c>
      <c r="I75" s="9" t="n"/>
    </row>
    <row r="76">
      <c r="A76" s="13">
        <f>IF(ISBLANK(B76),"",ROW()-1)</f>
        <v/>
      </c>
      <c r="B76" s="9" t="n"/>
      <c r="C76" s="9" t="n"/>
      <c r="D76" s="15">
        <f>IFERROR(IF(ISBLANK(C76),"",VLOOKUP(C76,Members!$A$2:$B$101,2,FALSE)),"")</f>
        <v/>
      </c>
      <c r="E76" s="9" t="n"/>
      <c r="F76" s="13">
        <f>IF(ISBLANK(E76),"",E76+Settings!$B$7)</f>
        <v/>
      </c>
      <c r="G76" s="9" t="n"/>
      <c r="H76" s="15">
        <f>IF(ISBLANK(B76),"",IF(NOT(ISBLANK(G76)),"Returned",IF(TODAY()&gt;F76,"Overdue","Active")))</f>
        <v/>
      </c>
      <c r="I76" s="9" t="n"/>
    </row>
    <row r="77">
      <c r="A77" s="13">
        <f>IF(ISBLANK(B77),"",ROW()-1)</f>
        <v/>
      </c>
      <c r="B77" s="9" t="n"/>
      <c r="C77" s="9" t="n"/>
      <c r="D77" s="15">
        <f>IFERROR(IF(ISBLANK(C77),"",VLOOKUP(C77,Members!$A$2:$B$101,2,FALSE)),"")</f>
        <v/>
      </c>
      <c r="E77" s="9" t="n"/>
      <c r="F77" s="13">
        <f>IF(ISBLANK(E77),"",E77+Settings!$B$7)</f>
        <v/>
      </c>
      <c r="G77" s="9" t="n"/>
      <c r="H77" s="15">
        <f>IF(ISBLANK(B77),"",IF(NOT(ISBLANK(G77)),"Returned",IF(TODAY()&gt;F77,"Overdue","Active")))</f>
        <v/>
      </c>
      <c r="I77" s="9" t="n"/>
    </row>
    <row r="78">
      <c r="A78" s="13">
        <f>IF(ISBLANK(B78),"",ROW()-1)</f>
        <v/>
      </c>
      <c r="B78" s="9" t="n"/>
      <c r="C78" s="9" t="n"/>
      <c r="D78" s="15">
        <f>IFERROR(IF(ISBLANK(C78),"",VLOOKUP(C78,Members!$A$2:$B$101,2,FALSE)),"")</f>
        <v/>
      </c>
      <c r="E78" s="9" t="n"/>
      <c r="F78" s="13">
        <f>IF(ISBLANK(E78),"",E78+Settings!$B$7)</f>
        <v/>
      </c>
      <c r="G78" s="9" t="n"/>
      <c r="H78" s="15">
        <f>IF(ISBLANK(B78),"",IF(NOT(ISBLANK(G78)),"Returned",IF(TODAY()&gt;F78,"Overdue","Active")))</f>
        <v/>
      </c>
      <c r="I78" s="9" t="n"/>
    </row>
    <row r="79">
      <c r="A79" s="13">
        <f>IF(ISBLANK(B79),"",ROW()-1)</f>
        <v/>
      </c>
      <c r="B79" s="9" t="n"/>
      <c r="C79" s="9" t="n"/>
      <c r="D79" s="15">
        <f>IFERROR(IF(ISBLANK(C79),"",VLOOKUP(C79,Members!$A$2:$B$101,2,FALSE)),"")</f>
        <v/>
      </c>
      <c r="E79" s="9" t="n"/>
      <c r="F79" s="13">
        <f>IF(ISBLANK(E79),"",E79+Settings!$B$7)</f>
        <v/>
      </c>
      <c r="G79" s="9" t="n"/>
      <c r="H79" s="15">
        <f>IF(ISBLANK(B79),"",IF(NOT(ISBLANK(G79)),"Returned",IF(TODAY()&gt;F79,"Overdue","Active")))</f>
        <v/>
      </c>
      <c r="I79" s="9" t="n"/>
    </row>
    <row r="80">
      <c r="A80" s="13">
        <f>IF(ISBLANK(B80),"",ROW()-1)</f>
        <v/>
      </c>
      <c r="B80" s="9" t="n"/>
      <c r="C80" s="9" t="n"/>
      <c r="D80" s="15">
        <f>IFERROR(IF(ISBLANK(C80),"",VLOOKUP(C80,Members!$A$2:$B$101,2,FALSE)),"")</f>
        <v/>
      </c>
      <c r="E80" s="9" t="n"/>
      <c r="F80" s="13">
        <f>IF(ISBLANK(E80),"",E80+Settings!$B$7)</f>
        <v/>
      </c>
      <c r="G80" s="9" t="n"/>
      <c r="H80" s="15">
        <f>IF(ISBLANK(B80),"",IF(NOT(ISBLANK(G80)),"Returned",IF(TODAY()&gt;F80,"Overdue","Active")))</f>
        <v/>
      </c>
      <c r="I80" s="9" t="n"/>
    </row>
    <row r="81">
      <c r="A81" s="13">
        <f>IF(ISBLANK(B81),"",ROW()-1)</f>
        <v/>
      </c>
      <c r="B81" s="9" t="n"/>
      <c r="C81" s="9" t="n"/>
      <c r="D81" s="15">
        <f>IFERROR(IF(ISBLANK(C81),"",VLOOKUP(C81,Members!$A$2:$B$101,2,FALSE)),"")</f>
        <v/>
      </c>
      <c r="E81" s="9" t="n"/>
      <c r="F81" s="13">
        <f>IF(ISBLANK(E81),"",E81+Settings!$B$7)</f>
        <v/>
      </c>
      <c r="G81" s="9" t="n"/>
      <c r="H81" s="15">
        <f>IF(ISBLANK(B81),"",IF(NOT(ISBLANK(G81)),"Returned",IF(TODAY()&gt;F81,"Overdue","Active")))</f>
        <v/>
      </c>
      <c r="I81" s="9" t="n"/>
    </row>
    <row r="82">
      <c r="A82" s="13">
        <f>IF(ISBLANK(B82),"",ROW()-1)</f>
        <v/>
      </c>
      <c r="B82" s="9" t="n"/>
      <c r="C82" s="9" t="n"/>
      <c r="D82" s="15">
        <f>IFERROR(IF(ISBLANK(C82),"",VLOOKUP(C82,Members!$A$2:$B$101,2,FALSE)),"")</f>
        <v/>
      </c>
      <c r="E82" s="9" t="n"/>
      <c r="F82" s="13">
        <f>IF(ISBLANK(E82),"",E82+Settings!$B$7)</f>
        <v/>
      </c>
      <c r="G82" s="9" t="n"/>
      <c r="H82" s="15">
        <f>IF(ISBLANK(B82),"",IF(NOT(ISBLANK(G82)),"Returned",IF(TODAY()&gt;F82,"Overdue","Active")))</f>
        <v/>
      </c>
      <c r="I82" s="9" t="n"/>
    </row>
    <row r="83">
      <c r="A83" s="13">
        <f>IF(ISBLANK(B83),"",ROW()-1)</f>
        <v/>
      </c>
      <c r="B83" s="9" t="n"/>
      <c r="C83" s="9" t="n"/>
      <c r="D83" s="15">
        <f>IFERROR(IF(ISBLANK(C83),"",VLOOKUP(C83,Members!$A$2:$B$101,2,FALSE)),"")</f>
        <v/>
      </c>
      <c r="E83" s="9" t="n"/>
      <c r="F83" s="13">
        <f>IF(ISBLANK(E83),"",E83+Settings!$B$7)</f>
        <v/>
      </c>
      <c r="G83" s="9" t="n"/>
      <c r="H83" s="15">
        <f>IF(ISBLANK(B83),"",IF(NOT(ISBLANK(G83)),"Returned",IF(TODAY()&gt;F83,"Overdue","Active")))</f>
        <v/>
      </c>
      <c r="I83" s="9" t="n"/>
    </row>
    <row r="84">
      <c r="A84" s="13">
        <f>IF(ISBLANK(B84),"",ROW()-1)</f>
        <v/>
      </c>
      <c r="B84" s="9" t="n"/>
      <c r="C84" s="9" t="n"/>
      <c r="D84" s="15">
        <f>IFERROR(IF(ISBLANK(C84),"",VLOOKUP(C84,Members!$A$2:$B$101,2,FALSE)),"")</f>
        <v/>
      </c>
      <c r="E84" s="9" t="n"/>
      <c r="F84" s="13">
        <f>IF(ISBLANK(E84),"",E84+Settings!$B$7)</f>
        <v/>
      </c>
      <c r="G84" s="9" t="n"/>
      <c r="H84" s="15">
        <f>IF(ISBLANK(B84),"",IF(NOT(ISBLANK(G84)),"Returned",IF(TODAY()&gt;F84,"Overdue","Active")))</f>
        <v/>
      </c>
      <c r="I84" s="9" t="n"/>
    </row>
    <row r="85">
      <c r="A85" s="13">
        <f>IF(ISBLANK(B85),"",ROW()-1)</f>
        <v/>
      </c>
      <c r="B85" s="9" t="n"/>
      <c r="C85" s="9" t="n"/>
      <c r="D85" s="15">
        <f>IFERROR(IF(ISBLANK(C85),"",VLOOKUP(C85,Members!$A$2:$B$101,2,FALSE)),"")</f>
        <v/>
      </c>
      <c r="E85" s="9" t="n"/>
      <c r="F85" s="13">
        <f>IF(ISBLANK(E85),"",E85+Settings!$B$7)</f>
        <v/>
      </c>
      <c r="G85" s="9" t="n"/>
      <c r="H85" s="15">
        <f>IF(ISBLANK(B85),"",IF(NOT(ISBLANK(G85)),"Returned",IF(TODAY()&gt;F85,"Overdue","Active")))</f>
        <v/>
      </c>
      <c r="I85" s="9" t="n"/>
    </row>
    <row r="86">
      <c r="A86" s="13">
        <f>IF(ISBLANK(B86),"",ROW()-1)</f>
        <v/>
      </c>
      <c r="B86" s="9" t="n"/>
      <c r="C86" s="9" t="n"/>
      <c r="D86" s="15">
        <f>IFERROR(IF(ISBLANK(C86),"",VLOOKUP(C86,Members!$A$2:$B$101,2,FALSE)),"")</f>
        <v/>
      </c>
      <c r="E86" s="9" t="n"/>
      <c r="F86" s="13">
        <f>IF(ISBLANK(E86),"",E86+Settings!$B$7)</f>
        <v/>
      </c>
      <c r="G86" s="9" t="n"/>
      <c r="H86" s="15">
        <f>IF(ISBLANK(B86),"",IF(NOT(ISBLANK(G86)),"Returned",IF(TODAY()&gt;F86,"Overdue","Active")))</f>
        <v/>
      </c>
      <c r="I86" s="9" t="n"/>
    </row>
    <row r="87">
      <c r="A87" s="13">
        <f>IF(ISBLANK(B87),"",ROW()-1)</f>
        <v/>
      </c>
      <c r="B87" s="9" t="n"/>
      <c r="C87" s="9" t="n"/>
      <c r="D87" s="15">
        <f>IFERROR(IF(ISBLANK(C87),"",VLOOKUP(C87,Members!$A$2:$B$101,2,FALSE)),"")</f>
        <v/>
      </c>
      <c r="E87" s="9" t="n"/>
      <c r="F87" s="13">
        <f>IF(ISBLANK(E87),"",E87+Settings!$B$7)</f>
        <v/>
      </c>
      <c r="G87" s="9" t="n"/>
      <c r="H87" s="15">
        <f>IF(ISBLANK(B87),"",IF(NOT(ISBLANK(G87)),"Returned",IF(TODAY()&gt;F87,"Overdue","Active")))</f>
        <v/>
      </c>
      <c r="I87" s="9" t="n"/>
    </row>
    <row r="88">
      <c r="A88" s="13">
        <f>IF(ISBLANK(B88),"",ROW()-1)</f>
        <v/>
      </c>
      <c r="B88" s="9" t="n"/>
      <c r="C88" s="9" t="n"/>
      <c r="D88" s="15">
        <f>IFERROR(IF(ISBLANK(C88),"",VLOOKUP(C88,Members!$A$2:$B$101,2,FALSE)),"")</f>
        <v/>
      </c>
      <c r="E88" s="9" t="n"/>
      <c r="F88" s="13">
        <f>IF(ISBLANK(E88),"",E88+Settings!$B$7)</f>
        <v/>
      </c>
      <c r="G88" s="9" t="n"/>
      <c r="H88" s="15">
        <f>IF(ISBLANK(B88),"",IF(NOT(ISBLANK(G88)),"Returned",IF(TODAY()&gt;F88,"Overdue","Active")))</f>
        <v/>
      </c>
      <c r="I88" s="9" t="n"/>
    </row>
    <row r="89">
      <c r="A89" s="13">
        <f>IF(ISBLANK(B89),"",ROW()-1)</f>
        <v/>
      </c>
      <c r="B89" s="9" t="n"/>
      <c r="C89" s="9" t="n"/>
      <c r="D89" s="15">
        <f>IFERROR(IF(ISBLANK(C89),"",VLOOKUP(C89,Members!$A$2:$B$101,2,FALSE)),"")</f>
        <v/>
      </c>
      <c r="E89" s="9" t="n"/>
      <c r="F89" s="13">
        <f>IF(ISBLANK(E89),"",E89+Settings!$B$7)</f>
        <v/>
      </c>
      <c r="G89" s="9" t="n"/>
      <c r="H89" s="15">
        <f>IF(ISBLANK(B89),"",IF(NOT(ISBLANK(G89)),"Returned",IF(TODAY()&gt;F89,"Overdue","Active")))</f>
        <v/>
      </c>
      <c r="I89" s="9" t="n"/>
    </row>
    <row r="90">
      <c r="A90" s="13">
        <f>IF(ISBLANK(B90),"",ROW()-1)</f>
        <v/>
      </c>
      <c r="B90" s="9" t="n"/>
      <c r="C90" s="9" t="n"/>
      <c r="D90" s="15">
        <f>IFERROR(IF(ISBLANK(C90),"",VLOOKUP(C90,Members!$A$2:$B$101,2,FALSE)),"")</f>
        <v/>
      </c>
      <c r="E90" s="9" t="n"/>
      <c r="F90" s="13">
        <f>IF(ISBLANK(E90),"",E90+Settings!$B$7)</f>
        <v/>
      </c>
      <c r="G90" s="9" t="n"/>
      <c r="H90" s="15">
        <f>IF(ISBLANK(B90),"",IF(NOT(ISBLANK(G90)),"Returned",IF(TODAY()&gt;F90,"Overdue","Active")))</f>
        <v/>
      </c>
      <c r="I90" s="9" t="n"/>
    </row>
    <row r="91">
      <c r="A91" s="13">
        <f>IF(ISBLANK(B91),"",ROW()-1)</f>
        <v/>
      </c>
      <c r="B91" s="9" t="n"/>
      <c r="C91" s="9" t="n"/>
      <c r="D91" s="15">
        <f>IFERROR(IF(ISBLANK(C91),"",VLOOKUP(C91,Members!$A$2:$B$101,2,FALSE)),"")</f>
        <v/>
      </c>
      <c r="E91" s="9" t="n"/>
      <c r="F91" s="13">
        <f>IF(ISBLANK(E91),"",E91+Settings!$B$7)</f>
        <v/>
      </c>
      <c r="G91" s="9" t="n"/>
      <c r="H91" s="15">
        <f>IF(ISBLANK(B91),"",IF(NOT(ISBLANK(G91)),"Returned",IF(TODAY()&gt;F91,"Overdue","Active")))</f>
        <v/>
      </c>
      <c r="I91" s="9" t="n"/>
    </row>
    <row r="92">
      <c r="A92" s="13">
        <f>IF(ISBLANK(B92),"",ROW()-1)</f>
        <v/>
      </c>
      <c r="B92" s="9" t="n"/>
      <c r="C92" s="9" t="n"/>
      <c r="D92" s="15">
        <f>IFERROR(IF(ISBLANK(C92),"",VLOOKUP(C92,Members!$A$2:$B$101,2,FALSE)),"")</f>
        <v/>
      </c>
      <c r="E92" s="9" t="n"/>
      <c r="F92" s="13">
        <f>IF(ISBLANK(E92),"",E92+Settings!$B$7)</f>
        <v/>
      </c>
      <c r="G92" s="9" t="n"/>
      <c r="H92" s="15">
        <f>IF(ISBLANK(B92),"",IF(NOT(ISBLANK(G92)),"Returned",IF(TODAY()&gt;F92,"Overdue","Active")))</f>
        <v/>
      </c>
      <c r="I92" s="9" t="n"/>
    </row>
    <row r="93">
      <c r="A93" s="13">
        <f>IF(ISBLANK(B93),"",ROW()-1)</f>
        <v/>
      </c>
      <c r="B93" s="9" t="n"/>
      <c r="C93" s="9" t="n"/>
      <c r="D93" s="15">
        <f>IFERROR(IF(ISBLANK(C93),"",VLOOKUP(C93,Members!$A$2:$B$101,2,FALSE)),"")</f>
        <v/>
      </c>
      <c r="E93" s="9" t="n"/>
      <c r="F93" s="13">
        <f>IF(ISBLANK(E93),"",E93+Settings!$B$7)</f>
        <v/>
      </c>
      <c r="G93" s="9" t="n"/>
      <c r="H93" s="15">
        <f>IF(ISBLANK(B93),"",IF(NOT(ISBLANK(G93)),"Returned",IF(TODAY()&gt;F93,"Overdue","Active")))</f>
        <v/>
      </c>
      <c r="I93" s="9" t="n"/>
    </row>
    <row r="94">
      <c r="A94" s="13">
        <f>IF(ISBLANK(B94),"",ROW()-1)</f>
        <v/>
      </c>
      <c r="B94" s="9" t="n"/>
      <c r="C94" s="9" t="n"/>
      <c r="D94" s="15">
        <f>IFERROR(IF(ISBLANK(C94),"",VLOOKUP(C94,Members!$A$2:$B$101,2,FALSE)),"")</f>
        <v/>
      </c>
      <c r="E94" s="9" t="n"/>
      <c r="F94" s="13">
        <f>IF(ISBLANK(E94),"",E94+Settings!$B$7)</f>
        <v/>
      </c>
      <c r="G94" s="9" t="n"/>
      <c r="H94" s="15">
        <f>IF(ISBLANK(B94),"",IF(NOT(ISBLANK(G94)),"Returned",IF(TODAY()&gt;F94,"Overdue","Active")))</f>
        <v/>
      </c>
      <c r="I94" s="9" t="n"/>
    </row>
    <row r="95">
      <c r="A95" s="13">
        <f>IF(ISBLANK(B95),"",ROW()-1)</f>
        <v/>
      </c>
      <c r="B95" s="9" t="n"/>
      <c r="C95" s="9" t="n"/>
      <c r="D95" s="15">
        <f>IFERROR(IF(ISBLANK(C95),"",VLOOKUP(C95,Members!$A$2:$B$101,2,FALSE)),"")</f>
        <v/>
      </c>
      <c r="E95" s="9" t="n"/>
      <c r="F95" s="13">
        <f>IF(ISBLANK(E95),"",E95+Settings!$B$7)</f>
        <v/>
      </c>
      <c r="G95" s="9" t="n"/>
      <c r="H95" s="15">
        <f>IF(ISBLANK(B95),"",IF(NOT(ISBLANK(G95)),"Returned",IF(TODAY()&gt;F95,"Overdue","Active")))</f>
        <v/>
      </c>
      <c r="I95" s="9" t="n"/>
    </row>
    <row r="96">
      <c r="A96" s="13">
        <f>IF(ISBLANK(B96),"",ROW()-1)</f>
        <v/>
      </c>
      <c r="B96" s="9" t="n"/>
      <c r="C96" s="9" t="n"/>
      <c r="D96" s="15">
        <f>IFERROR(IF(ISBLANK(C96),"",VLOOKUP(C96,Members!$A$2:$B$101,2,FALSE)),"")</f>
        <v/>
      </c>
      <c r="E96" s="9" t="n"/>
      <c r="F96" s="13">
        <f>IF(ISBLANK(E96),"",E96+Settings!$B$7)</f>
        <v/>
      </c>
      <c r="G96" s="9" t="n"/>
      <c r="H96" s="15">
        <f>IF(ISBLANK(B96),"",IF(NOT(ISBLANK(G96)),"Returned",IF(TODAY()&gt;F96,"Overdue","Active")))</f>
        <v/>
      </c>
      <c r="I96" s="9" t="n"/>
    </row>
    <row r="97">
      <c r="A97" s="13">
        <f>IF(ISBLANK(B97),"",ROW()-1)</f>
        <v/>
      </c>
      <c r="B97" s="9" t="n"/>
      <c r="C97" s="9" t="n"/>
      <c r="D97" s="15">
        <f>IFERROR(IF(ISBLANK(C97),"",VLOOKUP(C97,Members!$A$2:$B$101,2,FALSE)),"")</f>
        <v/>
      </c>
      <c r="E97" s="9" t="n"/>
      <c r="F97" s="13">
        <f>IF(ISBLANK(E97),"",E97+Settings!$B$7)</f>
        <v/>
      </c>
      <c r="G97" s="9" t="n"/>
      <c r="H97" s="15">
        <f>IF(ISBLANK(B97),"",IF(NOT(ISBLANK(G97)),"Returned",IF(TODAY()&gt;F97,"Overdue","Active")))</f>
        <v/>
      </c>
      <c r="I97" s="9" t="n"/>
    </row>
    <row r="98">
      <c r="A98" s="13">
        <f>IF(ISBLANK(B98),"",ROW()-1)</f>
        <v/>
      </c>
      <c r="B98" s="9" t="n"/>
      <c r="C98" s="9" t="n"/>
      <c r="D98" s="15">
        <f>IFERROR(IF(ISBLANK(C98),"",VLOOKUP(C98,Members!$A$2:$B$101,2,FALSE)),"")</f>
        <v/>
      </c>
      <c r="E98" s="9" t="n"/>
      <c r="F98" s="13">
        <f>IF(ISBLANK(E98),"",E98+Settings!$B$7)</f>
        <v/>
      </c>
      <c r="G98" s="9" t="n"/>
      <c r="H98" s="15">
        <f>IF(ISBLANK(B98),"",IF(NOT(ISBLANK(G98)),"Returned",IF(TODAY()&gt;F98,"Overdue","Active")))</f>
        <v/>
      </c>
      <c r="I98" s="9" t="n"/>
    </row>
    <row r="99">
      <c r="A99" s="13">
        <f>IF(ISBLANK(B99),"",ROW()-1)</f>
        <v/>
      </c>
      <c r="B99" s="9" t="n"/>
      <c r="C99" s="9" t="n"/>
      <c r="D99" s="15">
        <f>IFERROR(IF(ISBLANK(C99),"",VLOOKUP(C99,Members!$A$2:$B$101,2,FALSE)),"")</f>
        <v/>
      </c>
      <c r="E99" s="9" t="n"/>
      <c r="F99" s="13">
        <f>IF(ISBLANK(E99),"",E99+Settings!$B$7)</f>
        <v/>
      </c>
      <c r="G99" s="9" t="n"/>
      <c r="H99" s="15">
        <f>IF(ISBLANK(B99),"",IF(NOT(ISBLANK(G99)),"Returned",IF(TODAY()&gt;F99,"Overdue","Active")))</f>
        <v/>
      </c>
      <c r="I99" s="9" t="n"/>
    </row>
    <row r="100">
      <c r="A100" s="13">
        <f>IF(ISBLANK(B100),"",ROW()-1)</f>
        <v/>
      </c>
      <c r="B100" s="9" t="n"/>
      <c r="C100" s="9" t="n"/>
      <c r="D100" s="15">
        <f>IFERROR(IF(ISBLANK(C100),"",VLOOKUP(C100,Members!$A$2:$B$101,2,FALSE)),"")</f>
        <v/>
      </c>
      <c r="E100" s="9" t="n"/>
      <c r="F100" s="13">
        <f>IF(ISBLANK(E100),"",E100+Settings!$B$7)</f>
        <v/>
      </c>
      <c r="G100" s="9" t="n"/>
      <c r="H100" s="15">
        <f>IF(ISBLANK(B100),"",IF(NOT(ISBLANK(G100)),"Returned",IF(TODAY()&gt;F100,"Overdue","Active")))</f>
        <v/>
      </c>
      <c r="I100" s="9" t="n"/>
    </row>
    <row r="101">
      <c r="A101" s="13">
        <f>IF(ISBLANK(B101),"",ROW()-1)</f>
        <v/>
      </c>
      <c r="B101" s="9" t="n"/>
      <c r="C101" s="9" t="n"/>
      <c r="D101" s="15">
        <f>IFERROR(IF(ISBLANK(C101),"",VLOOKUP(C101,Members!$A$2:$B$101,2,FALSE)),"")</f>
        <v/>
      </c>
      <c r="E101" s="9" t="n"/>
      <c r="F101" s="13">
        <f>IF(ISBLANK(E101),"",E101+Settings!$B$7)</f>
        <v/>
      </c>
      <c r="G101" s="9" t="n"/>
      <c r="H101" s="15">
        <f>IF(ISBLANK(B101),"",IF(NOT(ISBLANK(G101)),"Returned",IF(TODAY()&gt;F101,"Overdue","Active")))</f>
        <v/>
      </c>
      <c r="I101" s="9" t="n"/>
    </row>
    <row r="102">
      <c r="A102" s="13">
        <f>IF(ISBLANK(B102),"",ROW()-1)</f>
        <v/>
      </c>
      <c r="B102" s="9" t="n"/>
      <c r="C102" s="9" t="n"/>
      <c r="D102" s="15">
        <f>IFERROR(IF(ISBLANK(C102),"",VLOOKUP(C102,Members!$A$2:$B$101,2,FALSE)),"")</f>
        <v/>
      </c>
      <c r="E102" s="9" t="n"/>
      <c r="F102" s="13">
        <f>IF(ISBLANK(E102),"",E102+Settings!$B$7)</f>
        <v/>
      </c>
      <c r="G102" s="9" t="n"/>
      <c r="H102" s="15">
        <f>IF(ISBLANK(B102),"",IF(NOT(ISBLANK(G102)),"Returned",IF(TODAY()&gt;F102,"Overdue","Active")))</f>
        <v/>
      </c>
      <c r="I102" s="9" t="n"/>
    </row>
    <row r="103">
      <c r="A103" s="13">
        <f>IF(ISBLANK(B103),"",ROW()-1)</f>
        <v/>
      </c>
      <c r="B103" s="9" t="n"/>
      <c r="C103" s="9" t="n"/>
      <c r="D103" s="15">
        <f>IFERROR(IF(ISBLANK(C103),"",VLOOKUP(C103,Members!$A$2:$B$101,2,FALSE)),"")</f>
        <v/>
      </c>
      <c r="E103" s="9" t="n"/>
      <c r="F103" s="13">
        <f>IF(ISBLANK(E103),"",E103+Settings!$B$7)</f>
        <v/>
      </c>
      <c r="G103" s="9" t="n"/>
      <c r="H103" s="15">
        <f>IF(ISBLANK(B103),"",IF(NOT(ISBLANK(G103)),"Returned",IF(TODAY()&gt;F103,"Overdue","Active")))</f>
        <v/>
      </c>
      <c r="I103" s="9" t="n"/>
    </row>
    <row r="104">
      <c r="A104" s="13">
        <f>IF(ISBLANK(B104),"",ROW()-1)</f>
        <v/>
      </c>
      <c r="B104" s="9" t="n"/>
      <c r="C104" s="9" t="n"/>
      <c r="D104" s="15">
        <f>IFERROR(IF(ISBLANK(C104),"",VLOOKUP(C104,Members!$A$2:$B$101,2,FALSE)),"")</f>
        <v/>
      </c>
      <c r="E104" s="9" t="n"/>
      <c r="F104" s="13">
        <f>IF(ISBLANK(E104),"",E104+Settings!$B$7)</f>
        <v/>
      </c>
      <c r="G104" s="9" t="n"/>
      <c r="H104" s="15">
        <f>IF(ISBLANK(B104),"",IF(NOT(ISBLANK(G104)),"Returned",IF(TODAY()&gt;F104,"Overdue","Active")))</f>
        <v/>
      </c>
      <c r="I104" s="9" t="n"/>
    </row>
    <row r="105">
      <c r="A105" s="13">
        <f>IF(ISBLANK(B105),"",ROW()-1)</f>
        <v/>
      </c>
      <c r="B105" s="9" t="n"/>
      <c r="C105" s="9" t="n"/>
      <c r="D105" s="15">
        <f>IFERROR(IF(ISBLANK(C105),"",VLOOKUP(C105,Members!$A$2:$B$101,2,FALSE)),"")</f>
        <v/>
      </c>
      <c r="E105" s="9" t="n"/>
      <c r="F105" s="13">
        <f>IF(ISBLANK(E105),"",E105+Settings!$B$7)</f>
        <v/>
      </c>
      <c r="G105" s="9" t="n"/>
      <c r="H105" s="15">
        <f>IF(ISBLANK(B105),"",IF(NOT(ISBLANK(G105)),"Returned",IF(TODAY()&gt;F105,"Overdue","Active")))</f>
        <v/>
      </c>
      <c r="I105" s="9" t="n"/>
    </row>
    <row r="106">
      <c r="A106" s="13">
        <f>IF(ISBLANK(B106),"",ROW()-1)</f>
        <v/>
      </c>
      <c r="B106" s="9" t="n"/>
      <c r="C106" s="9" t="n"/>
      <c r="D106" s="15">
        <f>IFERROR(IF(ISBLANK(C106),"",VLOOKUP(C106,Members!$A$2:$B$101,2,FALSE)),"")</f>
        <v/>
      </c>
      <c r="E106" s="9" t="n"/>
      <c r="F106" s="13">
        <f>IF(ISBLANK(E106),"",E106+Settings!$B$7)</f>
        <v/>
      </c>
      <c r="G106" s="9" t="n"/>
      <c r="H106" s="15">
        <f>IF(ISBLANK(B106),"",IF(NOT(ISBLANK(G106)),"Returned",IF(TODAY()&gt;F106,"Overdue","Active")))</f>
        <v/>
      </c>
      <c r="I106" s="9" t="n"/>
    </row>
    <row r="107">
      <c r="A107" s="13">
        <f>IF(ISBLANK(B107),"",ROW()-1)</f>
        <v/>
      </c>
      <c r="B107" s="9" t="n"/>
      <c r="C107" s="9" t="n"/>
      <c r="D107" s="15">
        <f>IFERROR(IF(ISBLANK(C107),"",VLOOKUP(C107,Members!$A$2:$B$101,2,FALSE)),"")</f>
        <v/>
      </c>
      <c r="E107" s="9" t="n"/>
      <c r="F107" s="13">
        <f>IF(ISBLANK(E107),"",E107+Settings!$B$7)</f>
        <v/>
      </c>
      <c r="G107" s="9" t="n"/>
      <c r="H107" s="15">
        <f>IF(ISBLANK(B107),"",IF(NOT(ISBLANK(G107)),"Returned",IF(TODAY()&gt;F107,"Overdue","Active")))</f>
        <v/>
      </c>
      <c r="I107" s="9" t="n"/>
    </row>
    <row r="108">
      <c r="A108" s="13">
        <f>IF(ISBLANK(B108),"",ROW()-1)</f>
        <v/>
      </c>
      <c r="B108" s="9" t="n"/>
      <c r="C108" s="9" t="n"/>
      <c r="D108" s="15">
        <f>IFERROR(IF(ISBLANK(C108),"",VLOOKUP(C108,Members!$A$2:$B$101,2,FALSE)),"")</f>
        <v/>
      </c>
      <c r="E108" s="9" t="n"/>
      <c r="F108" s="13">
        <f>IF(ISBLANK(E108),"",E108+Settings!$B$7)</f>
        <v/>
      </c>
      <c r="G108" s="9" t="n"/>
      <c r="H108" s="15">
        <f>IF(ISBLANK(B108),"",IF(NOT(ISBLANK(G108)),"Returned",IF(TODAY()&gt;F108,"Overdue","Active")))</f>
        <v/>
      </c>
      <c r="I108" s="9" t="n"/>
    </row>
    <row r="109">
      <c r="A109" s="13">
        <f>IF(ISBLANK(B109),"",ROW()-1)</f>
        <v/>
      </c>
      <c r="B109" s="9" t="n"/>
      <c r="C109" s="9" t="n"/>
      <c r="D109" s="15">
        <f>IFERROR(IF(ISBLANK(C109),"",VLOOKUP(C109,Members!$A$2:$B$101,2,FALSE)),"")</f>
        <v/>
      </c>
      <c r="E109" s="9" t="n"/>
      <c r="F109" s="13">
        <f>IF(ISBLANK(E109),"",E109+Settings!$B$7)</f>
        <v/>
      </c>
      <c r="G109" s="9" t="n"/>
      <c r="H109" s="15">
        <f>IF(ISBLANK(B109),"",IF(NOT(ISBLANK(G109)),"Returned",IF(TODAY()&gt;F109,"Overdue","Active")))</f>
        <v/>
      </c>
      <c r="I109" s="9" t="n"/>
    </row>
    <row r="110">
      <c r="A110" s="13">
        <f>IF(ISBLANK(B110),"",ROW()-1)</f>
        <v/>
      </c>
      <c r="B110" s="9" t="n"/>
      <c r="C110" s="9" t="n"/>
      <c r="D110" s="15">
        <f>IFERROR(IF(ISBLANK(C110),"",VLOOKUP(C110,Members!$A$2:$B$101,2,FALSE)),"")</f>
        <v/>
      </c>
      <c r="E110" s="9" t="n"/>
      <c r="F110" s="13">
        <f>IF(ISBLANK(E110),"",E110+Settings!$B$7)</f>
        <v/>
      </c>
      <c r="G110" s="9" t="n"/>
      <c r="H110" s="15">
        <f>IF(ISBLANK(B110),"",IF(NOT(ISBLANK(G110)),"Returned",IF(TODAY()&gt;F110,"Overdue","Active")))</f>
        <v/>
      </c>
      <c r="I110" s="9" t="n"/>
    </row>
    <row r="111">
      <c r="A111" s="13">
        <f>IF(ISBLANK(B111),"",ROW()-1)</f>
        <v/>
      </c>
      <c r="B111" s="9" t="n"/>
      <c r="C111" s="9" t="n"/>
      <c r="D111" s="15">
        <f>IFERROR(IF(ISBLANK(C111),"",VLOOKUP(C111,Members!$A$2:$B$101,2,FALSE)),"")</f>
        <v/>
      </c>
      <c r="E111" s="9" t="n"/>
      <c r="F111" s="13">
        <f>IF(ISBLANK(E111),"",E111+Settings!$B$7)</f>
        <v/>
      </c>
      <c r="G111" s="9" t="n"/>
      <c r="H111" s="15">
        <f>IF(ISBLANK(B111),"",IF(NOT(ISBLANK(G111)),"Returned",IF(TODAY()&gt;F111,"Overdue","Active")))</f>
        <v/>
      </c>
      <c r="I111" s="9" t="n"/>
    </row>
    <row r="112">
      <c r="A112" s="13">
        <f>IF(ISBLANK(B112),"",ROW()-1)</f>
        <v/>
      </c>
      <c r="B112" s="9" t="n"/>
      <c r="C112" s="9" t="n"/>
      <c r="D112" s="15">
        <f>IFERROR(IF(ISBLANK(C112),"",VLOOKUP(C112,Members!$A$2:$B$101,2,FALSE)),"")</f>
        <v/>
      </c>
      <c r="E112" s="9" t="n"/>
      <c r="F112" s="13">
        <f>IF(ISBLANK(E112),"",E112+Settings!$B$7)</f>
        <v/>
      </c>
      <c r="G112" s="9" t="n"/>
      <c r="H112" s="15">
        <f>IF(ISBLANK(B112),"",IF(NOT(ISBLANK(G112)),"Returned",IF(TODAY()&gt;F112,"Overdue","Active")))</f>
        <v/>
      </c>
      <c r="I112" s="9" t="n"/>
    </row>
    <row r="113">
      <c r="A113" s="13">
        <f>IF(ISBLANK(B113),"",ROW()-1)</f>
        <v/>
      </c>
      <c r="B113" s="9" t="n"/>
      <c r="C113" s="9" t="n"/>
      <c r="D113" s="15">
        <f>IFERROR(IF(ISBLANK(C113),"",VLOOKUP(C113,Members!$A$2:$B$101,2,FALSE)),"")</f>
        <v/>
      </c>
      <c r="E113" s="9" t="n"/>
      <c r="F113" s="13">
        <f>IF(ISBLANK(E113),"",E113+Settings!$B$7)</f>
        <v/>
      </c>
      <c r="G113" s="9" t="n"/>
      <c r="H113" s="15">
        <f>IF(ISBLANK(B113),"",IF(NOT(ISBLANK(G113)),"Returned",IF(TODAY()&gt;F113,"Overdue","Active")))</f>
        <v/>
      </c>
      <c r="I113" s="9" t="n"/>
    </row>
    <row r="114">
      <c r="A114" s="13">
        <f>IF(ISBLANK(B114),"",ROW()-1)</f>
        <v/>
      </c>
      <c r="B114" s="9" t="n"/>
      <c r="C114" s="9" t="n"/>
      <c r="D114" s="15">
        <f>IFERROR(IF(ISBLANK(C114),"",VLOOKUP(C114,Members!$A$2:$B$101,2,FALSE)),"")</f>
        <v/>
      </c>
      <c r="E114" s="9" t="n"/>
      <c r="F114" s="13">
        <f>IF(ISBLANK(E114),"",E114+Settings!$B$7)</f>
        <v/>
      </c>
      <c r="G114" s="9" t="n"/>
      <c r="H114" s="15">
        <f>IF(ISBLANK(B114),"",IF(NOT(ISBLANK(G114)),"Returned",IF(TODAY()&gt;F114,"Overdue","Active")))</f>
        <v/>
      </c>
      <c r="I114" s="9" t="n"/>
    </row>
    <row r="115">
      <c r="A115" s="13">
        <f>IF(ISBLANK(B115),"",ROW()-1)</f>
        <v/>
      </c>
      <c r="B115" s="9" t="n"/>
      <c r="C115" s="9" t="n"/>
      <c r="D115" s="15">
        <f>IFERROR(IF(ISBLANK(C115),"",VLOOKUP(C115,Members!$A$2:$B$101,2,FALSE)),"")</f>
        <v/>
      </c>
      <c r="E115" s="9" t="n"/>
      <c r="F115" s="13">
        <f>IF(ISBLANK(E115),"",E115+Settings!$B$7)</f>
        <v/>
      </c>
      <c r="G115" s="9" t="n"/>
      <c r="H115" s="15">
        <f>IF(ISBLANK(B115),"",IF(NOT(ISBLANK(G115)),"Returned",IF(TODAY()&gt;F115,"Overdue","Active")))</f>
        <v/>
      </c>
      <c r="I115" s="9" t="n"/>
    </row>
    <row r="116">
      <c r="A116" s="13">
        <f>IF(ISBLANK(B116),"",ROW()-1)</f>
        <v/>
      </c>
      <c r="B116" s="9" t="n"/>
      <c r="C116" s="9" t="n"/>
      <c r="D116" s="15">
        <f>IFERROR(IF(ISBLANK(C116),"",VLOOKUP(C116,Members!$A$2:$B$101,2,FALSE)),"")</f>
        <v/>
      </c>
      <c r="E116" s="9" t="n"/>
      <c r="F116" s="13">
        <f>IF(ISBLANK(E116),"",E116+Settings!$B$7)</f>
        <v/>
      </c>
      <c r="G116" s="9" t="n"/>
      <c r="H116" s="15">
        <f>IF(ISBLANK(B116),"",IF(NOT(ISBLANK(G116)),"Returned",IF(TODAY()&gt;F116,"Overdue","Active")))</f>
        <v/>
      </c>
      <c r="I116" s="9" t="n"/>
    </row>
    <row r="117">
      <c r="A117" s="13">
        <f>IF(ISBLANK(B117),"",ROW()-1)</f>
        <v/>
      </c>
      <c r="B117" s="9" t="n"/>
      <c r="C117" s="9" t="n"/>
      <c r="D117" s="15">
        <f>IFERROR(IF(ISBLANK(C117),"",VLOOKUP(C117,Members!$A$2:$B$101,2,FALSE)),"")</f>
        <v/>
      </c>
      <c r="E117" s="9" t="n"/>
      <c r="F117" s="13">
        <f>IF(ISBLANK(E117),"",E117+Settings!$B$7)</f>
        <v/>
      </c>
      <c r="G117" s="9" t="n"/>
      <c r="H117" s="15">
        <f>IF(ISBLANK(B117),"",IF(NOT(ISBLANK(G117)),"Returned",IF(TODAY()&gt;F117,"Overdue","Active")))</f>
        <v/>
      </c>
      <c r="I117" s="9" t="n"/>
    </row>
    <row r="118">
      <c r="A118" s="13">
        <f>IF(ISBLANK(B118),"",ROW()-1)</f>
        <v/>
      </c>
      <c r="B118" s="9" t="n"/>
      <c r="C118" s="9" t="n"/>
      <c r="D118" s="15">
        <f>IFERROR(IF(ISBLANK(C118),"",VLOOKUP(C118,Members!$A$2:$B$101,2,FALSE)),"")</f>
        <v/>
      </c>
      <c r="E118" s="9" t="n"/>
      <c r="F118" s="13">
        <f>IF(ISBLANK(E118),"",E118+Settings!$B$7)</f>
        <v/>
      </c>
      <c r="G118" s="9" t="n"/>
      <c r="H118" s="15">
        <f>IF(ISBLANK(B118),"",IF(NOT(ISBLANK(G118)),"Returned",IF(TODAY()&gt;F118,"Overdue","Active")))</f>
        <v/>
      </c>
      <c r="I118" s="9" t="n"/>
    </row>
    <row r="119">
      <c r="A119" s="13">
        <f>IF(ISBLANK(B119),"",ROW()-1)</f>
        <v/>
      </c>
      <c r="B119" s="9" t="n"/>
      <c r="C119" s="9" t="n"/>
      <c r="D119" s="15">
        <f>IFERROR(IF(ISBLANK(C119),"",VLOOKUP(C119,Members!$A$2:$B$101,2,FALSE)),"")</f>
        <v/>
      </c>
      <c r="E119" s="9" t="n"/>
      <c r="F119" s="13">
        <f>IF(ISBLANK(E119),"",E119+Settings!$B$7)</f>
        <v/>
      </c>
      <c r="G119" s="9" t="n"/>
      <c r="H119" s="15">
        <f>IF(ISBLANK(B119),"",IF(NOT(ISBLANK(G119)),"Returned",IF(TODAY()&gt;F119,"Overdue","Active")))</f>
        <v/>
      </c>
      <c r="I119" s="9" t="n"/>
    </row>
    <row r="120">
      <c r="A120" s="13">
        <f>IF(ISBLANK(B120),"",ROW()-1)</f>
        <v/>
      </c>
      <c r="B120" s="9" t="n"/>
      <c r="C120" s="9" t="n"/>
      <c r="D120" s="15">
        <f>IFERROR(IF(ISBLANK(C120),"",VLOOKUP(C120,Members!$A$2:$B$101,2,FALSE)),"")</f>
        <v/>
      </c>
      <c r="E120" s="9" t="n"/>
      <c r="F120" s="13">
        <f>IF(ISBLANK(E120),"",E120+Settings!$B$7)</f>
        <v/>
      </c>
      <c r="G120" s="9" t="n"/>
      <c r="H120" s="15">
        <f>IF(ISBLANK(B120),"",IF(NOT(ISBLANK(G120)),"Returned",IF(TODAY()&gt;F120,"Overdue","Active")))</f>
        <v/>
      </c>
      <c r="I120" s="9" t="n"/>
    </row>
    <row r="121">
      <c r="A121" s="13">
        <f>IF(ISBLANK(B121),"",ROW()-1)</f>
        <v/>
      </c>
      <c r="B121" s="9" t="n"/>
      <c r="C121" s="9" t="n"/>
      <c r="D121" s="15">
        <f>IFERROR(IF(ISBLANK(C121),"",VLOOKUP(C121,Members!$A$2:$B$101,2,FALSE)),"")</f>
        <v/>
      </c>
      <c r="E121" s="9" t="n"/>
      <c r="F121" s="13">
        <f>IF(ISBLANK(E121),"",E121+Settings!$B$7)</f>
        <v/>
      </c>
      <c r="G121" s="9" t="n"/>
      <c r="H121" s="15">
        <f>IF(ISBLANK(B121),"",IF(NOT(ISBLANK(G121)),"Returned",IF(TODAY()&gt;F121,"Overdue","Active")))</f>
        <v/>
      </c>
      <c r="I121" s="9" t="n"/>
    </row>
    <row r="122">
      <c r="A122" s="13">
        <f>IF(ISBLANK(B122),"",ROW()-1)</f>
        <v/>
      </c>
      <c r="B122" s="9" t="n"/>
      <c r="C122" s="9" t="n"/>
      <c r="D122" s="15">
        <f>IFERROR(IF(ISBLANK(C122),"",VLOOKUP(C122,Members!$A$2:$B$101,2,FALSE)),"")</f>
        <v/>
      </c>
      <c r="E122" s="9" t="n"/>
      <c r="F122" s="13">
        <f>IF(ISBLANK(E122),"",E122+Settings!$B$7)</f>
        <v/>
      </c>
      <c r="G122" s="9" t="n"/>
      <c r="H122" s="15">
        <f>IF(ISBLANK(B122),"",IF(NOT(ISBLANK(G122)),"Returned",IF(TODAY()&gt;F122,"Overdue","Active")))</f>
        <v/>
      </c>
      <c r="I122" s="9" t="n"/>
    </row>
    <row r="123">
      <c r="A123" s="13">
        <f>IF(ISBLANK(B123),"",ROW()-1)</f>
        <v/>
      </c>
      <c r="B123" s="9" t="n"/>
      <c r="C123" s="9" t="n"/>
      <c r="D123" s="15">
        <f>IFERROR(IF(ISBLANK(C123),"",VLOOKUP(C123,Members!$A$2:$B$101,2,FALSE)),"")</f>
        <v/>
      </c>
      <c r="E123" s="9" t="n"/>
      <c r="F123" s="13">
        <f>IF(ISBLANK(E123),"",E123+Settings!$B$7)</f>
        <v/>
      </c>
      <c r="G123" s="9" t="n"/>
      <c r="H123" s="15">
        <f>IF(ISBLANK(B123),"",IF(NOT(ISBLANK(G123)),"Returned",IF(TODAY()&gt;F123,"Overdue","Active")))</f>
        <v/>
      </c>
      <c r="I123" s="9" t="n"/>
    </row>
    <row r="124">
      <c r="A124" s="13">
        <f>IF(ISBLANK(B124),"",ROW()-1)</f>
        <v/>
      </c>
      <c r="B124" s="9" t="n"/>
      <c r="C124" s="9" t="n"/>
      <c r="D124" s="15">
        <f>IFERROR(IF(ISBLANK(C124),"",VLOOKUP(C124,Members!$A$2:$B$101,2,FALSE)),"")</f>
        <v/>
      </c>
      <c r="E124" s="9" t="n"/>
      <c r="F124" s="13">
        <f>IF(ISBLANK(E124),"",E124+Settings!$B$7)</f>
        <v/>
      </c>
      <c r="G124" s="9" t="n"/>
      <c r="H124" s="15">
        <f>IF(ISBLANK(B124),"",IF(NOT(ISBLANK(G124)),"Returned",IF(TODAY()&gt;F124,"Overdue","Active")))</f>
        <v/>
      </c>
      <c r="I124" s="9" t="n"/>
    </row>
    <row r="125">
      <c r="A125" s="13">
        <f>IF(ISBLANK(B125),"",ROW()-1)</f>
        <v/>
      </c>
      <c r="B125" s="9" t="n"/>
      <c r="C125" s="9" t="n"/>
      <c r="D125" s="15">
        <f>IFERROR(IF(ISBLANK(C125),"",VLOOKUP(C125,Members!$A$2:$B$101,2,FALSE)),"")</f>
        <v/>
      </c>
      <c r="E125" s="9" t="n"/>
      <c r="F125" s="13">
        <f>IF(ISBLANK(E125),"",E125+Settings!$B$7)</f>
        <v/>
      </c>
      <c r="G125" s="9" t="n"/>
      <c r="H125" s="15">
        <f>IF(ISBLANK(B125),"",IF(NOT(ISBLANK(G125)),"Returned",IF(TODAY()&gt;F125,"Overdue","Active")))</f>
        <v/>
      </c>
      <c r="I125" s="9" t="n"/>
    </row>
    <row r="126">
      <c r="A126" s="13">
        <f>IF(ISBLANK(B126),"",ROW()-1)</f>
        <v/>
      </c>
      <c r="B126" s="9" t="n"/>
      <c r="C126" s="9" t="n"/>
      <c r="D126" s="15">
        <f>IFERROR(IF(ISBLANK(C126),"",VLOOKUP(C126,Members!$A$2:$B$101,2,FALSE)),"")</f>
        <v/>
      </c>
      <c r="E126" s="9" t="n"/>
      <c r="F126" s="13">
        <f>IF(ISBLANK(E126),"",E126+Settings!$B$7)</f>
        <v/>
      </c>
      <c r="G126" s="9" t="n"/>
      <c r="H126" s="15">
        <f>IF(ISBLANK(B126),"",IF(NOT(ISBLANK(G126)),"Returned",IF(TODAY()&gt;F126,"Overdue","Active")))</f>
        <v/>
      </c>
      <c r="I126" s="9" t="n"/>
    </row>
    <row r="127">
      <c r="A127" s="13">
        <f>IF(ISBLANK(B127),"",ROW()-1)</f>
        <v/>
      </c>
      <c r="B127" s="9" t="n"/>
      <c r="C127" s="9" t="n"/>
      <c r="D127" s="15">
        <f>IFERROR(IF(ISBLANK(C127),"",VLOOKUP(C127,Members!$A$2:$B$101,2,FALSE)),"")</f>
        <v/>
      </c>
      <c r="E127" s="9" t="n"/>
      <c r="F127" s="13">
        <f>IF(ISBLANK(E127),"",E127+Settings!$B$7)</f>
        <v/>
      </c>
      <c r="G127" s="9" t="n"/>
      <c r="H127" s="15">
        <f>IF(ISBLANK(B127),"",IF(NOT(ISBLANK(G127)),"Returned",IF(TODAY()&gt;F127,"Overdue","Active")))</f>
        <v/>
      </c>
      <c r="I127" s="9" t="n"/>
    </row>
    <row r="128">
      <c r="A128" s="13">
        <f>IF(ISBLANK(B128),"",ROW()-1)</f>
        <v/>
      </c>
      <c r="B128" s="9" t="n"/>
      <c r="C128" s="9" t="n"/>
      <c r="D128" s="15">
        <f>IFERROR(IF(ISBLANK(C128),"",VLOOKUP(C128,Members!$A$2:$B$101,2,FALSE)),"")</f>
        <v/>
      </c>
      <c r="E128" s="9" t="n"/>
      <c r="F128" s="13">
        <f>IF(ISBLANK(E128),"",E128+Settings!$B$7)</f>
        <v/>
      </c>
      <c r="G128" s="9" t="n"/>
      <c r="H128" s="15">
        <f>IF(ISBLANK(B128),"",IF(NOT(ISBLANK(G128)),"Returned",IF(TODAY()&gt;F128,"Overdue","Active")))</f>
        <v/>
      </c>
      <c r="I128" s="9" t="n"/>
    </row>
    <row r="129">
      <c r="A129" s="13">
        <f>IF(ISBLANK(B129),"",ROW()-1)</f>
        <v/>
      </c>
      <c r="B129" s="9" t="n"/>
      <c r="C129" s="9" t="n"/>
      <c r="D129" s="15">
        <f>IFERROR(IF(ISBLANK(C129),"",VLOOKUP(C129,Members!$A$2:$B$101,2,FALSE)),"")</f>
        <v/>
      </c>
      <c r="E129" s="9" t="n"/>
      <c r="F129" s="13">
        <f>IF(ISBLANK(E129),"",E129+Settings!$B$7)</f>
        <v/>
      </c>
      <c r="G129" s="9" t="n"/>
      <c r="H129" s="15">
        <f>IF(ISBLANK(B129),"",IF(NOT(ISBLANK(G129)),"Returned",IF(TODAY()&gt;F129,"Overdue","Active")))</f>
        <v/>
      </c>
      <c r="I129" s="9" t="n"/>
    </row>
    <row r="130">
      <c r="A130" s="13">
        <f>IF(ISBLANK(B130),"",ROW()-1)</f>
        <v/>
      </c>
      <c r="B130" s="9" t="n"/>
      <c r="C130" s="9" t="n"/>
      <c r="D130" s="15">
        <f>IFERROR(IF(ISBLANK(C130),"",VLOOKUP(C130,Members!$A$2:$B$101,2,FALSE)),"")</f>
        <v/>
      </c>
      <c r="E130" s="9" t="n"/>
      <c r="F130" s="13">
        <f>IF(ISBLANK(E130),"",E130+Settings!$B$7)</f>
        <v/>
      </c>
      <c r="G130" s="9" t="n"/>
      <c r="H130" s="15">
        <f>IF(ISBLANK(B130),"",IF(NOT(ISBLANK(G130)),"Returned",IF(TODAY()&gt;F130,"Overdue","Active")))</f>
        <v/>
      </c>
      <c r="I130" s="9" t="n"/>
    </row>
    <row r="131">
      <c r="A131" s="13">
        <f>IF(ISBLANK(B131),"",ROW()-1)</f>
        <v/>
      </c>
      <c r="B131" s="9" t="n"/>
      <c r="C131" s="9" t="n"/>
      <c r="D131" s="15">
        <f>IFERROR(IF(ISBLANK(C131),"",VLOOKUP(C131,Members!$A$2:$B$101,2,FALSE)),"")</f>
        <v/>
      </c>
      <c r="E131" s="9" t="n"/>
      <c r="F131" s="13">
        <f>IF(ISBLANK(E131),"",E131+Settings!$B$7)</f>
        <v/>
      </c>
      <c r="G131" s="9" t="n"/>
      <c r="H131" s="15">
        <f>IF(ISBLANK(B131),"",IF(NOT(ISBLANK(G131)),"Returned",IF(TODAY()&gt;F131,"Overdue","Active")))</f>
        <v/>
      </c>
      <c r="I131" s="9" t="n"/>
    </row>
    <row r="132">
      <c r="A132" s="13">
        <f>IF(ISBLANK(B132),"",ROW()-1)</f>
        <v/>
      </c>
      <c r="B132" s="9" t="n"/>
      <c r="C132" s="9" t="n"/>
      <c r="D132" s="15">
        <f>IFERROR(IF(ISBLANK(C132),"",VLOOKUP(C132,Members!$A$2:$B$101,2,FALSE)),"")</f>
        <v/>
      </c>
      <c r="E132" s="9" t="n"/>
      <c r="F132" s="13">
        <f>IF(ISBLANK(E132),"",E132+Settings!$B$7)</f>
        <v/>
      </c>
      <c r="G132" s="9" t="n"/>
      <c r="H132" s="15">
        <f>IF(ISBLANK(B132),"",IF(NOT(ISBLANK(G132)),"Returned",IF(TODAY()&gt;F132,"Overdue","Active")))</f>
        <v/>
      </c>
      <c r="I132" s="9" t="n"/>
    </row>
    <row r="133">
      <c r="A133" s="13">
        <f>IF(ISBLANK(B133),"",ROW()-1)</f>
        <v/>
      </c>
      <c r="B133" s="9" t="n"/>
      <c r="C133" s="9" t="n"/>
      <c r="D133" s="15">
        <f>IFERROR(IF(ISBLANK(C133),"",VLOOKUP(C133,Members!$A$2:$B$101,2,FALSE)),"")</f>
        <v/>
      </c>
      <c r="E133" s="9" t="n"/>
      <c r="F133" s="13">
        <f>IF(ISBLANK(E133),"",E133+Settings!$B$7)</f>
        <v/>
      </c>
      <c r="G133" s="9" t="n"/>
      <c r="H133" s="15">
        <f>IF(ISBLANK(B133),"",IF(NOT(ISBLANK(G133)),"Returned",IF(TODAY()&gt;F133,"Overdue","Active")))</f>
        <v/>
      </c>
      <c r="I133" s="9" t="n"/>
    </row>
    <row r="134">
      <c r="A134" s="13">
        <f>IF(ISBLANK(B134),"",ROW()-1)</f>
        <v/>
      </c>
      <c r="B134" s="9" t="n"/>
      <c r="C134" s="9" t="n"/>
      <c r="D134" s="15">
        <f>IFERROR(IF(ISBLANK(C134),"",VLOOKUP(C134,Members!$A$2:$B$101,2,FALSE)),"")</f>
        <v/>
      </c>
      <c r="E134" s="9" t="n"/>
      <c r="F134" s="13">
        <f>IF(ISBLANK(E134),"",E134+Settings!$B$7)</f>
        <v/>
      </c>
      <c r="G134" s="9" t="n"/>
      <c r="H134" s="15">
        <f>IF(ISBLANK(B134),"",IF(NOT(ISBLANK(G134)),"Returned",IF(TODAY()&gt;F134,"Overdue","Active")))</f>
        <v/>
      </c>
      <c r="I134" s="9" t="n"/>
    </row>
    <row r="135">
      <c r="A135" s="13">
        <f>IF(ISBLANK(B135),"",ROW()-1)</f>
        <v/>
      </c>
      <c r="B135" s="9" t="n"/>
      <c r="C135" s="9" t="n"/>
      <c r="D135" s="15">
        <f>IFERROR(IF(ISBLANK(C135),"",VLOOKUP(C135,Members!$A$2:$B$101,2,FALSE)),"")</f>
        <v/>
      </c>
      <c r="E135" s="9" t="n"/>
      <c r="F135" s="13">
        <f>IF(ISBLANK(E135),"",E135+Settings!$B$7)</f>
        <v/>
      </c>
      <c r="G135" s="9" t="n"/>
      <c r="H135" s="15">
        <f>IF(ISBLANK(B135),"",IF(NOT(ISBLANK(G135)),"Returned",IF(TODAY()&gt;F135,"Overdue","Active")))</f>
        <v/>
      </c>
      <c r="I135" s="9" t="n"/>
    </row>
    <row r="136">
      <c r="A136" s="13">
        <f>IF(ISBLANK(B136),"",ROW()-1)</f>
        <v/>
      </c>
      <c r="B136" s="9" t="n"/>
      <c r="C136" s="9" t="n"/>
      <c r="D136" s="15">
        <f>IFERROR(IF(ISBLANK(C136),"",VLOOKUP(C136,Members!$A$2:$B$101,2,FALSE)),"")</f>
        <v/>
      </c>
      <c r="E136" s="9" t="n"/>
      <c r="F136" s="13">
        <f>IF(ISBLANK(E136),"",E136+Settings!$B$7)</f>
        <v/>
      </c>
      <c r="G136" s="9" t="n"/>
      <c r="H136" s="15">
        <f>IF(ISBLANK(B136),"",IF(NOT(ISBLANK(G136)),"Returned",IF(TODAY()&gt;F136,"Overdue","Active")))</f>
        <v/>
      </c>
      <c r="I136" s="9" t="n"/>
    </row>
    <row r="137">
      <c r="A137" s="13">
        <f>IF(ISBLANK(B137),"",ROW()-1)</f>
        <v/>
      </c>
      <c r="B137" s="9" t="n"/>
      <c r="C137" s="9" t="n"/>
      <c r="D137" s="15">
        <f>IFERROR(IF(ISBLANK(C137),"",VLOOKUP(C137,Members!$A$2:$B$101,2,FALSE)),"")</f>
        <v/>
      </c>
      <c r="E137" s="9" t="n"/>
      <c r="F137" s="13">
        <f>IF(ISBLANK(E137),"",E137+Settings!$B$7)</f>
        <v/>
      </c>
      <c r="G137" s="9" t="n"/>
      <c r="H137" s="15">
        <f>IF(ISBLANK(B137),"",IF(NOT(ISBLANK(G137)),"Returned",IF(TODAY()&gt;F137,"Overdue","Active")))</f>
        <v/>
      </c>
      <c r="I137" s="9" t="n"/>
    </row>
    <row r="138">
      <c r="A138" s="13">
        <f>IF(ISBLANK(B138),"",ROW()-1)</f>
        <v/>
      </c>
      <c r="B138" s="9" t="n"/>
      <c r="C138" s="9" t="n"/>
      <c r="D138" s="15">
        <f>IFERROR(IF(ISBLANK(C138),"",VLOOKUP(C138,Members!$A$2:$B$101,2,FALSE)),"")</f>
        <v/>
      </c>
      <c r="E138" s="9" t="n"/>
      <c r="F138" s="13">
        <f>IF(ISBLANK(E138),"",E138+Settings!$B$7)</f>
        <v/>
      </c>
      <c r="G138" s="9" t="n"/>
      <c r="H138" s="15">
        <f>IF(ISBLANK(B138),"",IF(NOT(ISBLANK(G138)),"Returned",IF(TODAY()&gt;F138,"Overdue","Active")))</f>
        <v/>
      </c>
      <c r="I138" s="9" t="n"/>
    </row>
    <row r="139">
      <c r="A139" s="13">
        <f>IF(ISBLANK(B139),"",ROW()-1)</f>
        <v/>
      </c>
      <c r="B139" s="9" t="n"/>
      <c r="C139" s="9" t="n"/>
      <c r="D139" s="15">
        <f>IFERROR(IF(ISBLANK(C139),"",VLOOKUP(C139,Members!$A$2:$B$101,2,FALSE)),"")</f>
        <v/>
      </c>
      <c r="E139" s="9" t="n"/>
      <c r="F139" s="13">
        <f>IF(ISBLANK(E139),"",E139+Settings!$B$7)</f>
        <v/>
      </c>
      <c r="G139" s="9" t="n"/>
      <c r="H139" s="15">
        <f>IF(ISBLANK(B139),"",IF(NOT(ISBLANK(G139)),"Returned",IF(TODAY()&gt;F139,"Overdue","Active")))</f>
        <v/>
      </c>
      <c r="I139" s="9" t="n"/>
    </row>
    <row r="140">
      <c r="A140" s="13">
        <f>IF(ISBLANK(B140),"",ROW()-1)</f>
        <v/>
      </c>
      <c r="B140" s="9" t="n"/>
      <c r="C140" s="9" t="n"/>
      <c r="D140" s="15">
        <f>IFERROR(IF(ISBLANK(C140),"",VLOOKUP(C140,Members!$A$2:$B$101,2,FALSE)),"")</f>
        <v/>
      </c>
      <c r="E140" s="9" t="n"/>
      <c r="F140" s="13">
        <f>IF(ISBLANK(E140),"",E140+Settings!$B$7)</f>
        <v/>
      </c>
      <c r="G140" s="9" t="n"/>
      <c r="H140" s="15">
        <f>IF(ISBLANK(B140),"",IF(NOT(ISBLANK(G140)),"Returned",IF(TODAY()&gt;F140,"Overdue","Active")))</f>
        <v/>
      </c>
      <c r="I140" s="9" t="n"/>
    </row>
    <row r="141">
      <c r="A141" s="13">
        <f>IF(ISBLANK(B141),"",ROW()-1)</f>
        <v/>
      </c>
      <c r="B141" s="9" t="n"/>
      <c r="C141" s="9" t="n"/>
      <c r="D141" s="15">
        <f>IFERROR(IF(ISBLANK(C141),"",VLOOKUP(C141,Members!$A$2:$B$101,2,FALSE)),"")</f>
        <v/>
      </c>
      <c r="E141" s="9" t="n"/>
      <c r="F141" s="13">
        <f>IF(ISBLANK(E141),"",E141+Settings!$B$7)</f>
        <v/>
      </c>
      <c r="G141" s="9" t="n"/>
      <c r="H141" s="15">
        <f>IF(ISBLANK(B141),"",IF(NOT(ISBLANK(G141)),"Returned",IF(TODAY()&gt;F141,"Overdue","Active")))</f>
        <v/>
      </c>
      <c r="I141" s="9" t="n"/>
    </row>
    <row r="142">
      <c r="A142" s="13">
        <f>IF(ISBLANK(B142),"",ROW()-1)</f>
        <v/>
      </c>
      <c r="B142" s="9" t="n"/>
      <c r="C142" s="9" t="n"/>
      <c r="D142" s="15">
        <f>IFERROR(IF(ISBLANK(C142),"",VLOOKUP(C142,Members!$A$2:$B$101,2,FALSE)),"")</f>
        <v/>
      </c>
      <c r="E142" s="9" t="n"/>
      <c r="F142" s="13">
        <f>IF(ISBLANK(E142),"",E142+Settings!$B$7)</f>
        <v/>
      </c>
      <c r="G142" s="9" t="n"/>
      <c r="H142" s="15">
        <f>IF(ISBLANK(B142),"",IF(NOT(ISBLANK(G142)),"Returned",IF(TODAY()&gt;F142,"Overdue","Active")))</f>
        <v/>
      </c>
      <c r="I142" s="9" t="n"/>
    </row>
    <row r="143">
      <c r="A143" s="13">
        <f>IF(ISBLANK(B143),"",ROW()-1)</f>
        <v/>
      </c>
      <c r="B143" s="9" t="n"/>
      <c r="C143" s="9" t="n"/>
      <c r="D143" s="15">
        <f>IFERROR(IF(ISBLANK(C143),"",VLOOKUP(C143,Members!$A$2:$B$101,2,FALSE)),"")</f>
        <v/>
      </c>
      <c r="E143" s="9" t="n"/>
      <c r="F143" s="13">
        <f>IF(ISBLANK(E143),"",E143+Settings!$B$7)</f>
        <v/>
      </c>
      <c r="G143" s="9" t="n"/>
      <c r="H143" s="15">
        <f>IF(ISBLANK(B143),"",IF(NOT(ISBLANK(G143)),"Returned",IF(TODAY()&gt;F143,"Overdue","Active")))</f>
        <v/>
      </c>
      <c r="I143" s="9" t="n"/>
    </row>
    <row r="144">
      <c r="A144" s="13">
        <f>IF(ISBLANK(B144),"",ROW()-1)</f>
        <v/>
      </c>
      <c r="B144" s="9" t="n"/>
      <c r="C144" s="9" t="n"/>
      <c r="D144" s="15">
        <f>IFERROR(IF(ISBLANK(C144),"",VLOOKUP(C144,Members!$A$2:$B$101,2,FALSE)),"")</f>
        <v/>
      </c>
      <c r="E144" s="9" t="n"/>
      <c r="F144" s="13">
        <f>IF(ISBLANK(E144),"",E144+Settings!$B$7)</f>
        <v/>
      </c>
      <c r="G144" s="9" t="n"/>
      <c r="H144" s="15">
        <f>IF(ISBLANK(B144),"",IF(NOT(ISBLANK(G144)),"Returned",IF(TODAY()&gt;F144,"Overdue","Active")))</f>
        <v/>
      </c>
      <c r="I144" s="9" t="n"/>
    </row>
    <row r="145">
      <c r="A145" s="13">
        <f>IF(ISBLANK(B145),"",ROW()-1)</f>
        <v/>
      </c>
      <c r="B145" s="9" t="n"/>
      <c r="C145" s="9" t="n"/>
      <c r="D145" s="15">
        <f>IFERROR(IF(ISBLANK(C145),"",VLOOKUP(C145,Members!$A$2:$B$101,2,FALSE)),"")</f>
        <v/>
      </c>
      <c r="E145" s="9" t="n"/>
      <c r="F145" s="13">
        <f>IF(ISBLANK(E145),"",E145+Settings!$B$7)</f>
        <v/>
      </c>
      <c r="G145" s="9" t="n"/>
      <c r="H145" s="15">
        <f>IF(ISBLANK(B145),"",IF(NOT(ISBLANK(G145)),"Returned",IF(TODAY()&gt;F145,"Overdue","Active")))</f>
        <v/>
      </c>
      <c r="I145" s="9" t="n"/>
    </row>
    <row r="146">
      <c r="A146" s="13">
        <f>IF(ISBLANK(B146),"",ROW()-1)</f>
        <v/>
      </c>
      <c r="B146" s="9" t="n"/>
      <c r="C146" s="9" t="n"/>
      <c r="D146" s="15">
        <f>IFERROR(IF(ISBLANK(C146),"",VLOOKUP(C146,Members!$A$2:$B$101,2,FALSE)),"")</f>
        <v/>
      </c>
      <c r="E146" s="9" t="n"/>
      <c r="F146" s="13">
        <f>IF(ISBLANK(E146),"",E146+Settings!$B$7)</f>
        <v/>
      </c>
      <c r="G146" s="9" t="n"/>
      <c r="H146" s="15">
        <f>IF(ISBLANK(B146),"",IF(NOT(ISBLANK(G146)),"Returned",IF(TODAY()&gt;F146,"Overdue","Active")))</f>
        <v/>
      </c>
      <c r="I146" s="9" t="n"/>
    </row>
    <row r="147">
      <c r="A147" s="13">
        <f>IF(ISBLANK(B147),"",ROW()-1)</f>
        <v/>
      </c>
      <c r="B147" s="9" t="n"/>
      <c r="C147" s="9" t="n"/>
      <c r="D147" s="15">
        <f>IFERROR(IF(ISBLANK(C147),"",VLOOKUP(C147,Members!$A$2:$B$101,2,FALSE)),"")</f>
        <v/>
      </c>
      <c r="E147" s="9" t="n"/>
      <c r="F147" s="13">
        <f>IF(ISBLANK(E147),"",E147+Settings!$B$7)</f>
        <v/>
      </c>
      <c r="G147" s="9" t="n"/>
      <c r="H147" s="15">
        <f>IF(ISBLANK(B147),"",IF(NOT(ISBLANK(G147)),"Returned",IF(TODAY()&gt;F147,"Overdue","Active")))</f>
        <v/>
      </c>
      <c r="I147" s="9" t="n"/>
    </row>
    <row r="148">
      <c r="A148" s="13">
        <f>IF(ISBLANK(B148),"",ROW()-1)</f>
        <v/>
      </c>
      <c r="B148" s="9" t="n"/>
      <c r="C148" s="9" t="n"/>
      <c r="D148" s="15">
        <f>IFERROR(IF(ISBLANK(C148),"",VLOOKUP(C148,Members!$A$2:$B$101,2,FALSE)),"")</f>
        <v/>
      </c>
      <c r="E148" s="9" t="n"/>
      <c r="F148" s="13">
        <f>IF(ISBLANK(E148),"",E148+Settings!$B$7)</f>
        <v/>
      </c>
      <c r="G148" s="9" t="n"/>
      <c r="H148" s="15">
        <f>IF(ISBLANK(B148),"",IF(NOT(ISBLANK(G148)),"Returned",IF(TODAY()&gt;F148,"Overdue","Active")))</f>
        <v/>
      </c>
      <c r="I148" s="9" t="n"/>
    </row>
    <row r="149">
      <c r="A149" s="13">
        <f>IF(ISBLANK(B149),"",ROW()-1)</f>
        <v/>
      </c>
      <c r="B149" s="9" t="n"/>
      <c r="C149" s="9" t="n"/>
      <c r="D149" s="15">
        <f>IFERROR(IF(ISBLANK(C149),"",VLOOKUP(C149,Members!$A$2:$B$101,2,FALSE)),"")</f>
        <v/>
      </c>
      <c r="E149" s="9" t="n"/>
      <c r="F149" s="13">
        <f>IF(ISBLANK(E149),"",E149+Settings!$B$7)</f>
        <v/>
      </c>
      <c r="G149" s="9" t="n"/>
      <c r="H149" s="15">
        <f>IF(ISBLANK(B149),"",IF(NOT(ISBLANK(G149)),"Returned",IF(TODAY()&gt;F149,"Overdue","Active")))</f>
        <v/>
      </c>
      <c r="I149" s="9" t="n"/>
    </row>
    <row r="150">
      <c r="A150" s="13">
        <f>IF(ISBLANK(B150),"",ROW()-1)</f>
        <v/>
      </c>
      <c r="B150" s="9" t="n"/>
      <c r="C150" s="9" t="n"/>
      <c r="D150" s="15">
        <f>IFERROR(IF(ISBLANK(C150),"",VLOOKUP(C150,Members!$A$2:$B$101,2,FALSE)),"")</f>
        <v/>
      </c>
      <c r="E150" s="9" t="n"/>
      <c r="F150" s="13">
        <f>IF(ISBLANK(E150),"",E150+Settings!$B$7)</f>
        <v/>
      </c>
      <c r="G150" s="9" t="n"/>
      <c r="H150" s="15">
        <f>IF(ISBLANK(B150),"",IF(NOT(ISBLANK(G150)),"Returned",IF(TODAY()&gt;F150,"Overdue","Active")))</f>
        <v/>
      </c>
      <c r="I150" s="9" t="n"/>
    </row>
    <row r="151">
      <c r="A151" s="13">
        <f>IF(ISBLANK(B151),"",ROW()-1)</f>
        <v/>
      </c>
      <c r="B151" s="9" t="n"/>
      <c r="C151" s="9" t="n"/>
      <c r="D151" s="15">
        <f>IFERROR(IF(ISBLANK(C151),"",VLOOKUP(C151,Members!$A$2:$B$101,2,FALSE)),"")</f>
        <v/>
      </c>
      <c r="E151" s="9" t="n"/>
      <c r="F151" s="13">
        <f>IF(ISBLANK(E151),"",E151+Settings!$B$7)</f>
        <v/>
      </c>
      <c r="G151" s="9" t="n"/>
      <c r="H151" s="15">
        <f>IF(ISBLANK(B151),"",IF(NOT(ISBLANK(G151)),"Returned",IF(TODAY()&gt;F151,"Overdue","Active")))</f>
        <v/>
      </c>
      <c r="I151" s="9" t="n"/>
    </row>
    <row r="152">
      <c r="A152" s="13">
        <f>IF(ISBLANK(B152),"",ROW()-1)</f>
        <v/>
      </c>
      <c r="B152" s="9" t="n"/>
      <c r="C152" s="9" t="n"/>
      <c r="D152" s="15">
        <f>IFERROR(IF(ISBLANK(C152),"",VLOOKUP(C152,Members!$A$2:$B$101,2,FALSE)),"")</f>
        <v/>
      </c>
      <c r="E152" s="9" t="n"/>
      <c r="F152" s="13">
        <f>IF(ISBLANK(E152),"",E152+Settings!$B$7)</f>
        <v/>
      </c>
      <c r="G152" s="9" t="n"/>
      <c r="H152" s="15">
        <f>IF(ISBLANK(B152),"",IF(NOT(ISBLANK(G152)),"Returned",IF(TODAY()&gt;F152,"Overdue","Active")))</f>
        <v/>
      </c>
      <c r="I152" s="9" t="n"/>
    </row>
    <row r="153">
      <c r="A153" s="13">
        <f>IF(ISBLANK(B153),"",ROW()-1)</f>
        <v/>
      </c>
      <c r="B153" s="9" t="n"/>
      <c r="C153" s="9" t="n"/>
      <c r="D153" s="15">
        <f>IFERROR(IF(ISBLANK(C153),"",VLOOKUP(C153,Members!$A$2:$B$101,2,FALSE)),"")</f>
        <v/>
      </c>
      <c r="E153" s="9" t="n"/>
      <c r="F153" s="13">
        <f>IF(ISBLANK(E153),"",E153+Settings!$B$7)</f>
        <v/>
      </c>
      <c r="G153" s="9" t="n"/>
      <c r="H153" s="15">
        <f>IF(ISBLANK(B153),"",IF(NOT(ISBLANK(G153)),"Returned",IF(TODAY()&gt;F153,"Overdue","Active")))</f>
        <v/>
      </c>
      <c r="I153" s="9" t="n"/>
    </row>
    <row r="154">
      <c r="A154" s="13">
        <f>IF(ISBLANK(B154),"",ROW()-1)</f>
        <v/>
      </c>
      <c r="B154" s="9" t="n"/>
      <c r="C154" s="9" t="n"/>
      <c r="D154" s="15">
        <f>IFERROR(IF(ISBLANK(C154),"",VLOOKUP(C154,Members!$A$2:$B$101,2,FALSE)),"")</f>
        <v/>
      </c>
      <c r="E154" s="9" t="n"/>
      <c r="F154" s="13">
        <f>IF(ISBLANK(E154),"",E154+Settings!$B$7)</f>
        <v/>
      </c>
      <c r="G154" s="9" t="n"/>
      <c r="H154" s="15">
        <f>IF(ISBLANK(B154),"",IF(NOT(ISBLANK(G154)),"Returned",IF(TODAY()&gt;F154,"Overdue","Active")))</f>
        <v/>
      </c>
      <c r="I154" s="9" t="n"/>
    </row>
    <row r="155">
      <c r="A155" s="13">
        <f>IF(ISBLANK(B155),"",ROW()-1)</f>
        <v/>
      </c>
      <c r="B155" s="9" t="n"/>
      <c r="C155" s="9" t="n"/>
      <c r="D155" s="15">
        <f>IFERROR(IF(ISBLANK(C155),"",VLOOKUP(C155,Members!$A$2:$B$101,2,FALSE)),"")</f>
        <v/>
      </c>
      <c r="E155" s="9" t="n"/>
      <c r="F155" s="13">
        <f>IF(ISBLANK(E155),"",E155+Settings!$B$7)</f>
        <v/>
      </c>
      <c r="G155" s="9" t="n"/>
      <c r="H155" s="15">
        <f>IF(ISBLANK(B155),"",IF(NOT(ISBLANK(G155)),"Returned",IF(TODAY()&gt;F155,"Overdue","Active")))</f>
        <v/>
      </c>
      <c r="I155" s="9" t="n"/>
    </row>
    <row r="156">
      <c r="A156" s="13">
        <f>IF(ISBLANK(B156),"",ROW()-1)</f>
        <v/>
      </c>
      <c r="B156" s="9" t="n"/>
      <c r="C156" s="9" t="n"/>
      <c r="D156" s="15">
        <f>IFERROR(IF(ISBLANK(C156),"",VLOOKUP(C156,Members!$A$2:$B$101,2,FALSE)),"")</f>
        <v/>
      </c>
      <c r="E156" s="9" t="n"/>
      <c r="F156" s="13">
        <f>IF(ISBLANK(E156),"",E156+Settings!$B$7)</f>
        <v/>
      </c>
      <c r="G156" s="9" t="n"/>
      <c r="H156" s="15">
        <f>IF(ISBLANK(B156),"",IF(NOT(ISBLANK(G156)),"Returned",IF(TODAY()&gt;F156,"Overdue","Active")))</f>
        <v/>
      </c>
      <c r="I156" s="9" t="n"/>
    </row>
    <row r="157">
      <c r="A157" s="13">
        <f>IF(ISBLANK(B157),"",ROW()-1)</f>
        <v/>
      </c>
      <c r="B157" s="9" t="n"/>
      <c r="C157" s="9" t="n"/>
      <c r="D157" s="15">
        <f>IFERROR(IF(ISBLANK(C157),"",VLOOKUP(C157,Members!$A$2:$B$101,2,FALSE)),"")</f>
        <v/>
      </c>
      <c r="E157" s="9" t="n"/>
      <c r="F157" s="13">
        <f>IF(ISBLANK(E157),"",E157+Settings!$B$7)</f>
        <v/>
      </c>
      <c r="G157" s="9" t="n"/>
      <c r="H157" s="15">
        <f>IF(ISBLANK(B157),"",IF(NOT(ISBLANK(G157)),"Returned",IF(TODAY()&gt;F157,"Overdue","Active")))</f>
        <v/>
      </c>
      <c r="I157" s="9" t="n"/>
    </row>
    <row r="158">
      <c r="A158" s="13">
        <f>IF(ISBLANK(B158),"",ROW()-1)</f>
        <v/>
      </c>
      <c r="B158" s="9" t="n"/>
      <c r="C158" s="9" t="n"/>
      <c r="D158" s="15">
        <f>IFERROR(IF(ISBLANK(C158),"",VLOOKUP(C158,Members!$A$2:$B$101,2,FALSE)),"")</f>
        <v/>
      </c>
      <c r="E158" s="9" t="n"/>
      <c r="F158" s="13">
        <f>IF(ISBLANK(E158),"",E158+Settings!$B$7)</f>
        <v/>
      </c>
      <c r="G158" s="9" t="n"/>
      <c r="H158" s="15">
        <f>IF(ISBLANK(B158),"",IF(NOT(ISBLANK(G158)),"Returned",IF(TODAY()&gt;F158,"Overdue","Active")))</f>
        <v/>
      </c>
      <c r="I158" s="9" t="n"/>
    </row>
    <row r="159">
      <c r="A159" s="13">
        <f>IF(ISBLANK(B159),"",ROW()-1)</f>
        <v/>
      </c>
      <c r="B159" s="9" t="n"/>
      <c r="C159" s="9" t="n"/>
      <c r="D159" s="15">
        <f>IFERROR(IF(ISBLANK(C159),"",VLOOKUP(C159,Members!$A$2:$B$101,2,FALSE)),"")</f>
        <v/>
      </c>
      <c r="E159" s="9" t="n"/>
      <c r="F159" s="13">
        <f>IF(ISBLANK(E159),"",E159+Settings!$B$7)</f>
        <v/>
      </c>
      <c r="G159" s="9" t="n"/>
      <c r="H159" s="15">
        <f>IF(ISBLANK(B159),"",IF(NOT(ISBLANK(G159)),"Returned",IF(TODAY()&gt;F159,"Overdue","Active")))</f>
        <v/>
      </c>
      <c r="I159" s="9" t="n"/>
    </row>
    <row r="160">
      <c r="A160" s="13">
        <f>IF(ISBLANK(B160),"",ROW()-1)</f>
        <v/>
      </c>
      <c r="B160" s="9" t="n"/>
      <c r="C160" s="9" t="n"/>
      <c r="D160" s="15">
        <f>IFERROR(IF(ISBLANK(C160),"",VLOOKUP(C160,Members!$A$2:$B$101,2,FALSE)),"")</f>
        <v/>
      </c>
      <c r="E160" s="9" t="n"/>
      <c r="F160" s="13">
        <f>IF(ISBLANK(E160),"",E160+Settings!$B$7)</f>
        <v/>
      </c>
      <c r="G160" s="9" t="n"/>
      <c r="H160" s="15">
        <f>IF(ISBLANK(B160),"",IF(NOT(ISBLANK(G160)),"Returned",IF(TODAY()&gt;F160,"Overdue","Active")))</f>
        <v/>
      </c>
      <c r="I160" s="9" t="n"/>
    </row>
    <row r="161">
      <c r="A161" s="13">
        <f>IF(ISBLANK(B161),"",ROW()-1)</f>
        <v/>
      </c>
      <c r="B161" s="9" t="n"/>
      <c r="C161" s="9" t="n"/>
      <c r="D161" s="15">
        <f>IFERROR(IF(ISBLANK(C161),"",VLOOKUP(C161,Members!$A$2:$B$101,2,FALSE)),"")</f>
        <v/>
      </c>
      <c r="E161" s="9" t="n"/>
      <c r="F161" s="13">
        <f>IF(ISBLANK(E161),"",E161+Settings!$B$7)</f>
        <v/>
      </c>
      <c r="G161" s="9" t="n"/>
      <c r="H161" s="15">
        <f>IF(ISBLANK(B161),"",IF(NOT(ISBLANK(G161)),"Returned",IF(TODAY()&gt;F161,"Overdue","Active")))</f>
        <v/>
      </c>
      <c r="I161" s="9" t="n"/>
    </row>
    <row r="162">
      <c r="A162" s="13">
        <f>IF(ISBLANK(B162),"",ROW()-1)</f>
        <v/>
      </c>
      <c r="B162" s="9" t="n"/>
      <c r="C162" s="9" t="n"/>
      <c r="D162" s="15">
        <f>IFERROR(IF(ISBLANK(C162),"",VLOOKUP(C162,Members!$A$2:$B$101,2,FALSE)),"")</f>
        <v/>
      </c>
      <c r="E162" s="9" t="n"/>
      <c r="F162" s="13">
        <f>IF(ISBLANK(E162),"",E162+Settings!$B$7)</f>
        <v/>
      </c>
      <c r="G162" s="9" t="n"/>
      <c r="H162" s="15">
        <f>IF(ISBLANK(B162),"",IF(NOT(ISBLANK(G162)),"Returned",IF(TODAY()&gt;F162,"Overdue","Active")))</f>
        <v/>
      </c>
      <c r="I162" s="9" t="n"/>
    </row>
    <row r="163">
      <c r="A163" s="13">
        <f>IF(ISBLANK(B163),"",ROW()-1)</f>
        <v/>
      </c>
      <c r="B163" s="9" t="n"/>
      <c r="C163" s="9" t="n"/>
      <c r="D163" s="15">
        <f>IFERROR(IF(ISBLANK(C163),"",VLOOKUP(C163,Members!$A$2:$B$101,2,FALSE)),"")</f>
        <v/>
      </c>
      <c r="E163" s="9" t="n"/>
      <c r="F163" s="13">
        <f>IF(ISBLANK(E163),"",E163+Settings!$B$7)</f>
        <v/>
      </c>
      <c r="G163" s="9" t="n"/>
      <c r="H163" s="15">
        <f>IF(ISBLANK(B163),"",IF(NOT(ISBLANK(G163)),"Returned",IF(TODAY()&gt;F163,"Overdue","Active")))</f>
        <v/>
      </c>
      <c r="I163" s="9" t="n"/>
    </row>
    <row r="164">
      <c r="A164" s="13">
        <f>IF(ISBLANK(B164),"",ROW()-1)</f>
        <v/>
      </c>
      <c r="B164" s="9" t="n"/>
      <c r="C164" s="9" t="n"/>
      <c r="D164" s="15">
        <f>IFERROR(IF(ISBLANK(C164),"",VLOOKUP(C164,Members!$A$2:$B$101,2,FALSE)),"")</f>
        <v/>
      </c>
      <c r="E164" s="9" t="n"/>
      <c r="F164" s="13">
        <f>IF(ISBLANK(E164),"",E164+Settings!$B$7)</f>
        <v/>
      </c>
      <c r="G164" s="9" t="n"/>
      <c r="H164" s="15">
        <f>IF(ISBLANK(B164),"",IF(NOT(ISBLANK(G164)),"Returned",IF(TODAY()&gt;F164,"Overdue","Active")))</f>
        <v/>
      </c>
      <c r="I164" s="9" t="n"/>
    </row>
    <row r="165">
      <c r="A165" s="13">
        <f>IF(ISBLANK(B165),"",ROW()-1)</f>
        <v/>
      </c>
      <c r="B165" s="9" t="n"/>
      <c r="C165" s="9" t="n"/>
      <c r="D165" s="15">
        <f>IFERROR(IF(ISBLANK(C165),"",VLOOKUP(C165,Members!$A$2:$B$101,2,FALSE)),"")</f>
        <v/>
      </c>
      <c r="E165" s="9" t="n"/>
      <c r="F165" s="13">
        <f>IF(ISBLANK(E165),"",E165+Settings!$B$7)</f>
        <v/>
      </c>
      <c r="G165" s="9" t="n"/>
      <c r="H165" s="15">
        <f>IF(ISBLANK(B165),"",IF(NOT(ISBLANK(G165)),"Returned",IF(TODAY()&gt;F165,"Overdue","Active")))</f>
        <v/>
      </c>
      <c r="I165" s="9" t="n"/>
    </row>
    <row r="166">
      <c r="A166" s="13">
        <f>IF(ISBLANK(B166),"",ROW()-1)</f>
        <v/>
      </c>
      <c r="B166" s="9" t="n"/>
      <c r="C166" s="9" t="n"/>
      <c r="D166" s="15">
        <f>IFERROR(IF(ISBLANK(C166),"",VLOOKUP(C166,Members!$A$2:$B$101,2,FALSE)),"")</f>
        <v/>
      </c>
      <c r="E166" s="9" t="n"/>
      <c r="F166" s="13">
        <f>IF(ISBLANK(E166),"",E166+Settings!$B$7)</f>
        <v/>
      </c>
      <c r="G166" s="9" t="n"/>
      <c r="H166" s="15">
        <f>IF(ISBLANK(B166),"",IF(NOT(ISBLANK(G166)),"Returned",IF(TODAY()&gt;F166,"Overdue","Active")))</f>
        <v/>
      </c>
      <c r="I166" s="9" t="n"/>
    </row>
    <row r="167">
      <c r="A167" s="13">
        <f>IF(ISBLANK(B167),"",ROW()-1)</f>
        <v/>
      </c>
      <c r="B167" s="9" t="n"/>
      <c r="C167" s="9" t="n"/>
      <c r="D167" s="15">
        <f>IFERROR(IF(ISBLANK(C167),"",VLOOKUP(C167,Members!$A$2:$B$101,2,FALSE)),"")</f>
        <v/>
      </c>
      <c r="E167" s="9" t="n"/>
      <c r="F167" s="13">
        <f>IF(ISBLANK(E167),"",E167+Settings!$B$7)</f>
        <v/>
      </c>
      <c r="G167" s="9" t="n"/>
      <c r="H167" s="15">
        <f>IF(ISBLANK(B167),"",IF(NOT(ISBLANK(G167)),"Returned",IF(TODAY()&gt;F167,"Overdue","Active")))</f>
        <v/>
      </c>
      <c r="I167" s="9" t="n"/>
    </row>
    <row r="168">
      <c r="A168" s="13">
        <f>IF(ISBLANK(B168),"",ROW()-1)</f>
        <v/>
      </c>
      <c r="B168" s="9" t="n"/>
      <c r="C168" s="9" t="n"/>
      <c r="D168" s="15">
        <f>IFERROR(IF(ISBLANK(C168),"",VLOOKUP(C168,Members!$A$2:$B$101,2,FALSE)),"")</f>
        <v/>
      </c>
      <c r="E168" s="9" t="n"/>
      <c r="F168" s="13">
        <f>IF(ISBLANK(E168),"",E168+Settings!$B$7)</f>
        <v/>
      </c>
      <c r="G168" s="9" t="n"/>
      <c r="H168" s="15">
        <f>IF(ISBLANK(B168),"",IF(NOT(ISBLANK(G168)),"Returned",IF(TODAY()&gt;F168,"Overdue","Active")))</f>
        <v/>
      </c>
      <c r="I168" s="9" t="n"/>
    </row>
    <row r="169">
      <c r="A169" s="13">
        <f>IF(ISBLANK(B169),"",ROW()-1)</f>
        <v/>
      </c>
      <c r="B169" s="9" t="n"/>
      <c r="C169" s="9" t="n"/>
      <c r="D169" s="15">
        <f>IFERROR(IF(ISBLANK(C169),"",VLOOKUP(C169,Members!$A$2:$B$101,2,FALSE)),"")</f>
        <v/>
      </c>
      <c r="E169" s="9" t="n"/>
      <c r="F169" s="13">
        <f>IF(ISBLANK(E169),"",E169+Settings!$B$7)</f>
        <v/>
      </c>
      <c r="G169" s="9" t="n"/>
      <c r="H169" s="15">
        <f>IF(ISBLANK(B169),"",IF(NOT(ISBLANK(G169)),"Returned",IF(TODAY()&gt;F169,"Overdue","Active")))</f>
        <v/>
      </c>
      <c r="I169" s="9" t="n"/>
    </row>
    <row r="170">
      <c r="A170" s="13">
        <f>IF(ISBLANK(B170),"",ROW()-1)</f>
        <v/>
      </c>
      <c r="B170" s="9" t="n"/>
      <c r="C170" s="9" t="n"/>
      <c r="D170" s="15">
        <f>IFERROR(IF(ISBLANK(C170),"",VLOOKUP(C170,Members!$A$2:$B$101,2,FALSE)),"")</f>
        <v/>
      </c>
      <c r="E170" s="9" t="n"/>
      <c r="F170" s="13">
        <f>IF(ISBLANK(E170),"",E170+Settings!$B$7)</f>
        <v/>
      </c>
      <c r="G170" s="9" t="n"/>
      <c r="H170" s="15">
        <f>IF(ISBLANK(B170),"",IF(NOT(ISBLANK(G170)),"Returned",IF(TODAY()&gt;F170,"Overdue","Active")))</f>
        <v/>
      </c>
      <c r="I170" s="9" t="n"/>
    </row>
    <row r="171">
      <c r="A171" s="13">
        <f>IF(ISBLANK(B171),"",ROW()-1)</f>
        <v/>
      </c>
      <c r="B171" s="9" t="n"/>
      <c r="C171" s="9" t="n"/>
      <c r="D171" s="15">
        <f>IFERROR(IF(ISBLANK(C171),"",VLOOKUP(C171,Members!$A$2:$B$101,2,FALSE)),"")</f>
        <v/>
      </c>
      <c r="E171" s="9" t="n"/>
      <c r="F171" s="13">
        <f>IF(ISBLANK(E171),"",E171+Settings!$B$7)</f>
        <v/>
      </c>
      <c r="G171" s="9" t="n"/>
      <c r="H171" s="15">
        <f>IF(ISBLANK(B171),"",IF(NOT(ISBLANK(G171)),"Returned",IF(TODAY()&gt;F171,"Overdue","Active")))</f>
        <v/>
      </c>
      <c r="I171" s="9" t="n"/>
    </row>
    <row r="172">
      <c r="A172" s="13">
        <f>IF(ISBLANK(B172),"",ROW()-1)</f>
        <v/>
      </c>
      <c r="B172" s="9" t="n"/>
      <c r="C172" s="9" t="n"/>
      <c r="D172" s="15">
        <f>IFERROR(IF(ISBLANK(C172),"",VLOOKUP(C172,Members!$A$2:$B$101,2,FALSE)),"")</f>
        <v/>
      </c>
      <c r="E172" s="9" t="n"/>
      <c r="F172" s="13">
        <f>IF(ISBLANK(E172),"",E172+Settings!$B$7)</f>
        <v/>
      </c>
      <c r="G172" s="9" t="n"/>
      <c r="H172" s="15">
        <f>IF(ISBLANK(B172),"",IF(NOT(ISBLANK(G172)),"Returned",IF(TODAY()&gt;F172,"Overdue","Active")))</f>
        <v/>
      </c>
      <c r="I172" s="9" t="n"/>
    </row>
    <row r="173">
      <c r="A173" s="13">
        <f>IF(ISBLANK(B173),"",ROW()-1)</f>
        <v/>
      </c>
      <c r="B173" s="9" t="n"/>
      <c r="C173" s="9" t="n"/>
      <c r="D173" s="15">
        <f>IFERROR(IF(ISBLANK(C173),"",VLOOKUP(C173,Members!$A$2:$B$101,2,FALSE)),"")</f>
        <v/>
      </c>
      <c r="E173" s="9" t="n"/>
      <c r="F173" s="13">
        <f>IF(ISBLANK(E173),"",E173+Settings!$B$7)</f>
        <v/>
      </c>
      <c r="G173" s="9" t="n"/>
      <c r="H173" s="15">
        <f>IF(ISBLANK(B173),"",IF(NOT(ISBLANK(G173)),"Returned",IF(TODAY()&gt;F173,"Overdue","Active")))</f>
        <v/>
      </c>
      <c r="I173" s="9" t="n"/>
    </row>
    <row r="174">
      <c r="A174" s="13">
        <f>IF(ISBLANK(B174),"",ROW()-1)</f>
        <v/>
      </c>
      <c r="B174" s="9" t="n"/>
      <c r="C174" s="9" t="n"/>
      <c r="D174" s="15">
        <f>IFERROR(IF(ISBLANK(C174),"",VLOOKUP(C174,Members!$A$2:$B$101,2,FALSE)),"")</f>
        <v/>
      </c>
      <c r="E174" s="9" t="n"/>
      <c r="F174" s="13">
        <f>IF(ISBLANK(E174),"",E174+Settings!$B$7)</f>
        <v/>
      </c>
      <c r="G174" s="9" t="n"/>
      <c r="H174" s="15">
        <f>IF(ISBLANK(B174),"",IF(NOT(ISBLANK(G174)),"Returned",IF(TODAY()&gt;F174,"Overdue","Active")))</f>
        <v/>
      </c>
      <c r="I174" s="9" t="n"/>
    </row>
    <row r="175">
      <c r="A175" s="13">
        <f>IF(ISBLANK(B175),"",ROW()-1)</f>
        <v/>
      </c>
      <c r="B175" s="9" t="n"/>
      <c r="C175" s="9" t="n"/>
      <c r="D175" s="15">
        <f>IFERROR(IF(ISBLANK(C175),"",VLOOKUP(C175,Members!$A$2:$B$101,2,FALSE)),"")</f>
        <v/>
      </c>
      <c r="E175" s="9" t="n"/>
      <c r="F175" s="13">
        <f>IF(ISBLANK(E175),"",E175+Settings!$B$7)</f>
        <v/>
      </c>
      <c r="G175" s="9" t="n"/>
      <c r="H175" s="15">
        <f>IF(ISBLANK(B175),"",IF(NOT(ISBLANK(G175)),"Returned",IF(TODAY()&gt;F175,"Overdue","Active")))</f>
        <v/>
      </c>
      <c r="I175" s="9" t="n"/>
    </row>
    <row r="176">
      <c r="A176" s="13">
        <f>IF(ISBLANK(B176),"",ROW()-1)</f>
        <v/>
      </c>
      <c r="B176" s="9" t="n"/>
      <c r="C176" s="9" t="n"/>
      <c r="D176" s="15">
        <f>IFERROR(IF(ISBLANK(C176),"",VLOOKUP(C176,Members!$A$2:$B$101,2,FALSE)),"")</f>
        <v/>
      </c>
      <c r="E176" s="9" t="n"/>
      <c r="F176" s="13">
        <f>IF(ISBLANK(E176),"",E176+Settings!$B$7)</f>
        <v/>
      </c>
      <c r="G176" s="9" t="n"/>
      <c r="H176" s="15">
        <f>IF(ISBLANK(B176),"",IF(NOT(ISBLANK(G176)),"Returned",IF(TODAY()&gt;F176,"Overdue","Active")))</f>
        <v/>
      </c>
      <c r="I176" s="9" t="n"/>
    </row>
    <row r="177">
      <c r="A177" s="13">
        <f>IF(ISBLANK(B177),"",ROW()-1)</f>
        <v/>
      </c>
      <c r="B177" s="9" t="n"/>
      <c r="C177" s="9" t="n"/>
      <c r="D177" s="15">
        <f>IFERROR(IF(ISBLANK(C177),"",VLOOKUP(C177,Members!$A$2:$B$101,2,FALSE)),"")</f>
        <v/>
      </c>
      <c r="E177" s="9" t="n"/>
      <c r="F177" s="13">
        <f>IF(ISBLANK(E177),"",E177+Settings!$B$7)</f>
        <v/>
      </c>
      <c r="G177" s="9" t="n"/>
      <c r="H177" s="15">
        <f>IF(ISBLANK(B177),"",IF(NOT(ISBLANK(G177)),"Returned",IF(TODAY()&gt;F177,"Overdue","Active")))</f>
        <v/>
      </c>
      <c r="I177" s="9" t="n"/>
    </row>
    <row r="178">
      <c r="A178" s="13">
        <f>IF(ISBLANK(B178),"",ROW()-1)</f>
        <v/>
      </c>
      <c r="B178" s="9" t="n"/>
      <c r="C178" s="9" t="n"/>
      <c r="D178" s="15">
        <f>IFERROR(IF(ISBLANK(C178),"",VLOOKUP(C178,Members!$A$2:$B$101,2,FALSE)),"")</f>
        <v/>
      </c>
      <c r="E178" s="9" t="n"/>
      <c r="F178" s="13">
        <f>IF(ISBLANK(E178),"",E178+Settings!$B$7)</f>
        <v/>
      </c>
      <c r="G178" s="9" t="n"/>
      <c r="H178" s="15">
        <f>IF(ISBLANK(B178),"",IF(NOT(ISBLANK(G178)),"Returned",IF(TODAY()&gt;F178,"Overdue","Active")))</f>
        <v/>
      </c>
      <c r="I178" s="9" t="n"/>
    </row>
    <row r="179">
      <c r="A179" s="13">
        <f>IF(ISBLANK(B179),"",ROW()-1)</f>
        <v/>
      </c>
      <c r="B179" s="9" t="n"/>
      <c r="C179" s="9" t="n"/>
      <c r="D179" s="15">
        <f>IFERROR(IF(ISBLANK(C179),"",VLOOKUP(C179,Members!$A$2:$B$101,2,FALSE)),"")</f>
        <v/>
      </c>
      <c r="E179" s="9" t="n"/>
      <c r="F179" s="13">
        <f>IF(ISBLANK(E179),"",E179+Settings!$B$7)</f>
        <v/>
      </c>
      <c r="G179" s="9" t="n"/>
      <c r="H179" s="15">
        <f>IF(ISBLANK(B179),"",IF(NOT(ISBLANK(G179)),"Returned",IF(TODAY()&gt;F179,"Overdue","Active")))</f>
        <v/>
      </c>
      <c r="I179" s="9" t="n"/>
    </row>
    <row r="180">
      <c r="A180" s="13">
        <f>IF(ISBLANK(B180),"",ROW()-1)</f>
        <v/>
      </c>
      <c r="B180" s="9" t="n"/>
      <c r="C180" s="9" t="n"/>
      <c r="D180" s="15">
        <f>IFERROR(IF(ISBLANK(C180),"",VLOOKUP(C180,Members!$A$2:$B$101,2,FALSE)),"")</f>
        <v/>
      </c>
      <c r="E180" s="9" t="n"/>
      <c r="F180" s="13">
        <f>IF(ISBLANK(E180),"",E180+Settings!$B$7)</f>
        <v/>
      </c>
      <c r="G180" s="9" t="n"/>
      <c r="H180" s="15">
        <f>IF(ISBLANK(B180),"",IF(NOT(ISBLANK(G180)),"Returned",IF(TODAY()&gt;F180,"Overdue","Active")))</f>
        <v/>
      </c>
      <c r="I180" s="9" t="n"/>
    </row>
    <row r="181">
      <c r="A181" s="13">
        <f>IF(ISBLANK(B181),"",ROW()-1)</f>
        <v/>
      </c>
      <c r="B181" s="9" t="n"/>
      <c r="C181" s="9" t="n"/>
      <c r="D181" s="15">
        <f>IFERROR(IF(ISBLANK(C181),"",VLOOKUP(C181,Members!$A$2:$B$101,2,FALSE)),"")</f>
        <v/>
      </c>
      <c r="E181" s="9" t="n"/>
      <c r="F181" s="13">
        <f>IF(ISBLANK(E181),"",E181+Settings!$B$7)</f>
        <v/>
      </c>
      <c r="G181" s="9" t="n"/>
      <c r="H181" s="15">
        <f>IF(ISBLANK(B181),"",IF(NOT(ISBLANK(G181)),"Returned",IF(TODAY()&gt;F181,"Overdue","Active")))</f>
        <v/>
      </c>
      <c r="I181" s="9" t="n"/>
    </row>
    <row r="182">
      <c r="A182" s="13">
        <f>IF(ISBLANK(B182),"",ROW()-1)</f>
        <v/>
      </c>
      <c r="B182" s="9" t="n"/>
      <c r="C182" s="9" t="n"/>
      <c r="D182" s="15">
        <f>IFERROR(IF(ISBLANK(C182),"",VLOOKUP(C182,Members!$A$2:$B$101,2,FALSE)),"")</f>
        <v/>
      </c>
      <c r="E182" s="9" t="n"/>
      <c r="F182" s="13">
        <f>IF(ISBLANK(E182),"",E182+Settings!$B$7)</f>
        <v/>
      </c>
      <c r="G182" s="9" t="n"/>
      <c r="H182" s="15">
        <f>IF(ISBLANK(B182),"",IF(NOT(ISBLANK(G182)),"Returned",IF(TODAY()&gt;F182,"Overdue","Active")))</f>
        <v/>
      </c>
      <c r="I182" s="9" t="n"/>
    </row>
    <row r="183">
      <c r="A183" s="13">
        <f>IF(ISBLANK(B183),"",ROW()-1)</f>
        <v/>
      </c>
      <c r="B183" s="9" t="n"/>
      <c r="C183" s="9" t="n"/>
      <c r="D183" s="15">
        <f>IFERROR(IF(ISBLANK(C183),"",VLOOKUP(C183,Members!$A$2:$B$101,2,FALSE)),"")</f>
        <v/>
      </c>
      <c r="E183" s="9" t="n"/>
      <c r="F183" s="13">
        <f>IF(ISBLANK(E183),"",E183+Settings!$B$7)</f>
        <v/>
      </c>
      <c r="G183" s="9" t="n"/>
      <c r="H183" s="15">
        <f>IF(ISBLANK(B183),"",IF(NOT(ISBLANK(G183)),"Returned",IF(TODAY()&gt;F183,"Overdue","Active")))</f>
        <v/>
      </c>
      <c r="I183" s="9" t="n"/>
    </row>
    <row r="184">
      <c r="A184" s="13">
        <f>IF(ISBLANK(B184),"",ROW()-1)</f>
        <v/>
      </c>
      <c r="B184" s="9" t="n"/>
      <c r="C184" s="9" t="n"/>
      <c r="D184" s="15">
        <f>IFERROR(IF(ISBLANK(C184),"",VLOOKUP(C184,Members!$A$2:$B$101,2,FALSE)),"")</f>
        <v/>
      </c>
      <c r="E184" s="9" t="n"/>
      <c r="F184" s="13">
        <f>IF(ISBLANK(E184),"",E184+Settings!$B$7)</f>
        <v/>
      </c>
      <c r="G184" s="9" t="n"/>
      <c r="H184" s="15">
        <f>IF(ISBLANK(B184),"",IF(NOT(ISBLANK(G184)),"Returned",IF(TODAY()&gt;F184,"Overdue","Active")))</f>
        <v/>
      </c>
      <c r="I184" s="9" t="n"/>
    </row>
    <row r="185">
      <c r="A185" s="13">
        <f>IF(ISBLANK(B185),"",ROW()-1)</f>
        <v/>
      </c>
      <c r="B185" s="9" t="n"/>
      <c r="C185" s="9" t="n"/>
      <c r="D185" s="15">
        <f>IFERROR(IF(ISBLANK(C185),"",VLOOKUP(C185,Members!$A$2:$B$101,2,FALSE)),"")</f>
        <v/>
      </c>
      <c r="E185" s="9" t="n"/>
      <c r="F185" s="13">
        <f>IF(ISBLANK(E185),"",E185+Settings!$B$7)</f>
        <v/>
      </c>
      <c r="G185" s="9" t="n"/>
      <c r="H185" s="15">
        <f>IF(ISBLANK(B185),"",IF(NOT(ISBLANK(G185)),"Returned",IF(TODAY()&gt;F185,"Overdue","Active")))</f>
        <v/>
      </c>
      <c r="I185" s="9" t="n"/>
    </row>
    <row r="186">
      <c r="A186" s="13">
        <f>IF(ISBLANK(B186),"",ROW()-1)</f>
        <v/>
      </c>
      <c r="B186" s="9" t="n"/>
      <c r="C186" s="9" t="n"/>
      <c r="D186" s="15">
        <f>IFERROR(IF(ISBLANK(C186),"",VLOOKUP(C186,Members!$A$2:$B$101,2,FALSE)),"")</f>
        <v/>
      </c>
      <c r="E186" s="9" t="n"/>
      <c r="F186" s="13">
        <f>IF(ISBLANK(E186),"",E186+Settings!$B$7)</f>
        <v/>
      </c>
      <c r="G186" s="9" t="n"/>
      <c r="H186" s="15">
        <f>IF(ISBLANK(B186),"",IF(NOT(ISBLANK(G186)),"Returned",IF(TODAY()&gt;F186,"Overdue","Active")))</f>
        <v/>
      </c>
      <c r="I186" s="9" t="n"/>
    </row>
    <row r="187">
      <c r="A187" s="13">
        <f>IF(ISBLANK(B187),"",ROW()-1)</f>
        <v/>
      </c>
      <c r="B187" s="9" t="n"/>
      <c r="C187" s="9" t="n"/>
      <c r="D187" s="15">
        <f>IFERROR(IF(ISBLANK(C187),"",VLOOKUP(C187,Members!$A$2:$B$101,2,FALSE)),"")</f>
        <v/>
      </c>
      <c r="E187" s="9" t="n"/>
      <c r="F187" s="13">
        <f>IF(ISBLANK(E187),"",E187+Settings!$B$7)</f>
        <v/>
      </c>
      <c r="G187" s="9" t="n"/>
      <c r="H187" s="15">
        <f>IF(ISBLANK(B187),"",IF(NOT(ISBLANK(G187)),"Returned",IF(TODAY()&gt;F187,"Overdue","Active")))</f>
        <v/>
      </c>
      <c r="I187" s="9" t="n"/>
    </row>
    <row r="188">
      <c r="A188" s="13">
        <f>IF(ISBLANK(B188),"",ROW()-1)</f>
        <v/>
      </c>
      <c r="B188" s="9" t="n"/>
      <c r="C188" s="9" t="n"/>
      <c r="D188" s="15">
        <f>IFERROR(IF(ISBLANK(C188),"",VLOOKUP(C188,Members!$A$2:$B$101,2,FALSE)),"")</f>
        <v/>
      </c>
      <c r="E188" s="9" t="n"/>
      <c r="F188" s="13">
        <f>IF(ISBLANK(E188),"",E188+Settings!$B$7)</f>
        <v/>
      </c>
      <c r="G188" s="9" t="n"/>
      <c r="H188" s="15">
        <f>IF(ISBLANK(B188),"",IF(NOT(ISBLANK(G188)),"Returned",IF(TODAY()&gt;F188,"Overdue","Active")))</f>
        <v/>
      </c>
      <c r="I188" s="9" t="n"/>
    </row>
    <row r="189">
      <c r="A189" s="13">
        <f>IF(ISBLANK(B189),"",ROW()-1)</f>
        <v/>
      </c>
      <c r="B189" s="9" t="n"/>
      <c r="C189" s="9" t="n"/>
      <c r="D189" s="15">
        <f>IFERROR(IF(ISBLANK(C189),"",VLOOKUP(C189,Members!$A$2:$B$101,2,FALSE)),"")</f>
        <v/>
      </c>
      <c r="E189" s="9" t="n"/>
      <c r="F189" s="13">
        <f>IF(ISBLANK(E189),"",E189+Settings!$B$7)</f>
        <v/>
      </c>
      <c r="G189" s="9" t="n"/>
      <c r="H189" s="15">
        <f>IF(ISBLANK(B189),"",IF(NOT(ISBLANK(G189)),"Returned",IF(TODAY()&gt;F189,"Overdue","Active")))</f>
        <v/>
      </c>
      <c r="I189" s="9" t="n"/>
    </row>
    <row r="190">
      <c r="A190" s="13">
        <f>IF(ISBLANK(B190),"",ROW()-1)</f>
        <v/>
      </c>
      <c r="B190" s="9" t="n"/>
      <c r="C190" s="9" t="n"/>
      <c r="D190" s="15">
        <f>IFERROR(IF(ISBLANK(C190),"",VLOOKUP(C190,Members!$A$2:$B$101,2,FALSE)),"")</f>
        <v/>
      </c>
      <c r="E190" s="9" t="n"/>
      <c r="F190" s="13">
        <f>IF(ISBLANK(E190),"",E190+Settings!$B$7)</f>
        <v/>
      </c>
      <c r="G190" s="9" t="n"/>
      <c r="H190" s="15">
        <f>IF(ISBLANK(B190),"",IF(NOT(ISBLANK(G190)),"Returned",IF(TODAY()&gt;F190,"Overdue","Active")))</f>
        <v/>
      </c>
      <c r="I190" s="9" t="n"/>
    </row>
    <row r="191">
      <c r="A191" s="13">
        <f>IF(ISBLANK(B191),"",ROW()-1)</f>
        <v/>
      </c>
      <c r="B191" s="9" t="n"/>
      <c r="C191" s="9" t="n"/>
      <c r="D191" s="15">
        <f>IFERROR(IF(ISBLANK(C191),"",VLOOKUP(C191,Members!$A$2:$B$101,2,FALSE)),"")</f>
        <v/>
      </c>
      <c r="E191" s="9" t="n"/>
      <c r="F191" s="13">
        <f>IF(ISBLANK(E191),"",E191+Settings!$B$7)</f>
        <v/>
      </c>
      <c r="G191" s="9" t="n"/>
      <c r="H191" s="15">
        <f>IF(ISBLANK(B191),"",IF(NOT(ISBLANK(G191)),"Returned",IF(TODAY()&gt;F191,"Overdue","Active")))</f>
        <v/>
      </c>
      <c r="I191" s="9" t="n"/>
    </row>
    <row r="192">
      <c r="A192" s="13">
        <f>IF(ISBLANK(B192),"",ROW()-1)</f>
        <v/>
      </c>
      <c r="B192" s="9" t="n"/>
      <c r="C192" s="9" t="n"/>
      <c r="D192" s="15">
        <f>IFERROR(IF(ISBLANK(C192),"",VLOOKUP(C192,Members!$A$2:$B$101,2,FALSE)),"")</f>
        <v/>
      </c>
      <c r="E192" s="9" t="n"/>
      <c r="F192" s="13">
        <f>IF(ISBLANK(E192),"",E192+Settings!$B$7)</f>
        <v/>
      </c>
      <c r="G192" s="9" t="n"/>
      <c r="H192" s="15">
        <f>IF(ISBLANK(B192),"",IF(NOT(ISBLANK(G192)),"Returned",IF(TODAY()&gt;F192,"Overdue","Active")))</f>
        <v/>
      </c>
      <c r="I192" s="9" t="n"/>
    </row>
    <row r="193">
      <c r="A193" s="13">
        <f>IF(ISBLANK(B193),"",ROW()-1)</f>
        <v/>
      </c>
      <c r="B193" s="9" t="n"/>
      <c r="C193" s="9" t="n"/>
      <c r="D193" s="15">
        <f>IFERROR(IF(ISBLANK(C193),"",VLOOKUP(C193,Members!$A$2:$B$101,2,FALSE)),"")</f>
        <v/>
      </c>
      <c r="E193" s="9" t="n"/>
      <c r="F193" s="13">
        <f>IF(ISBLANK(E193),"",E193+Settings!$B$7)</f>
        <v/>
      </c>
      <c r="G193" s="9" t="n"/>
      <c r="H193" s="15">
        <f>IF(ISBLANK(B193),"",IF(NOT(ISBLANK(G193)),"Returned",IF(TODAY()&gt;F193,"Overdue","Active")))</f>
        <v/>
      </c>
      <c r="I193" s="9" t="n"/>
    </row>
    <row r="194">
      <c r="A194" s="13">
        <f>IF(ISBLANK(B194),"",ROW()-1)</f>
        <v/>
      </c>
      <c r="B194" s="9" t="n"/>
      <c r="C194" s="9" t="n"/>
      <c r="D194" s="15">
        <f>IFERROR(IF(ISBLANK(C194),"",VLOOKUP(C194,Members!$A$2:$B$101,2,FALSE)),"")</f>
        <v/>
      </c>
      <c r="E194" s="9" t="n"/>
      <c r="F194" s="13">
        <f>IF(ISBLANK(E194),"",E194+Settings!$B$7)</f>
        <v/>
      </c>
      <c r="G194" s="9" t="n"/>
      <c r="H194" s="15">
        <f>IF(ISBLANK(B194),"",IF(NOT(ISBLANK(G194)),"Returned",IF(TODAY()&gt;F194,"Overdue","Active")))</f>
        <v/>
      </c>
      <c r="I194" s="9" t="n"/>
    </row>
    <row r="195">
      <c r="A195" s="13">
        <f>IF(ISBLANK(B195),"",ROW()-1)</f>
        <v/>
      </c>
      <c r="B195" s="9" t="n"/>
      <c r="C195" s="9" t="n"/>
      <c r="D195" s="15">
        <f>IFERROR(IF(ISBLANK(C195),"",VLOOKUP(C195,Members!$A$2:$B$101,2,FALSE)),"")</f>
        <v/>
      </c>
      <c r="E195" s="9" t="n"/>
      <c r="F195" s="13">
        <f>IF(ISBLANK(E195),"",E195+Settings!$B$7)</f>
        <v/>
      </c>
      <c r="G195" s="9" t="n"/>
      <c r="H195" s="15">
        <f>IF(ISBLANK(B195),"",IF(NOT(ISBLANK(G195)),"Returned",IF(TODAY()&gt;F195,"Overdue","Active")))</f>
        <v/>
      </c>
      <c r="I195" s="9" t="n"/>
    </row>
    <row r="196">
      <c r="A196" s="13">
        <f>IF(ISBLANK(B196),"",ROW()-1)</f>
        <v/>
      </c>
      <c r="B196" s="9" t="n"/>
      <c r="C196" s="9" t="n"/>
      <c r="D196" s="15">
        <f>IFERROR(IF(ISBLANK(C196),"",VLOOKUP(C196,Members!$A$2:$B$101,2,FALSE)),"")</f>
        <v/>
      </c>
      <c r="E196" s="9" t="n"/>
      <c r="F196" s="13">
        <f>IF(ISBLANK(E196),"",E196+Settings!$B$7)</f>
        <v/>
      </c>
      <c r="G196" s="9" t="n"/>
      <c r="H196" s="15">
        <f>IF(ISBLANK(B196),"",IF(NOT(ISBLANK(G196)),"Returned",IF(TODAY()&gt;F196,"Overdue","Active")))</f>
        <v/>
      </c>
      <c r="I196" s="9" t="n"/>
    </row>
    <row r="197">
      <c r="A197" s="13">
        <f>IF(ISBLANK(B197),"",ROW()-1)</f>
        <v/>
      </c>
      <c r="B197" s="9" t="n"/>
      <c r="C197" s="9" t="n"/>
      <c r="D197" s="15">
        <f>IFERROR(IF(ISBLANK(C197),"",VLOOKUP(C197,Members!$A$2:$B$101,2,FALSE)),"")</f>
        <v/>
      </c>
      <c r="E197" s="9" t="n"/>
      <c r="F197" s="13">
        <f>IF(ISBLANK(E197),"",E197+Settings!$B$7)</f>
        <v/>
      </c>
      <c r="G197" s="9" t="n"/>
      <c r="H197" s="15">
        <f>IF(ISBLANK(B197),"",IF(NOT(ISBLANK(G197)),"Returned",IF(TODAY()&gt;F197,"Overdue","Active")))</f>
        <v/>
      </c>
      <c r="I197" s="9" t="n"/>
    </row>
    <row r="198">
      <c r="A198" s="13">
        <f>IF(ISBLANK(B198),"",ROW()-1)</f>
        <v/>
      </c>
      <c r="B198" s="9" t="n"/>
      <c r="C198" s="9" t="n"/>
      <c r="D198" s="15">
        <f>IFERROR(IF(ISBLANK(C198),"",VLOOKUP(C198,Members!$A$2:$B$101,2,FALSE)),"")</f>
        <v/>
      </c>
      <c r="E198" s="9" t="n"/>
      <c r="F198" s="13">
        <f>IF(ISBLANK(E198),"",E198+Settings!$B$7)</f>
        <v/>
      </c>
      <c r="G198" s="9" t="n"/>
      <c r="H198" s="15">
        <f>IF(ISBLANK(B198),"",IF(NOT(ISBLANK(G198)),"Returned",IF(TODAY()&gt;F198,"Overdue","Active")))</f>
        <v/>
      </c>
      <c r="I198" s="9" t="n"/>
    </row>
    <row r="199">
      <c r="A199" s="13">
        <f>IF(ISBLANK(B199),"",ROW()-1)</f>
        <v/>
      </c>
      <c r="B199" s="9" t="n"/>
      <c r="C199" s="9" t="n"/>
      <c r="D199" s="15">
        <f>IFERROR(IF(ISBLANK(C199),"",VLOOKUP(C199,Members!$A$2:$B$101,2,FALSE)),"")</f>
        <v/>
      </c>
      <c r="E199" s="9" t="n"/>
      <c r="F199" s="13">
        <f>IF(ISBLANK(E199),"",E199+Settings!$B$7)</f>
        <v/>
      </c>
      <c r="G199" s="9" t="n"/>
      <c r="H199" s="15">
        <f>IF(ISBLANK(B199),"",IF(NOT(ISBLANK(G199)),"Returned",IF(TODAY()&gt;F199,"Overdue","Active")))</f>
        <v/>
      </c>
      <c r="I199" s="9" t="n"/>
    </row>
    <row r="200">
      <c r="A200" s="13">
        <f>IF(ISBLANK(B200),"",ROW()-1)</f>
        <v/>
      </c>
      <c r="B200" s="9" t="n"/>
      <c r="C200" s="9" t="n"/>
      <c r="D200" s="15">
        <f>IFERROR(IF(ISBLANK(C200),"",VLOOKUP(C200,Members!$A$2:$B$101,2,FALSE)),"")</f>
        <v/>
      </c>
      <c r="E200" s="9" t="n"/>
      <c r="F200" s="13">
        <f>IF(ISBLANK(E200),"",E200+Settings!$B$7)</f>
        <v/>
      </c>
      <c r="G200" s="9" t="n"/>
      <c r="H200" s="15">
        <f>IF(ISBLANK(B200),"",IF(NOT(ISBLANK(G200)),"Returned",IF(TODAY()&gt;F200,"Overdue","Active")))</f>
        <v/>
      </c>
      <c r="I200" s="9" t="n"/>
    </row>
    <row r="201">
      <c r="A201" s="13">
        <f>IF(ISBLANK(B201),"",ROW()-1)</f>
        <v/>
      </c>
      <c r="B201" s="9" t="n"/>
      <c r="C201" s="9" t="n"/>
      <c r="D201" s="15">
        <f>IFERROR(IF(ISBLANK(C201),"",VLOOKUP(C201,Members!$A$2:$B$101,2,FALSE)),"")</f>
        <v/>
      </c>
      <c r="E201" s="9" t="n"/>
      <c r="F201" s="13">
        <f>IF(ISBLANK(E201),"",E201+Settings!$B$7)</f>
        <v/>
      </c>
      <c r="G201" s="9" t="n"/>
      <c r="H201" s="15">
        <f>IF(ISBLANK(B201),"",IF(NOT(ISBLANK(G201)),"Returned",IF(TODAY()&gt;F201,"Overdue","Active")))</f>
        <v/>
      </c>
      <c r="I201" s="9" t="n"/>
    </row>
    <row r="202">
      <c r="A202" s="13">
        <f>IF(ISBLANK(B202),"",ROW()-1)</f>
        <v/>
      </c>
      <c r="B202" s="9" t="n"/>
      <c r="C202" s="9" t="n"/>
      <c r="D202" s="15">
        <f>IFERROR(IF(ISBLANK(C202),"",VLOOKUP(C202,Members!$A$2:$B$101,2,FALSE)),"")</f>
        <v/>
      </c>
      <c r="E202" s="9" t="n"/>
      <c r="F202" s="13">
        <f>IF(ISBLANK(E202),"",E202+Settings!$B$7)</f>
        <v/>
      </c>
      <c r="G202" s="9" t="n"/>
      <c r="H202" s="15">
        <f>IF(ISBLANK(B202),"",IF(NOT(ISBLANK(G202)),"Returned",IF(TODAY()&gt;F202,"Overdue","Active")))</f>
        <v/>
      </c>
      <c r="I202" s="9" t="n"/>
    </row>
    <row r="203">
      <c r="A203" s="13">
        <f>IF(ISBLANK(B203),"",ROW()-1)</f>
        <v/>
      </c>
      <c r="B203" s="9" t="n"/>
      <c r="C203" s="9" t="n"/>
      <c r="D203" s="15">
        <f>IFERROR(IF(ISBLANK(C203),"",VLOOKUP(C203,Members!$A$2:$B$101,2,FALSE)),"")</f>
        <v/>
      </c>
      <c r="E203" s="9" t="n"/>
      <c r="F203" s="13">
        <f>IF(ISBLANK(E203),"",E203+Settings!$B$7)</f>
        <v/>
      </c>
      <c r="G203" s="9" t="n"/>
      <c r="H203" s="15">
        <f>IF(ISBLANK(B203),"",IF(NOT(ISBLANK(G203)),"Returned",IF(TODAY()&gt;F203,"Overdue","Active")))</f>
        <v/>
      </c>
      <c r="I203" s="9" t="n"/>
    </row>
    <row r="204">
      <c r="A204" s="13">
        <f>IF(ISBLANK(B204),"",ROW()-1)</f>
        <v/>
      </c>
      <c r="B204" s="9" t="n"/>
      <c r="C204" s="9" t="n"/>
      <c r="D204" s="15">
        <f>IFERROR(IF(ISBLANK(C204),"",VLOOKUP(C204,Members!$A$2:$B$101,2,FALSE)),"")</f>
        <v/>
      </c>
      <c r="E204" s="9" t="n"/>
      <c r="F204" s="13">
        <f>IF(ISBLANK(E204),"",E204+Settings!$B$7)</f>
        <v/>
      </c>
      <c r="G204" s="9" t="n"/>
      <c r="H204" s="15">
        <f>IF(ISBLANK(B204),"",IF(NOT(ISBLANK(G204)),"Returned",IF(TODAY()&gt;F204,"Overdue","Active")))</f>
        <v/>
      </c>
      <c r="I204" s="9" t="n"/>
    </row>
    <row r="205">
      <c r="A205" s="13">
        <f>IF(ISBLANK(B205),"",ROW()-1)</f>
        <v/>
      </c>
      <c r="B205" s="9" t="n"/>
      <c r="C205" s="9" t="n"/>
      <c r="D205" s="15">
        <f>IFERROR(IF(ISBLANK(C205),"",VLOOKUP(C205,Members!$A$2:$B$101,2,FALSE)),"")</f>
        <v/>
      </c>
      <c r="E205" s="9" t="n"/>
      <c r="F205" s="13">
        <f>IF(ISBLANK(E205),"",E205+Settings!$B$7)</f>
        <v/>
      </c>
      <c r="G205" s="9" t="n"/>
      <c r="H205" s="15">
        <f>IF(ISBLANK(B205),"",IF(NOT(ISBLANK(G205)),"Returned",IF(TODAY()&gt;F205,"Overdue","Active")))</f>
        <v/>
      </c>
      <c r="I205" s="9" t="n"/>
    </row>
    <row r="206">
      <c r="A206" s="13">
        <f>IF(ISBLANK(B206),"",ROW()-1)</f>
        <v/>
      </c>
      <c r="B206" s="9" t="n"/>
      <c r="C206" s="9" t="n"/>
      <c r="D206" s="15">
        <f>IFERROR(IF(ISBLANK(C206),"",VLOOKUP(C206,Members!$A$2:$B$101,2,FALSE)),"")</f>
        <v/>
      </c>
      <c r="E206" s="9" t="n"/>
      <c r="F206" s="13">
        <f>IF(ISBLANK(E206),"",E206+Settings!$B$7)</f>
        <v/>
      </c>
      <c r="G206" s="9" t="n"/>
      <c r="H206" s="15">
        <f>IF(ISBLANK(B206),"",IF(NOT(ISBLANK(G206)),"Returned",IF(TODAY()&gt;F206,"Overdue","Active")))</f>
        <v/>
      </c>
      <c r="I206" s="9" t="n"/>
    </row>
    <row r="207">
      <c r="A207" s="13">
        <f>IF(ISBLANK(B207),"",ROW()-1)</f>
        <v/>
      </c>
      <c r="B207" s="9" t="n"/>
      <c r="C207" s="9" t="n"/>
      <c r="D207" s="15">
        <f>IFERROR(IF(ISBLANK(C207),"",VLOOKUP(C207,Members!$A$2:$B$101,2,FALSE)),"")</f>
        <v/>
      </c>
      <c r="E207" s="9" t="n"/>
      <c r="F207" s="13">
        <f>IF(ISBLANK(E207),"",E207+Settings!$B$7)</f>
        <v/>
      </c>
      <c r="G207" s="9" t="n"/>
      <c r="H207" s="15">
        <f>IF(ISBLANK(B207),"",IF(NOT(ISBLANK(G207)),"Returned",IF(TODAY()&gt;F207,"Overdue","Active")))</f>
        <v/>
      </c>
      <c r="I207" s="9" t="n"/>
    </row>
    <row r="208">
      <c r="A208" s="13">
        <f>IF(ISBLANK(B208),"",ROW()-1)</f>
        <v/>
      </c>
      <c r="B208" s="9" t="n"/>
      <c r="C208" s="9" t="n"/>
      <c r="D208" s="15">
        <f>IFERROR(IF(ISBLANK(C208),"",VLOOKUP(C208,Members!$A$2:$B$101,2,FALSE)),"")</f>
        <v/>
      </c>
      <c r="E208" s="9" t="n"/>
      <c r="F208" s="13">
        <f>IF(ISBLANK(E208),"",E208+Settings!$B$7)</f>
        <v/>
      </c>
      <c r="G208" s="9" t="n"/>
      <c r="H208" s="15">
        <f>IF(ISBLANK(B208),"",IF(NOT(ISBLANK(G208)),"Returned",IF(TODAY()&gt;F208,"Overdue","Active")))</f>
        <v/>
      </c>
      <c r="I208" s="9" t="n"/>
    </row>
    <row r="209">
      <c r="A209" s="13">
        <f>IF(ISBLANK(B209),"",ROW()-1)</f>
        <v/>
      </c>
      <c r="B209" s="9" t="n"/>
      <c r="C209" s="9" t="n"/>
      <c r="D209" s="15">
        <f>IFERROR(IF(ISBLANK(C209),"",VLOOKUP(C209,Members!$A$2:$B$101,2,FALSE)),"")</f>
        <v/>
      </c>
      <c r="E209" s="9" t="n"/>
      <c r="F209" s="13">
        <f>IF(ISBLANK(E209),"",E209+Settings!$B$7)</f>
        <v/>
      </c>
      <c r="G209" s="9" t="n"/>
      <c r="H209" s="15">
        <f>IF(ISBLANK(B209),"",IF(NOT(ISBLANK(G209)),"Returned",IF(TODAY()&gt;F209,"Overdue","Active")))</f>
        <v/>
      </c>
      <c r="I209" s="9" t="n"/>
    </row>
    <row r="210">
      <c r="A210" s="13">
        <f>IF(ISBLANK(B210),"",ROW()-1)</f>
        <v/>
      </c>
      <c r="B210" s="9" t="n"/>
      <c r="C210" s="9" t="n"/>
      <c r="D210" s="15">
        <f>IFERROR(IF(ISBLANK(C210),"",VLOOKUP(C210,Members!$A$2:$B$101,2,FALSE)),"")</f>
        <v/>
      </c>
      <c r="E210" s="9" t="n"/>
      <c r="F210" s="13">
        <f>IF(ISBLANK(E210),"",E210+Settings!$B$7)</f>
        <v/>
      </c>
      <c r="G210" s="9" t="n"/>
      <c r="H210" s="15">
        <f>IF(ISBLANK(B210),"",IF(NOT(ISBLANK(G210)),"Returned",IF(TODAY()&gt;F210,"Overdue","Active")))</f>
        <v/>
      </c>
      <c r="I210" s="9" t="n"/>
    </row>
    <row r="211">
      <c r="A211" s="13">
        <f>IF(ISBLANK(B211),"",ROW()-1)</f>
        <v/>
      </c>
      <c r="B211" s="9" t="n"/>
      <c r="C211" s="9" t="n"/>
      <c r="D211" s="15">
        <f>IFERROR(IF(ISBLANK(C211),"",VLOOKUP(C211,Members!$A$2:$B$101,2,FALSE)),"")</f>
        <v/>
      </c>
      <c r="E211" s="9" t="n"/>
      <c r="F211" s="13">
        <f>IF(ISBLANK(E211),"",E211+Settings!$B$7)</f>
        <v/>
      </c>
      <c r="G211" s="9" t="n"/>
      <c r="H211" s="15">
        <f>IF(ISBLANK(B211),"",IF(NOT(ISBLANK(G211)),"Returned",IF(TODAY()&gt;F211,"Overdue","Active")))</f>
        <v/>
      </c>
      <c r="I211" s="9" t="n"/>
    </row>
    <row r="212">
      <c r="A212" s="13">
        <f>IF(ISBLANK(B212),"",ROW()-1)</f>
        <v/>
      </c>
      <c r="B212" s="9" t="n"/>
      <c r="C212" s="9" t="n"/>
      <c r="D212" s="15">
        <f>IFERROR(IF(ISBLANK(C212),"",VLOOKUP(C212,Members!$A$2:$B$101,2,FALSE)),"")</f>
        <v/>
      </c>
      <c r="E212" s="9" t="n"/>
      <c r="F212" s="13">
        <f>IF(ISBLANK(E212),"",E212+Settings!$B$7)</f>
        <v/>
      </c>
      <c r="G212" s="9" t="n"/>
      <c r="H212" s="15">
        <f>IF(ISBLANK(B212),"",IF(NOT(ISBLANK(G212)),"Returned",IF(TODAY()&gt;F212,"Overdue","Active")))</f>
        <v/>
      </c>
      <c r="I212" s="9" t="n"/>
    </row>
    <row r="213">
      <c r="A213" s="13">
        <f>IF(ISBLANK(B213),"",ROW()-1)</f>
        <v/>
      </c>
      <c r="B213" s="9" t="n"/>
      <c r="C213" s="9" t="n"/>
      <c r="D213" s="15">
        <f>IFERROR(IF(ISBLANK(C213),"",VLOOKUP(C213,Members!$A$2:$B$101,2,FALSE)),"")</f>
        <v/>
      </c>
      <c r="E213" s="9" t="n"/>
      <c r="F213" s="13">
        <f>IF(ISBLANK(E213),"",E213+Settings!$B$7)</f>
        <v/>
      </c>
      <c r="G213" s="9" t="n"/>
      <c r="H213" s="15">
        <f>IF(ISBLANK(B213),"",IF(NOT(ISBLANK(G213)),"Returned",IF(TODAY()&gt;F213,"Overdue","Active")))</f>
        <v/>
      </c>
      <c r="I213" s="9" t="n"/>
    </row>
    <row r="214">
      <c r="A214" s="13">
        <f>IF(ISBLANK(B214),"",ROW()-1)</f>
        <v/>
      </c>
      <c r="B214" s="9" t="n"/>
      <c r="C214" s="9" t="n"/>
      <c r="D214" s="15">
        <f>IFERROR(IF(ISBLANK(C214),"",VLOOKUP(C214,Members!$A$2:$B$101,2,FALSE)),"")</f>
        <v/>
      </c>
      <c r="E214" s="9" t="n"/>
      <c r="F214" s="13">
        <f>IF(ISBLANK(E214),"",E214+Settings!$B$7)</f>
        <v/>
      </c>
      <c r="G214" s="9" t="n"/>
      <c r="H214" s="15">
        <f>IF(ISBLANK(B214),"",IF(NOT(ISBLANK(G214)),"Returned",IF(TODAY()&gt;F214,"Overdue","Active")))</f>
        <v/>
      </c>
      <c r="I214" s="9" t="n"/>
    </row>
    <row r="215">
      <c r="A215" s="13">
        <f>IF(ISBLANK(B215),"",ROW()-1)</f>
        <v/>
      </c>
      <c r="B215" s="9" t="n"/>
      <c r="C215" s="9" t="n"/>
      <c r="D215" s="15">
        <f>IFERROR(IF(ISBLANK(C215),"",VLOOKUP(C215,Members!$A$2:$B$101,2,FALSE)),"")</f>
        <v/>
      </c>
      <c r="E215" s="9" t="n"/>
      <c r="F215" s="13">
        <f>IF(ISBLANK(E215),"",E215+Settings!$B$7)</f>
        <v/>
      </c>
      <c r="G215" s="9" t="n"/>
      <c r="H215" s="15">
        <f>IF(ISBLANK(B215),"",IF(NOT(ISBLANK(G215)),"Returned",IF(TODAY()&gt;F215,"Overdue","Active")))</f>
        <v/>
      </c>
      <c r="I215" s="9" t="n"/>
    </row>
    <row r="216">
      <c r="A216" s="13">
        <f>IF(ISBLANK(B216),"",ROW()-1)</f>
        <v/>
      </c>
      <c r="B216" s="9" t="n"/>
      <c r="C216" s="9" t="n"/>
      <c r="D216" s="15">
        <f>IFERROR(IF(ISBLANK(C216),"",VLOOKUP(C216,Members!$A$2:$B$101,2,FALSE)),"")</f>
        <v/>
      </c>
      <c r="E216" s="9" t="n"/>
      <c r="F216" s="13">
        <f>IF(ISBLANK(E216),"",E216+Settings!$B$7)</f>
        <v/>
      </c>
      <c r="G216" s="9" t="n"/>
      <c r="H216" s="15">
        <f>IF(ISBLANK(B216),"",IF(NOT(ISBLANK(G216)),"Returned",IF(TODAY()&gt;F216,"Overdue","Active")))</f>
        <v/>
      </c>
      <c r="I216" s="9" t="n"/>
    </row>
    <row r="217">
      <c r="A217" s="13">
        <f>IF(ISBLANK(B217),"",ROW()-1)</f>
        <v/>
      </c>
      <c r="B217" s="9" t="n"/>
      <c r="C217" s="9" t="n"/>
      <c r="D217" s="15">
        <f>IFERROR(IF(ISBLANK(C217),"",VLOOKUP(C217,Members!$A$2:$B$101,2,FALSE)),"")</f>
        <v/>
      </c>
      <c r="E217" s="9" t="n"/>
      <c r="F217" s="13">
        <f>IF(ISBLANK(E217),"",E217+Settings!$B$7)</f>
        <v/>
      </c>
      <c r="G217" s="9" t="n"/>
      <c r="H217" s="15">
        <f>IF(ISBLANK(B217),"",IF(NOT(ISBLANK(G217)),"Returned",IF(TODAY()&gt;F217,"Overdue","Active")))</f>
        <v/>
      </c>
      <c r="I217" s="9" t="n"/>
    </row>
    <row r="218">
      <c r="A218" s="13">
        <f>IF(ISBLANK(B218),"",ROW()-1)</f>
        <v/>
      </c>
      <c r="B218" s="9" t="n"/>
      <c r="C218" s="9" t="n"/>
      <c r="D218" s="15">
        <f>IFERROR(IF(ISBLANK(C218),"",VLOOKUP(C218,Members!$A$2:$B$101,2,FALSE)),"")</f>
        <v/>
      </c>
      <c r="E218" s="9" t="n"/>
      <c r="F218" s="13">
        <f>IF(ISBLANK(E218),"",E218+Settings!$B$7)</f>
        <v/>
      </c>
      <c r="G218" s="9" t="n"/>
      <c r="H218" s="15">
        <f>IF(ISBLANK(B218),"",IF(NOT(ISBLANK(G218)),"Returned",IF(TODAY()&gt;F218,"Overdue","Active")))</f>
        <v/>
      </c>
      <c r="I218" s="9" t="n"/>
    </row>
    <row r="219">
      <c r="A219" s="13">
        <f>IF(ISBLANK(B219),"",ROW()-1)</f>
        <v/>
      </c>
      <c r="B219" s="9" t="n"/>
      <c r="C219" s="9" t="n"/>
      <c r="D219" s="15">
        <f>IFERROR(IF(ISBLANK(C219),"",VLOOKUP(C219,Members!$A$2:$B$101,2,FALSE)),"")</f>
        <v/>
      </c>
      <c r="E219" s="9" t="n"/>
      <c r="F219" s="13">
        <f>IF(ISBLANK(E219),"",E219+Settings!$B$7)</f>
        <v/>
      </c>
      <c r="G219" s="9" t="n"/>
      <c r="H219" s="15">
        <f>IF(ISBLANK(B219),"",IF(NOT(ISBLANK(G219)),"Returned",IF(TODAY()&gt;F219,"Overdue","Active")))</f>
        <v/>
      </c>
      <c r="I219" s="9" t="n"/>
    </row>
    <row r="220">
      <c r="A220" s="13">
        <f>IF(ISBLANK(B220),"",ROW()-1)</f>
        <v/>
      </c>
      <c r="B220" s="9" t="n"/>
      <c r="C220" s="9" t="n"/>
      <c r="D220" s="15">
        <f>IFERROR(IF(ISBLANK(C220),"",VLOOKUP(C220,Members!$A$2:$B$101,2,FALSE)),"")</f>
        <v/>
      </c>
      <c r="E220" s="9" t="n"/>
      <c r="F220" s="13">
        <f>IF(ISBLANK(E220),"",E220+Settings!$B$7)</f>
        <v/>
      </c>
      <c r="G220" s="9" t="n"/>
      <c r="H220" s="15">
        <f>IF(ISBLANK(B220),"",IF(NOT(ISBLANK(G220)),"Returned",IF(TODAY()&gt;F220,"Overdue","Active")))</f>
        <v/>
      </c>
      <c r="I220" s="9" t="n"/>
    </row>
    <row r="221">
      <c r="A221" s="13">
        <f>IF(ISBLANK(B221),"",ROW()-1)</f>
        <v/>
      </c>
      <c r="B221" s="9" t="n"/>
      <c r="C221" s="9" t="n"/>
      <c r="D221" s="15">
        <f>IFERROR(IF(ISBLANK(C221),"",VLOOKUP(C221,Members!$A$2:$B$101,2,FALSE)),"")</f>
        <v/>
      </c>
      <c r="E221" s="9" t="n"/>
      <c r="F221" s="13">
        <f>IF(ISBLANK(E221),"",E221+Settings!$B$7)</f>
        <v/>
      </c>
      <c r="G221" s="9" t="n"/>
      <c r="H221" s="15">
        <f>IF(ISBLANK(B221),"",IF(NOT(ISBLANK(G221)),"Returned",IF(TODAY()&gt;F221,"Overdue","Active")))</f>
        <v/>
      </c>
      <c r="I221" s="9" t="n"/>
    </row>
    <row r="222">
      <c r="A222" s="13">
        <f>IF(ISBLANK(B222),"",ROW()-1)</f>
        <v/>
      </c>
      <c r="B222" s="9" t="n"/>
      <c r="C222" s="9" t="n"/>
      <c r="D222" s="15">
        <f>IFERROR(IF(ISBLANK(C222),"",VLOOKUP(C222,Members!$A$2:$B$101,2,FALSE)),"")</f>
        <v/>
      </c>
      <c r="E222" s="9" t="n"/>
      <c r="F222" s="13">
        <f>IF(ISBLANK(E222),"",E222+Settings!$B$7)</f>
        <v/>
      </c>
      <c r="G222" s="9" t="n"/>
      <c r="H222" s="15">
        <f>IF(ISBLANK(B222),"",IF(NOT(ISBLANK(G222)),"Returned",IF(TODAY()&gt;F222,"Overdue","Active")))</f>
        <v/>
      </c>
      <c r="I222" s="9" t="n"/>
    </row>
    <row r="223">
      <c r="A223" s="13">
        <f>IF(ISBLANK(B223),"",ROW()-1)</f>
        <v/>
      </c>
      <c r="B223" s="9" t="n"/>
      <c r="C223" s="9" t="n"/>
      <c r="D223" s="15">
        <f>IFERROR(IF(ISBLANK(C223),"",VLOOKUP(C223,Members!$A$2:$B$101,2,FALSE)),"")</f>
        <v/>
      </c>
      <c r="E223" s="9" t="n"/>
      <c r="F223" s="13">
        <f>IF(ISBLANK(E223),"",E223+Settings!$B$7)</f>
        <v/>
      </c>
      <c r="G223" s="9" t="n"/>
      <c r="H223" s="15">
        <f>IF(ISBLANK(B223),"",IF(NOT(ISBLANK(G223)),"Returned",IF(TODAY()&gt;F223,"Overdue","Active")))</f>
        <v/>
      </c>
      <c r="I223" s="9" t="n"/>
    </row>
    <row r="224">
      <c r="A224" s="13">
        <f>IF(ISBLANK(B224),"",ROW()-1)</f>
        <v/>
      </c>
      <c r="B224" s="9" t="n"/>
      <c r="C224" s="9" t="n"/>
      <c r="D224" s="15">
        <f>IFERROR(IF(ISBLANK(C224),"",VLOOKUP(C224,Members!$A$2:$B$101,2,FALSE)),"")</f>
        <v/>
      </c>
      <c r="E224" s="9" t="n"/>
      <c r="F224" s="13">
        <f>IF(ISBLANK(E224),"",E224+Settings!$B$7)</f>
        <v/>
      </c>
      <c r="G224" s="9" t="n"/>
      <c r="H224" s="15">
        <f>IF(ISBLANK(B224),"",IF(NOT(ISBLANK(G224)),"Returned",IF(TODAY()&gt;F224,"Overdue","Active")))</f>
        <v/>
      </c>
      <c r="I224" s="9" t="n"/>
    </row>
    <row r="225">
      <c r="A225" s="13">
        <f>IF(ISBLANK(B225),"",ROW()-1)</f>
        <v/>
      </c>
      <c r="B225" s="9" t="n"/>
      <c r="C225" s="9" t="n"/>
      <c r="D225" s="15">
        <f>IFERROR(IF(ISBLANK(C225),"",VLOOKUP(C225,Members!$A$2:$B$101,2,FALSE)),"")</f>
        <v/>
      </c>
      <c r="E225" s="9" t="n"/>
      <c r="F225" s="13">
        <f>IF(ISBLANK(E225),"",E225+Settings!$B$7)</f>
        <v/>
      </c>
      <c r="G225" s="9" t="n"/>
      <c r="H225" s="15">
        <f>IF(ISBLANK(B225),"",IF(NOT(ISBLANK(G225)),"Returned",IF(TODAY()&gt;F225,"Overdue","Active")))</f>
        <v/>
      </c>
      <c r="I225" s="9" t="n"/>
    </row>
    <row r="226">
      <c r="A226" s="13">
        <f>IF(ISBLANK(B226),"",ROW()-1)</f>
        <v/>
      </c>
      <c r="B226" s="9" t="n"/>
      <c r="C226" s="9" t="n"/>
      <c r="D226" s="15">
        <f>IFERROR(IF(ISBLANK(C226),"",VLOOKUP(C226,Members!$A$2:$B$101,2,FALSE)),"")</f>
        <v/>
      </c>
      <c r="E226" s="9" t="n"/>
      <c r="F226" s="13">
        <f>IF(ISBLANK(E226),"",E226+Settings!$B$7)</f>
        <v/>
      </c>
      <c r="G226" s="9" t="n"/>
      <c r="H226" s="15">
        <f>IF(ISBLANK(B226),"",IF(NOT(ISBLANK(G226)),"Returned",IF(TODAY()&gt;F226,"Overdue","Active")))</f>
        <v/>
      </c>
      <c r="I226" s="9" t="n"/>
    </row>
    <row r="227">
      <c r="A227" s="13">
        <f>IF(ISBLANK(B227),"",ROW()-1)</f>
        <v/>
      </c>
      <c r="B227" s="9" t="n"/>
      <c r="C227" s="9" t="n"/>
      <c r="D227" s="15">
        <f>IFERROR(IF(ISBLANK(C227),"",VLOOKUP(C227,Members!$A$2:$B$101,2,FALSE)),"")</f>
        <v/>
      </c>
      <c r="E227" s="9" t="n"/>
      <c r="F227" s="13">
        <f>IF(ISBLANK(E227),"",E227+Settings!$B$7)</f>
        <v/>
      </c>
      <c r="G227" s="9" t="n"/>
      <c r="H227" s="15">
        <f>IF(ISBLANK(B227),"",IF(NOT(ISBLANK(G227)),"Returned",IF(TODAY()&gt;F227,"Overdue","Active")))</f>
        <v/>
      </c>
      <c r="I227" s="9" t="n"/>
    </row>
    <row r="228">
      <c r="A228" s="13">
        <f>IF(ISBLANK(B228),"",ROW()-1)</f>
        <v/>
      </c>
      <c r="B228" s="9" t="n"/>
      <c r="C228" s="9" t="n"/>
      <c r="D228" s="15">
        <f>IFERROR(IF(ISBLANK(C228),"",VLOOKUP(C228,Members!$A$2:$B$101,2,FALSE)),"")</f>
        <v/>
      </c>
      <c r="E228" s="9" t="n"/>
      <c r="F228" s="13">
        <f>IF(ISBLANK(E228),"",E228+Settings!$B$7)</f>
        <v/>
      </c>
      <c r="G228" s="9" t="n"/>
      <c r="H228" s="15">
        <f>IF(ISBLANK(B228),"",IF(NOT(ISBLANK(G228)),"Returned",IF(TODAY()&gt;F228,"Overdue","Active")))</f>
        <v/>
      </c>
      <c r="I228" s="9" t="n"/>
    </row>
    <row r="229">
      <c r="A229" s="13">
        <f>IF(ISBLANK(B229),"",ROW()-1)</f>
        <v/>
      </c>
      <c r="B229" s="9" t="n"/>
      <c r="C229" s="9" t="n"/>
      <c r="D229" s="15">
        <f>IFERROR(IF(ISBLANK(C229),"",VLOOKUP(C229,Members!$A$2:$B$101,2,FALSE)),"")</f>
        <v/>
      </c>
      <c r="E229" s="9" t="n"/>
      <c r="F229" s="13">
        <f>IF(ISBLANK(E229),"",E229+Settings!$B$7)</f>
        <v/>
      </c>
      <c r="G229" s="9" t="n"/>
      <c r="H229" s="15">
        <f>IF(ISBLANK(B229),"",IF(NOT(ISBLANK(G229)),"Returned",IF(TODAY()&gt;F229,"Overdue","Active")))</f>
        <v/>
      </c>
      <c r="I229" s="9" t="n"/>
    </row>
    <row r="230">
      <c r="A230" s="13">
        <f>IF(ISBLANK(B230),"",ROW()-1)</f>
        <v/>
      </c>
      <c r="B230" s="9" t="n"/>
      <c r="C230" s="9" t="n"/>
      <c r="D230" s="15">
        <f>IFERROR(IF(ISBLANK(C230),"",VLOOKUP(C230,Members!$A$2:$B$101,2,FALSE)),"")</f>
        <v/>
      </c>
      <c r="E230" s="9" t="n"/>
      <c r="F230" s="13">
        <f>IF(ISBLANK(E230),"",E230+Settings!$B$7)</f>
        <v/>
      </c>
      <c r="G230" s="9" t="n"/>
      <c r="H230" s="15">
        <f>IF(ISBLANK(B230),"",IF(NOT(ISBLANK(G230)),"Returned",IF(TODAY()&gt;F230,"Overdue","Active")))</f>
        <v/>
      </c>
      <c r="I230" s="9" t="n"/>
    </row>
    <row r="231">
      <c r="A231" s="13">
        <f>IF(ISBLANK(B231),"",ROW()-1)</f>
        <v/>
      </c>
      <c r="B231" s="9" t="n"/>
      <c r="C231" s="9" t="n"/>
      <c r="D231" s="15">
        <f>IFERROR(IF(ISBLANK(C231),"",VLOOKUP(C231,Members!$A$2:$B$101,2,FALSE)),"")</f>
        <v/>
      </c>
      <c r="E231" s="9" t="n"/>
      <c r="F231" s="13">
        <f>IF(ISBLANK(E231),"",E231+Settings!$B$7)</f>
        <v/>
      </c>
      <c r="G231" s="9" t="n"/>
      <c r="H231" s="15">
        <f>IF(ISBLANK(B231),"",IF(NOT(ISBLANK(G231)),"Returned",IF(TODAY()&gt;F231,"Overdue","Active")))</f>
        <v/>
      </c>
      <c r="I231" s="9" t="n"/>
    </row>
    <row r="232">
      <c r="A232" s="13">
        <f>IF(ISBLANK(B232),"",ROW()-1)</f>
        <v/>
      </c>
      <c r="B232" s="9" t="n"/>
      <c r="C232" s="9" t="n"/>
      <c r="D232" s="15">
        <f>IFERROR(IF(ISBLANK(C232),"",VLOOKUP(C232,Members!$A$2:$B$101,2,FALSE)),"")</f>
        <v/>
      </c>
      <c r="E232" s="9" t="n"/>
      <c r="F232" s="13">
        <f>IF(ISBLANK(E232),"",E232+Settings!$B$7)</f>
        <v/>
      </c>
      <c r="G232" s="9" t="n"/>
      <c r="H232" s="15">
        <f>IF(ISBLANK(B232),"",IF(NOT(ISBLANK(G232)),"Returned",IF(TODAY()&gt;F232,"Overdue","Active")))</f>
        <v/>
      </c>
      <c r="I232" s="9" t="n"/>
    </row>
    <row r="233">
      <c r="A233" s="13">
        <f>IF(ISBLANK(B233),"",ROW()-1)</f>
        <v/>
      </c>
      <c r="B233" s="9" t="n"/>
      <c r="C233" s="9" t="n"/>
      <c r="D233" s="15">
        <f>IFERROR(IF(ISBLANK(C233),"",VLOOKUP(C233,Members!$A$2:$B$101,2,FALSE)),"")</f>
        <v/>
      </c>
      <c r="E233" s="9" t="n"/>
      <c r="F233" s="13">
        <f>IF(ISBLANK(E233),"",E233+Settings!$B$7)</f>
        <v/>
      </c>
      <c r="G233" s="9" t="n"/>
      <c r="H233" s="15">
        <f>IF(ISBLANK(B233),"",IF(NOT(ISBLANK(G233)),"Returned",IF(TODAY()&gt;F233,"Overdue","Active")))</f>
        <v/>
      </c>
      <c r="I233" s="9" t="n"/>
    </row>
    <row r="234">
      <c r="A234" s="13">
        <f>IF(ISBLANK(B234),"",ROW()-1)</f>
        <v/>
      </c>
      <c r="B234" s="9" t="n"/>
      <c r="C234" s="9" t="n"/>
      <c r="D234" s="15">
        <f>IFERROR(IF(ISBLANK(C234),"",VLOOKUP(C234,Members!$A$2:$B$101,2,FALSE)),"")</f>
        <v/>
      </c>
      <c r="E234" s="9" t="n"/>
      <c r="F234" s="13">
        <f>IF(ISBLANK(E234),"",E234+Settings!$B$7)</f>
        <v/>
      </c>
      <c r="G234" s="9" t="n"/>
      <c r="H234" s="15">
        <f>IF(ISBLANK(B234),"",IF(NOT(ISBLANK(G234)),"Returned",IF(TODAY()&gt;F234,"Overdue","Active")))</f>
        <v/>
      </c>
      <c r="I234" s="9" t="n"/>
    </row>
    <row r="235">
      <c r="A235" s="13">
        <f>IF(ISBLANK(B235),"",ROW()-1)</f>
        <v/>
      </c>
      <c r="B235" s="9" t="n"/>
      <c r="C235" s="9" t="n"/>
      <c r="D235" s="15">
        <f>IFERROR(IF(ISBLANK(C235),"",VLOOKUP(C235,Members!$A$2:$B$101,2,FALSE)),"")</f>
        <v/>
      </c>
      <c r="E235" s="9" t="n"/>
      <c r="F235" s="13">
        <f>IF(ISBLANK(E235),"",E235+Settings!$B$7)</f>
        <v/>
      </c>
      <c r="G235" s="9" t="n"/>
      <c r="H235" s="15">
        <f>IF(ISBLANK(B235),"",IF(NOT(ISBLANK(G235)),"Returned",IF(TODAY()&gt;F235,"Overdue","Active")))</f>
        <v/>
      </c>
      <c r="I235" s="9" t="n"/>
    </row>
    <row r="236">
      <c r="A236" s="13">
        <f>IF(ISBLANK(B236),"",ROW()-1)</f>
        <v/>
      </c>
      <c r="B236" s="9" t="n"/>
      <c r="C236" s="9" t="n"/>
      <c r="D236" s="15">
        <f>IFERROR(IF(ISBLANK(C236),"",VLOOKUP(C236,Members!$A$2:$B$101,2,FALSE)),"")</f>
        <v/>
      </c>
      <c r="E236" s="9" t="n"/>
      <c r="F236" s="13">
        <f>IF(ISBLANK(E236),"",E236+Settings!$B$7)</f>
        <v/>
      </c>
      <c r="G236" s="9" t="n"/>
      <c r="H236" s="15">
        <f>IF(ISBLANK(B236),"",IF(NOT(ISBLANK(G236)),"Returned",IF(TODAY()&gt;F236,"Overdue","Active")))</f>
        <v/>
      </c>
      <c r="I236" s="9" t="n"/>
    </row>
    <row r="237">
      <c r="A237" s="13">
        <f>IF(ISBLANK(B237),"",ROW()-1)</f>
        <v/>
      </c>
      <c r="B237" s="9" t="n"/>
      <c r="C237" s="9" t="n"/>
      <c r="D237" s="15">
        <f>IFERROR(IF(ISBLANK(C237),"",VLOOKUP(C237,Members!$A$2:$B$101,2,FALSE)),"")</f>
        <v/>
      </c>
      <c r="E237" s="9" t="n"/>
      <c r="F237" s="13">
        <f>IF(ISBLANK(E237),"",E237+Settings!$B$7)</f>
        <v/>
      </c>
      <c r="G237" s="9" t="n"/>
      <c r="H237" s="15">
        <f>IF(ISBLANK(B237),"",IF(NOT(ISBLANK(G237)),"Returned",IF(TODAY()&gt;F237,"Overdue","Active")))</f>
        <v/>
      </c>
      <c r="I237" s="9" t="n"/>
    </row>
    <row r="238">
      <c r="A238" s="13">
        <f>IF(ISBLANK(B238),"",ROW()-1)</f>
        <v/>
      </c>
      <c r="B238" s="9" t="n"/>
      <c r="C238" s="9" t="n"/>
      <c r="D238" s="15">
        <f>IFERROR(IF(ISBLANK(C238),"",VLOOKUP(C238,Members!$A$2:$B$101,2,FALSE)),"")</f>
        <v/>
      </c>
      <c r="E238" s="9" t="n"/>
      <c r="F238" s="13">
        <f>IF(ISBLANK(E238),"",E238+Settings!$B$7)</f>
        <v/>
      </c>
      <c r="G238" s="9" t="n"/>
      <c r="H238" s="15">
        <f>IF(ISBLANK(B238),"",IF(NOT(ISBLANK(G238)),"Returned",IF(TODAY()&gt;F238,"Overdue","Active")))</f>
        <v/>
      </c>
      <c r="I238" s="9" t="n"/>
    </row>
    <row r="239">
      <c r="A239" s="13">
        <f>IF(ISBLANK(B239),"",ROW()-1)</f>
        <v/>
      </c>
      <c r="B239" s="9" t="n"/>
      <c r="C239" s="9" t="n"/>
      <c r="D239" s="15">
        <f>IFERROR(IF(ISBLANK(C239),"",VLOOKUP(C239,Members!$A$2:$B$101,2,FALSE)),"")</f>
        <v/>
      </c>
      <c r="E239" s="9" t="n"/>
      <c r="F239" s="13">
        <f>IF(ISBLANK(E239),"",E239+Settings!$B$7)</f>
        <v/>
      </c>
      <c r="G239" s="9" t="n"/>
      <c r="H239" s="15">
        <f>IF(ISBLANK(B239),"",IF(NOT(ISBLANK(G239)),"Returned",IF(TODAY()&gt;F239,"Overdue","Active")))</f>
        <v/>
      </c>
      <c r="I239" s="9" t="n"/>
    </row>
    <row r="240">
      <c r="A240" s="13">
        <f>IF(ISBLANK(B240),"",ROW()-1)</f>
        <v/>
      </c>
      <c r="B240" s="9" t="n"/>
      <c r="C240" s="9" t="n"/>
      <c r="D240" s="15">
        <f>IFERROR(IF(ISBLANK(C240),"",VLOOKUP(C240,Members!$A$2:$B$101,2,FALSE)),"")</f>
        <v/>
      </c>
      <c r="E240" s="9" t="n"/>
      <c r="F240" s="13">
        <f>IF(ISBLANK(E240),"",E240+Settings!$B$7)</f>
        <v/>
      </c>
      <c r="G240" s="9" t="n"/>
      <c r="H240" s="15">
        <f>IF(ISBLANK(B240),"",IF(NOT(ISBLANK(G240)),"Returned",IF(TODAY()&gt;F240,"Overdue","Active")))</f>
        <v/>
      </c>
      <c r="I240" s="9" t="n"/>
    </row>
    <row r="241">
      <c r="A241" s="13">
        <f>IF(ISBLANK(B241),"",ROW()-1)</f>
        <v/>
      </c>
      <c r="B241" s="9" t="n"/>
      <c r="C241" s="9" t="n"/>
      <c r="D241" s="15">
        <f>IFERROR(IF(ISBLANK(C241),"",VLOOKUP(C241,Members!$A$2:$B$101,2,FALSE)),"")</f>
        <v/>
      </c>
      <c r="E241" s="9" t="n"/>
      <c r="F241" s="13">
        <f>IF(ISBLANK(E241),"",E241+Settings!$B$7)</f>
        <v/>
      </c>
      <c r="G241" s="9" t="n"/>
      <c r="H241" s="15">
        <f>IF(ISBLANK(B241),"",IF(NOT(ISBLANK(G241)),"Returned",IF(TODAY()&gt;F241,"Overdue","Active")))</f>
        <v/>
      </c>
      <c r="I241" s="9" t="n"/>
    </row>
    <row r="242">
      <c r="A242" s="13">
        <f>IF(ISBLANK(B242),"",ROW()-1)</f>
        <v/>
      </c>
      <c r="B242" s="9" t="n"/>
      <c r="C242" s="9" t="n"/>
      <c r="D242" s="15">
        <f>IFERROR(IF(ISBLANK(C242),"",VLOOKUP(C242,Members!$A$2:$B$101,2,FALSE)),"")</f>
        <v/>
      </c>
      <c r="E242" s="9" t="n"/>
      <c r="F242" s="13">
        <f>IF(ISBLANK(E242),"",E242+Settings!$B$7)</f>
        <v/>
      </c>
      <c r="G242" s="9" t="n"/>
      <c r="H242" s="15">
        <f>IF(ISBLANK(B242),"",IF(NOT(ISBLANK(G242)),"Returned",IF(TODAY()&gt;F242,"Overdue","Active")))</f>
        <v/>
      </c>
      <c r="I242" s="9" t="n"/>
    </row>
    <row r="243">
      <c r="A243" s="13">
        <f>IF(ISBLANK(B243),"",ROW()-1)</f>
        <v/>
      </c>
      <c r="B243" s="9" t="n"/>
      <c r="C243" s="9" t="n"/>
      <c r="D243" s="15">
        <f>IFERROR(IF(ISBLANK(C243),"",VLOOKUP(C243,Members!$A$2:$B$101,2,FALSE)),"")</f>
        <v/>
      </c>
      <c r="E243" s="9" t="n"/>
      <c r="F243" s="13">
        <f>IF(ISBLANK(E243),"",E243+Settings!$B$7)</f>
        <v/>
      </c>
      <c r="G243" s="9" t="n"/>
      <c r="H243" s="15">
        <f>IF(ISBLANK(B243),"",IF(NOT(ISBLANK(G243)),"Returned",IF(TODAY()&gt;F243,"Overdue","Active")))</f>
        <v/>
      </c>
      <c r="I243" s="9" t="n"/>
    </row>
    <row r="244">
      <c r="A244" s="13">
        <f>IF(ISBLANK(B244),"",ROW()-1)</f>
        <v/>
      </c>
      <c r="B244" s="9" t="n"/>
      <c r="C244" s="9" t="n"/>
      <c r="D244" s="15">
        <f>IFERROR(IF(ISBLANK(C244),"",VLOOKUP(C244,Members!$A$2:$B$101,2,FALSE)),"")</f>
        <v/>
      </c>
      <c r="E244" s="9" t="n"/>
      <c r="F244" s="13">
        <f>IF(ISBLANK(E244),"",E244+Settings!$B$7)</f>
        <v/>
      </c>
      <c r="G244" s="9" t="n"/>
      <c r="H244" s="15">
        <f>IF(ISBLANK(B244),"",IF(NOT(ISBLANK(G244)),"Returned",IF(TODAY()&gt;F244,"Overdue","Active")))</f>
        <v/>
      </c>
      <c r="I244" s="9" t="n"/>
    </row>
    <row r="245">
      <c r="A245" s="13">
        <f>IF(ISBLANK(B245),"",ROW()-1)</f>
        <v/>
      </c>
      <c r="B245" s="9" t="n"/>
      <c r="C245" s="9" t="n"/>
      <c r="D245" s="15">
        <f>IFERROR(IF(ISBLANK(C245),"",VLOOKUP(C245,Members!$A$2:$B$101,2,FALSE)),"")</f>
        <v/>
      </c>
      <c r="E245" s="9" t="n"/>
      <c r="F245" s="13">
        <f>IF(ISBLANK(E245),"",E245+Settings!$B$7)</f>
        <v/>
      </c>
      <c r="G245" s="9" t="n"/>
      <c r="H245" s="15">
        <f>IF(ISBLANK(B245),"",IF(NOT(ISBLANK(G245)),"Returned",IF(TODAY()&gt;F245,"Overdue","Active")))</f>
        <v/>
      </c>
      <c r="I245" s="9" t="n"/>
    </row>
    <row r="246">
      <c r="A246" s="13">
        <f>IF(ISBLANK(B246),"",ROW()-1)</f>
        <v/>
      </c>
      <c r="B246" s="9" t="n"/>
      <c r="C246" s="9" t="n"/>
      <c r="D246" s="15">
        <f>IFERROR(IF(ISBLANK(C246),"",VLOOKUP(C246,Members!$A$2:$B$101,2,FALSE)),"")</f>
        <v/>
      </c>
      <c r="E246" s="9" t="n"/>
      <c r="F246" s="13">
        <f>IF(ISBLANK(E246),"",E246+Settings!$B$7)</f>
        <v/>
      </c>
      <c r="G246" s="9" t="n"/>
      <c r="H246" s="15">
        <f>IF(ISBLANK(B246),"",IF(NOT(ISBLANK(G246)),"Returned",IF(TODAY()&gt;F246,"Overdue","Active")))</f>
        <v/>
      </c>
      <c r="I246" s="9" t="n"/>
    </row>
    <row r="247">
      <c r="A247" s="13">
        <f>IF(ISBLANK(B247),"",ROW()-1)</f>
        <v/>
      </c>
      <c r="B247" s="9" t="n"/>
      <c r="C247" s="9" t="n"/>
      <c r="D247" s="15">
        <f>IFERROR(IF(ISBLANK(C247),"",VLOOKUP(C247,Members!$A$2:$B$101,2,FALSE)),"")</f>
        <v/>
      </c>
      <c r="E247" s="9" t="n"/>
      <c r="F247" s="13">
        <f>IF(ISBLANK(E247),"",E247+Settings!$B$7)</f>
        <v/>
      </c>
      <c r="G247" s="9" t="n"/>
      <c r="H247" s="15">
        <f>IF(ISBLANK(B247),"",IF(NOT(ISBLANK(G247)),"Returned",IF(TODAY()&gt;F247,"Overdue","Active")))</f>
        <v/>
      </c>
      <c r="I247" s="9" t="n"/>
    </row>
    <row r="248">
      <c r="A248" s="13">
        <f>IF(ISBLANK(B248),"",ROW()-1)</f>
        <v/>
      </c>
      <c r="B248" s="9" t="n"/>
      <c r="C248" s="9" t="n"/>
      <c r="D248" s="15">
        <f>IFERROR(IF(ISBLANK(C248),"",VLOOKUP(C248,Members!$A$2:$B$101,2,FALSE)),"")</f>
        <v/>
      </c>
      <c r="E248" s="9" t="n"/>
      <c r="F248" s="13">
        <f>IF(ISBLANK(E248),"",E248+Settings!$B$7)</f>
        <v/>
      </c>
      <c r="G248" s="9" t="n"/>
      <c r="H248" s="15">
        <f>IF(ISBLANK(B248),"",IF(NOT(ISBLANK(G248)),"Returned",IF(TODAY()&gt;F248,"Overdue","Active")))</f>
        <v/>
      </c>
      <c r="I248" s="9" t="n"/>
    </row>
    <row r="249">
      <c r="A249" s="13">
        <f>IF(ISBLANK(B249),"",ROW()-1)</f>
        <v/>
      </c>
      <c r="B249" s="9" t="n"/>
      <c r="C249" s="9" t="n"/>
      <c r="D249" s="15">
        <f>IFERROR(IF(ISBLANK(C249),"",VLOOKUP(C249,Members!$A$2:$B$101,2,FALSE)),"")</f>
        <v/>
      </c>
      <c r="E249" s="9" t="n"/>
      <c r="F249" s="13">
        <f>IF(ISBLANK(E249),"",E249+Settings!$B$7)</f>
        <v/>
      </c>
      <c r="G249" s="9" t="n"/>
      <c r="H249" s="15">
        <f>IF(ISBLANK(B249),"",IF(NOT(ISBLANK(G249)),"Returned",IF(TODAY()&gt;F249,"Overdue","Active")))</f>
        <v/>
      </c>
      <c r="I249" s="9" t="n"/>
    </row>
    <row r="250">
      <c r="A250" s="13">
        <f>IF(ISBLANK(B250),"",ROW()-1)</f>
        <v/>
      </c>
      <c r="B250" s="9" t="n"/>
      <c r="C250" s="9" t="n"/>
      <c r="D250" s="15">
        <f>IFERROR(IF(ISBLANK(C250),"",VLOOKUP(C250,Members!$A$2:$B$101,2,FALSE)),"")</f>
        <v/>
      </c>
      <c r="E250" s="9" t="n"/>
      <c r="F250" s="13">
        <f>IF(ISBLANK(E250),"",E250+Settings!$B$7)</f>
        <v/>
      </c>
      <c r="G250" s="9" t="n"/>
      <c r="H250" s="15">
        <f>IF(ISBLANK(B250),"",IF(NOT(ISBLANK(G250)),"Returned",IF(TODAY()&gt;F250,"Overdue","Active")))</f>
        <v/>
      </c>
      <c r="I250" s="9" t="n"/>
    </row>
    <row r="251">
      <c r="A251" s="13">
        <f>IF(ISBLANK(B251),"",ROW()-1)</f>
        <v/>
      </c>
      <c r="B251" s="9" t="n"/>
      <c r="C251" s="9" t="n"/>
      <c r="D251" s="15">
        <f>IFERROR(IF(ISBLANK(C251),"",VLOOKUP(C251,Members!$A$2:$B$101,2,FALSE)),"")</f>
        <v/>
      </c>
      <c r="E251" s="9" t="n"/>
      <c r="F251" s="13">
        <f>IF(ISBLANK(E251),"",E251+Settings!$B$7)</f>
        <v/>
      </c>
      <c r="G251" s="9" t="n"/>
      <c r="H251" s="15">
        <f>IF(ISBLANK(B251),"",IF(NOT(ISBLANK(G251)),"Returned",IF(TODAY()&gt;F251,"Overdue","Active")))</f>
        <v/>
      </c>
      <c r="I251" s="9" t="n"/>
    </row>
    <row r="252">
      <c r="A252" s="13">
        <f>IF(ISBLANK(B252),"",ROW()-1)</f>
        <v/>
      </c>
      <c r="B252" s="9" t="n"/>
      <c r="C252" s="9" t="n"/>
      <c r="D252" s="15">
        <f>IFERROR(IF(ISBLANK(C252),"",VLOOKUP(C252,Members!$A$2:$B$101,2,FALSE)),"")</f>
        <v/>
      </c>
      <c r="E252" s="9" t="n"/>
      <c r="F252" s="13">
        <f>IF(ISBLANK(E252),"",E252+Settings!$B$7)</f>
        <v/>
      </c>
      <c r="G252" s="9" t="n"/>
      <c r="H252" s="15">
        <f>IF(ISBLANK(B252),"",IF(NOT(ISBLANK(G252)),"Returned",IF(TODAY()&gt;F252,"Overdue","Active")))</f>
        <v/>
      </c>
      <c r="I252" s="9" t="n"/>
    </row>
    <row r="253">
      <c r="A253" s="13">
        <f>IF(ISBLANK(B253),"",ROW()-1)</f>
        <v/>
      </c>
      <c r="B253" s="9" t="n"/>
      <c r="C253" s="9" t="n"/>
      <c r="D253" s="15">
        <f>IFERROR(IF(ISBLANK(C253),"",VLOOKUP(C253,Members!$A$2:$B$101,2,FALSE)),"")</f>
        <v/>
      </c>
      <c r="E253" s="9" t="n"/>
      <c r="F253" s="13">
        <f>IF(ISBLANK(E253),"",E253+Settings!$B$7)</f>
        <v/>
      </c>
      <c r="G253" s="9" t="n"/>
      <c r="H253" s="15">
        <f>IF(ISBLANK(B253),"",IF(NOT(ISBLANK(G253)),"Returned",IF(TODAY()&gt;F253,"Overdue","Active")))</f>
        <v/>
      </c>
      <c r="I253" s="9" t="n"/>
    </row>
    <row r="254">
      <c r="A254" s="13">
        <f>IF(ISBLANK(B254),"",ROW()-1)</f>
        <v/>
      </c>
      <c r="B254" s="9" t="n"/>
      <c r="C254" s="9" t="n"/>
      <c r="D254" s="15">
        <f>IFERROR(IF(ISBLANK(C254),"",VLOOKUP(C254,Members!$A$2:$B$101,2,FALSE)),"")</f>
        <v/>
      </c>
      <c r="E254" s="9" t="n"/>
      <c r="F254" s="13">
        <f>IF(ISBLANK(E254),"",E254+Settings!$B$7)</f>
        <v/>
      </c>
      <c r="G254" s="9" t="n"/>
      <c r="H254" s="15">
        <f>IF(ISBLANK(B254),"",IF(NOT(ISBLANK(G254)),"Returned",IF(TODAY()&gt;F254,"Overdue","Active")))</f>
        <v/>
      </c>
      <c r="I254" s="9" t="n"/>
    </row>
    <row r="255">
      <c r="A255" s="13">
        <f>IF(ISBLANK(B255),"",ROW()-1)</f>
        <v/>
      </c>
      <c r="B255" s="9" t="n"/>
      <c r="C255" s="9" t="n"/>
      <c r="D255" s="15">
        <f>IFERROR(IF(ISBLANK(C255),"",VLOOKUP(C255,Members!$A$2:$B$101,2,FALSE)),"")</f>
        <v/>
      </c>
      <c r="E255" s="9" t="n"/>
      <c r="F255" s="13">
        <f>IF(ISBLANK(E255),"",E255+Settings!$B$7)</f>
        <v/>
      </c>
      <c r="G255" s="9" t="n"/>
      <c r="H255" s="15">
        <f>IF(ISBLANK(B255),"",IF(NOT(ISBLANK(G255)),"Returned",IF(TODAY()&gt;F255,"Overdue","Active")))</f>
        <v/>
      </c>
      <c r="I255" s="9" t="n"/>
    </row>
    <row r="256">
      <c r="A256" s="13">
        <f>IF(ISBLANK(B256),"",ROW()-1)</f>
        <v/>
      </c>
      <c r="B256" s="9" t="n"/>
      <c r="C256" s="9" t="n"/>
      <c r="D256" s="15">
        <f>IFERROR(IF(ISBLANK(C256),"",VLOOKUP(C256,Members!$A$2:$B$101,2,FALSE)),"")</f>
        <v/>
      </c>
      <c r="E256" s="9" t="n"/>
      <c r="F256" s="13">
        <f>IF(ISBLANK(E256),"",E256+Settings!$B$7)</f>
        <v/>
      </c>
      <c r="G256" s="9" t="n"/>
      <c r="H256" s="15">
        <f>IF(ISBLANK(B256),"",IF(NOT(ISBLANK(G256)),"Returned",IF(TODAY()&gt;F256,"Overdue","Active")))</f>
        <v/>
      </c>
      <c r="I256" s="9" t="n"/>
    </row>
    <row r="257">
      <c r="A257" s="13">
        <f>IF(ISBLANK(B257),"",ROW()-1)</f>
        <v/>
      </c>
      <c r="B257" s="9" t="n"/>
      <c r="C257" s="9" t="n"/>
      <c r="D257" s="15">
        <f>IFERROR(IF(ISBLANK(C257),"",VLOOKUP(C257,Members!$A$2:$B$101,2,FALSE)),"")</f>
        <v/>
      </c>
      <c r="E257" s="9" t="n"/>
      <c r="F257" s="13">
        <f>IF(ISBLANK(E257),"",E257+Settings!$B$7)</f>
        <v/>
      </c>
      <c r="G257" s="9" t="n"/>
      <c r="H257" s="15">
        <f>IF(ISBLANK(B257),"",IF(NOT(ISBLANK(G257)),"Returned",IF(TODAY()&gt;F257,"Overdue","Active")))</f>
        <v/>
      </c>
      <c r="I257" s="9" t="n"/>
    </row>
    <row r="258">
      <c r="A258" s="13">
        <f>IF(ISBLANK(B258),"",ROW()-1)</f>
        <v/>
      </c>
      <c r="B258" s="9" t="n"/>
      <c r="C258" s="9" t="n"/>
      <c r="D258" s="15">
        <f>IFERROR(IF(ISBLANK(C258),"",VLOOKUP(C258,Members!$A$2:$B$101,2,FALSE)),"")</f>
        <v/>
      </c>
      <c r="E258" s="9" t="n"/>
      <c r="F258" s="13">
        <f>IF(ISBLANK(E258),"",E258+Settings!$B$7)</f>
        <v/>
      </c>
      <c r="G258" s="9" t="n"/>
      <c r="H258" s="15">
        <f>IF(ISBLANK(B258),"",IF(NOT(ISBLANK(G258)),"Returned",IF(TODAY()&gt;F258,"Overdue","Active")))</f>
        <v/>
      </c>
      <c r="I258" s="9" t="n"/>
    </row>
    <row r="259">
      <c r="A259" s="13">
        <f>IF(ISBLANK(B259),"",ROW()-1)</f>
        <v/>
      </c>
      <c r="B259" s="9" t="n"/>
      <c r="C259" s="9" t="n"/>
      <c r="D259" s="15">
        <f>IFERROR(IF(ISBLANK(C259),"",VLOOKUP(C259,Members!$A$2:$B$101,2,FALSE)),"")</f>
        <v/>
      </c>
      <c r="E259" s="9" t="n"/>
      <c r="F259" s="13">
        <f>IF(ISBLANK(E259),"",E259+Settings!$B$7)</f>
        <v/>
      </c>
      <c r="G259" s="9" t="n"/>
      <c r="H259" s="15">
        <f>IF(ISBLANK(B259),"",IF(NOT(ISBLANK(G259)),"Returned",IF(TODAY()&gt;F259,"Overdue","Active")))</f>
        <v/>
      </c>
      <c r="I259" s="9" t="n"/>
    </row>
    <row r="260">
      <c r="A260" s="13">
        <f>IF(ISBLANK(B260),"",ROW()-1)</f>
        <v/>
      </c>
      <c r="B260" s="9" t="n"/>
      <c r="C260" s="9" t="n"/>
      <c r="D260" s="15">
        <f>IFERROR(IF(ISBLANK(C260),"",VLOOKUP(C260,Members!$A$2:$B$101,2,FALSE)),"")</f>
        <v/>
      </c>
      <c r="E260" s="9" t="n"/>
      <c r="F260" s="13">
        <f>IF(ISBLANK(E260),"",E260+Settings!$B$7)</f>
        <v/>
      </c>
      <c r="G260" s="9" t="n"/>
      <c r="H260" s="15">
        <f>IF(ISBLANK(B260),"",IF(NOT(ISBLANK(G260)),"Returned",IF(TODAY()&gt;F260,"Overdue","Active")))</f>
        <v/>
      </c>
      <c r="I260" s="9" t="n"/>
    </row>
    <row r="261">
      <c r="A261" s="13">
        <f>IF(ISBLANK(B261),"",ROW()-1)</f>
        <v/>
      </c>
      <c r="B261" s="9" t="n"/>
      <c r="C261" s="9" t="n"/>
      <c r="D261" s="15">
        <f>IFERROR(IF(ISBLANK(C261),"",VLOOKUP(C261,Members!$A$2:$B$101,2,FALSE)),"")</f>
        <v/>
      </c>
      <c r="E261" s="9" t="n"/>
      <c r="F261" s="13">
        <f>IF(ISBLANK(E261),"",E261+Settings!$B$7)</f>
        <v/>
      </c>
      <c r="G261" s="9" t="n"/>
      <c r="H261" s="15">
        <f>IF(ISBLANK(B261),"",IF(NOT(ISBLANK(G261)),"Returned",IF(TODAY()&gt;F261,"Overdue","Active")))</f>
        <v/>
      </c>
      <c r="I261" s="9" t="n"/>
    </row>
    <row r="262">
      <c r="A262" s="13">
        <f>IF(ISBLANK(B262),"",ROW()-1)</f>
        <v/>
      </c>
      <c r="B262" s="9" t="n"/>
      <c r="C262" s="9" t="n"/>
      <c r="D262" s="15">
        <f>IFERROR(IF(ISBLANK(C262),"",VLOOKUP(C262,Members!$A$2:$B$101,2,FALSE)),"")</f>
        <v/>
      </c>
      <c r="E262" s="9" t="n"/>
      <c r="F262" s="13">
        <f>IF(ISBLANK(E262),"",E262+Settings!$B$7)</f>
        <v/>
      </c>
      <c r="G262" s="9" t="n"/>
      <c r="H262" s="15">
        <f>IF(ISBLANK(B262),"",IF(NOT(ISBLANK(G262)),"Returned",IF(TODAY()&gt;F262,"Overdue","Active")))</f>
        <v/>
      </c>
      <c r="I262" s="9" t="n"/>
    </row>
    <row r="263">
      <c r="A263" s="13">
        <f>IF(ISBLANK(B263),"",ROW()-1)</f>
        <v/>
      </c>
      <c r="B263" s="9" t="n"/>
      <c r="C263" s="9" t="n"/>
      <c r="D263" s="15">
        <f>IFERROR(IF(ISBLANK(C263),"",VLOOKUP(C263,Members!$A$2:$B$101,2,FALSE)),"")</f>
        <v/>
      </c>
      <c r="E263" s="9" t="n"/>
      <c r="F263" s="13">
        <f>IF(ISBLANK(E263),"",E263+Settings!$B$7)</f>
        <v/>
      </c>
      <c r="G263" s="9" t="n"/>
      <c r="H263" s="15">
        <f>IF(ISBLANK(B263),"",IF(NOT(ISBLANK(G263)),"Returned",IF(TODAY()&gt;F263,"Overdue","Active")))</f>
        <v/>
      </c>
      <c r="I263" s="9" t="n"/>
    </row>
    <row r="264">
      <c r="A264" s="13">
        <f>IF(ISBLANK(B264),"",ROW()-1)</f>
        <v/>
      </c>
      <c r="B264" s="9" t="n"/>
      <c r="C264" s="9" t="n"/>
      <c r="D264" s="15">
        <f>IFERROR(IF(ISBLANK(C264),"",VLOOKUP(C264,Members!$A$2:$B$101,2,FALSE)),"")</f>
        <v/>
      </c>
      <c r="E264" s="9" t="n"/>
      <c r="F264" s="13">
        <f>IF(ISBLANK(E264),"",E264+Settings!$B$7)</f>
        <v/>
      </c>
      <c r="G264" s="9" t="n"/>
      <c r="H264" s="15">
        <f>IF(ISBLANK(B264),"",IF(NOT(ISBLANK(G264)),"Returned",IF(TODAY()&gt;F264,"Overdue","Active")))</f>
        <v/>
      </c>
      <c r="I264" s="9" t="n"/>
    </row>
    <row r="265">
      <c r="A265" s="13">
        <f>IF(ISBLANK(B265),"",ROW()-1)</f>
        <v/>
      </c>
      <c r="B265" s="9" t="n"/>
      <c r="C265" s="9" t="n"/>
      <c r="D265" s="15">
        <f>IFERROR(IF(ISBLANK(C265),"",VLOOKUP(C265,Members!$A$2:$B$101,2,FALSE)),"")</f>
        <v/>
      </c>
      <c r="E265" s="9" t="n"/>
      <c r="F265" s="13">
        <f>IF(ISBLANK(E265),"",E265+Settings!$B$7)</f>
        <v/>
      </c>
      <c r="G265" s="9" t="n"/>
      <c r="H265" s="15">
        <f>IF(ISBLANK(B265),"",IF(NOT(ISBLANK(G265)),"Returned",IF(TODAY()&gt;F265,"Overdue","Active")))</f>
        <v/>
      </c>
      <c r="I265" s="9" t="n"/>
    </row>
    <row r="266">
      <c r="A266" s="13">
        <f>IF(ISBLANK(B266),"",ROW()-1)</f>
        <v/>
      </c>
      <c r="B266" s="9" t="n"/>
      <c r="C266" s="9" t="n"/>
      <c r="D266" s="15">
        <f>IFERROR(IF(ISBLANK(C266),"",VLOOKUP(C266,Members!$A$2:$B$101,2,FALSE)),"")</f>
        <v/>
      </c>
      <c r="E266" s="9" t="n"/>
      <c r="F266" s="13">
        <f>IF(ISBLANK(E266),"",E266+Settings!$B$7)</f>
        <v/>
      </c>
      <c r="G266" s="9" t="n"/>
      <c r="H266" s="15">
        <f>IF(ISBLANK(B266),"",IF(NOT(ISBLANK(G266)),"Returned",IF(TODAY()&gt;F266,"Overdue","Active")))</f>
        <v/>
      </c>
      <c r="I266" s="9" t="n"/>
    </row>
    <row r="267">
      <c r="A267" s="13">
        <f>IF(ISBLANK(B267),"",ROW()-1)</f>
        <v/>
      </c>
      <c r="B267" s="9" t="n"/>
      <c r="C267" s="9" t="n"/>
      <c r="D267" s="15">
        <f>IFERROR(IF(ISBLANK(C267),"",VLOOKUP(C267,Members!$A$2:$B$101,2,FALSE)),"")</f>
        <v/>
      </c>
      <c r="E267" s="9" t="n"/>
      <c r="F267" s="13">
        <f>IF(ISBLANK(E267),"",E267+Settings!$B$7)</f>
        <v/>
      </c>
      <c r="G267" s="9" t="n"/>
      <c r="H267" s="15">
        <f>IF(ISBLANK(B267),"",IF(NOT(ISBLANK(G267)),"Returned",IF(TODAY()&gt;F267,"Overdue","Active")))</f>
        <v/>
      </c>
      <c r="I267" s="9" t="n"/>
    </row>
    <row r="268">
      <c r="A268" s="13">
        <f>IF(ISBLANK(B268),"",ROW()-1)</f>
        <v/>
      </c>
      <c r="B268" s="9" t="n"/>
      <c r="C268" s="9" t="n"/>
      <c r="D268" s="15">
        <f>IFERROR(IF(ISBLANK(C268),"",VLOOKUP(C268,Members!$A$2:$B$101,2,FALSE)),"")</f>
        <v/>
      </c>
      <c r="E268" s="9" t="n"/>
      <c r="F268" s="13">
        <f>IF(ISBLANK(E268),"",E268+Settings!$B$7)</f>
        <v/>
      </c>
      <c r="G268" s="9" t="n"/>
      <c r="H268" s="15">
        <f>IF(ISBLANK(B268),"",IF(NOT(ISBLANK(G268)),"Returned",IF(TODAY()&gt;F268,"Overdue","Active")))</f>
        <v/>
      </c>
      <c r="I268" s="9" t="n"/>
    </row>
    <row r="269">
      <c r="A269" s="13">
        <f>IF(ISBLANK(B269),"",ROW()-1)</f>
        <v/>
      </c>
      <c r="B269" s="9" t="n"/>
      <c r="C269" s="9" t="n"/>
      <c r="D269" s="15">
        <f>IFERROR(IF(ISBLANK(C269),"",VLOOKUP(C269,Members!$A$2:$B$101,2,FALSE)),"")</f>
        <v/>
      </c>
      <c r="E269" s="9" t="n"/>
      <c r="F269" s="13">
        <f>IF(ISBLANK(E269),"",E269+Settings!$B$7)</f>
        <v/>
      </c>
      <c r="G269" s="9" t="n"/>
      <c r="H269" s="15">
        <f>IF(ISBLANK(B269),"",IF(NOT(ISBLANK(G269)),"Returned",IF(TODAY()&gt;F269,"Overdue","Active")))</f>
        <v/>
      </c>
      <c r="I269" s="9" t="n"/>
    </row>
    <row r="270">
      <c r="A270" s="13">
        <f>IF(ISBLANK(B270),"",ROW()-1)</f>
        <v/>
      </c>
      <c r="B270" s="9" t="n"/>
      <c r="C270" s="9" t="n"/>
      <c r="D270" s="15">
        <f>IFERROR(IF(ISBLANK(C270),"",VLOOKUP(C270,Members!$A$2:$B$101,2,FALSE)),"")</f>
        <v/>
      </c>
      <c r="E270" s="9" t="n"/>
      <c r="F270" s="13">
        <f>IF(ISBLANK(E270),"",E270+Settings!$B$7)</f>
        <v/>
      </c>
      <c r="G270" s="9" t="n"/>
      <c r="H270" s="15">
        <f>IF(ISBLANK(B270),"",IF(NOT(ISBLANK(G270)),"Returned",IF(TODAY()&gt;F270,"Overdue","Active")))</f>
        <v/>
      </c>
      <c r="I270" s="9" t="n"/>
    </row>
    <row r="271">
      <c r="A271" s="13">
        <f>IF(ISBLANK(B271),"",ROW()-1)</f>
        <v/>
      </c>
      <c r="B271" s="9" t="n"/>
      <c r="C271" s="9" t="n"/>
      <c r="D271" s="15">
        <f>IFERROR(IF(ISBLANK(C271),"",VLOOKUP(C271,Members!$A$2:$B$101,2,FALSE)),"")</f>
        <v/>
      </c>
      <c r="E271" s="9" t="n"/>
      <c r="F271" s="13">
        <f>IF(ISBLANK(E271),"",E271+Settings!$B$7)</f>
        <v/>
      </c>
      <c r="G271" s="9" t="n"/>
      <c r="H271" s="15">
        <f>IF(ISBLANK(B271),"",IF(NOT(ISBLANK(G271)),"Returned",IF(TODAY()&gt;F271,"Overdue","Active")))</f>
        <v/>
      </c>
      <c r="I271" s="9" t="n"/>
    </row>
    <row r="272">
      <c r="A272" s="13">
        <f>IF(ISBLANK(B272),"",ROW()-1)</f>
        <v/>
      </c>
      <c r="B272" s="9" t="n"/>
      <c r="C272" s="9" t="n"/>
      <c r="D272" s="15">
        <f>IFERROR(IF(ISBLANK(C272),"",VLOOKUP(C272,Members!$A$2:$B$101,2,FALSE)),"")</f>
        <v/>
      </c>
      <c r="E272" s="9" t="n"/>
      <c r="F272" s="13">
        <f>IF(ISBLANK(E272),"",E272+Settings!$B$7)</f>
        <v/>
      </c>
      <c r="G272" s="9" t="n"/>
      <c r="H272" s="15">
        <f>IF(ISBLANK(B272),"",IF(NOT(ISBLANK(G272)),"Returned",IF(TODAY()&gt;F272,"Overdue","Active")))</f>
        <v/>
      </c>
      <c r="I272" s="9" t="n"/>
    </row>
    <row r="273">
      <c r="A273" s="13">
        <f>IF(ISBLANK(B273),"",ROW()-1)</f>
        <v/>
      </c>
      <c r="B273" s="9" t="n"/>
      <c r="C273" s="9" t="n"/>
      <c r="D273" s="15">
        <f>IFERROR(IF(ISBLANK(C273),"",VLOOKUP(C273,Members!$A$2:$B$101,2,FALSE)),"")</f>
        <v/>
      </c>
      <c r="E273" s="9" t="n"/>
      <c r="F273" s="13">
        <f>IF(ISBLANK(E273),"",E273+Settings!$B$7)</f>
        <v/>
      </c>
      <c r="G273" s="9" t="n"/>
      <c r="H273" s="15">
        <f>IF(ISBLANK(B273),"",IF(NOT(ISBLANK(G273)),"Returned",IF(TODAY()&gt;F273,"Overdue","Active")))</f>
        <v/>
      </c>
      <c r="I273" s="9" t="n"/>
    </row>
    <row r="274">
      <c r="A274" s="13">
        <f>IF(ISBLANK(B274),"",ROW()-1)</f>
        <v/>
      </c>
      <c r="B274" s="9" t="n"/>
      <c r="C274" s="9" t="n"/>
      <c r="D274" s="15">
        <f>IFERROR(IF(ISBLANK(C274),"",VLOOKUP(C274,Members!$A$2:$B$101,2,FALSE)),"")</f>
        <v/>
      </c>
      <c r="E274" s="9" t="n"/>
      <c r="F274" s="13">
        <f>IF(ISBLANK(E274),"",E274+Settings!$B$7)</f>
        <v/>
      </c>
      <c r="G274" s="9" t="n"/>
      <c r="H274" s="15">
        <f>IF(ISBLANK(B274),"",IF(NOT(ISBLANK(G274)),"Returned",IF(TODAY()&gt;F274,"Overdue","Active")))</f>
        <v/>
      </c>
      <c r="I274" s="9" t="n"/>
    </row>
    <row r="275">
      <c r="A275" s="13">
        <f>IF(ISBLANK(B275),"",ROW()-1)</f>
        <v/>
      </c>
      <c r="B275" s="9" t="n"/>
      <c r="C275" s="9" t="n"/>
      <c r="D275" s="15">
        <f>IFERROR(IF(ISBLANK(C275),"",VLOOKUP(C275,Members!$A$2:$B$101,2,FALSE)),"")</f>
        <v/>
      </c>
      <c r="E275" s="9" t="n"/>
      <c r="F275" s="13">
        <f>IF(ISBLANK(E275),"",E275+Settings!$B$7)</f>
        <v/>
      </c>
      <c r="G275" s="9" t="n"/>
      <c r="H275" s="15">
        <f>IF(ISBLANK(B275),"",IF(NOT(ISBLANK(G275)),"Returned",IF(TODAY()&gt;F275,"Overdue","Active")))</f>
        <v/>
      </c>
      <c r="I275" s="9" t="n"/>
    </row>
    <row r="276">
      <c r="A276" s="13">
        <f>IF(ISBLANK(B276),"",ROW()-1)</f>
        <v/>
      </c>
      <c r="B276" s="9" t="n"/>
      <c r="C276" s="9" t="n"/>
      <c r="D276" s="15">
        <f>IFERROR(IF(ISBLANK(C276),"",VLOOKUP(C276,Members!$A$2:$B$101,2,FALSE)),"")</f>
        <v/>
      </c>
      <c r="E276" s="9" t="n"/>
      <c r="F276" s="13">
        <f>IF(ISBLANK(E276),"",E276+Settings!$B$7)</f>
        <v/>
      </c>
      <c r="G276" s="9" t="n"/>
      <c r="H276" s="15">
        <f>IF(ISBLANK(B276),"",IF(NOT(ISBLANK(G276)),"Returned",IF(TODAY()&gt;F276,"Overdue","Active")))</f>
        <v/>
      </c>
      <c r="I276" s="9" t="n"/>
    </row>
    <row r="277">
      <c r="A277" s="13">
        <f>IF(ISBLANK(B277),"",ROW()-1)</f>
        <v/>
      </c>
      <c r="B277" s="9" t="n"/>
      <c r="C277" s="9" t="n"/>
      <c r="D277" s="15">
        <f>IFERROR(IF(ISBLANK(C277),"",VLOOKUP(C277,Members!$A$2:$B$101,2,FALSE)),"")</f>
        <v/>
      </c>
      <c r="E277" s="9" t="n"/>
      <c r="F277" s="13">
        <f>IF(ISBLANK(E277),"",E277+Settings!$B$7)</f>
        <v/>
      </c>
      <c r="G277" s="9" t="n"/>
      <c r="H277" s="15">
        <f>IF(ISBLANK(B277),"",IF(NOT(ISBLANK(G277)),"Returned",IF(TODAY()&gt;F277,"Overdue","Active")))</f>
        <v/>
      </c>
      <c r="I277" s="9" t="n"/>
    </row>
    <row r="278">
      <c r="A278" s="13">
        <f>IF(ISBLANK(B278),"",ROW()-1)</f>
        <v/>
      </c>
      <c r="B278" s="9" t="n"/>
      <c r="C278" s="9" t="n"/>
      <c r="D278" s="15">
        <f>IFERROR(IF(ISBLANK(C278),"",VLOOKUP(C278,Members!$A$2:$B$101,2,FALSE)),"")</f>
        <v/>
      </c>
      <c r="E278" s="9" t="n"/>
      <c r="F278" s="13">
        <f>IF(ISBLANK(E278),"",E278+Settings!$B$7)</f>
        <v/>
      </c>
      <c r="G278" s="9" t="n"/>
      <c r="H278" s="15">
        <f>IF(ISBLANK(B278),"",IF(NOT(ISBLANK(G278)),"Returned",IF(TODAY()&gt;F278,"Overdue","Active")))</f>
        <v/>
      </c>
      <c r="I278" s="9" t="n"/>
    </row>
    <row r="279">
      <c r="A279" s="13">
        <f>IF(ISBLANK(B279),"",ROW()-1)</f>
        <v/>
      </c>
      <c r="B279" s="9" t="n"/>
      <c r="C279" s="9" t="n"/>
      <c r="D279" s="15">
        <f>IFERROR(IF(ISBLANK(C279),"",VLOOKUP(C279,Members!$A$2:$B$101,2,FALSE)),"")</f>
        <v/>
      </c>
      <c r="E279" s="9" t="n"/>
      <c r="F279" s="13">
        <f>IF(ISBLANK(E279),"",E279+Settings!$B$7)</f>
        <v/>
      </c>
      <c r="G279" s="9" t="n"/>
      <c r="H279" s="15">
        <f>IF(ISBLANK(B279),"",IF(NOT(ISBLANK(G279)),"Returned",IF(TODAY()&gt;F279,"Overdue","Active")))</f>
        <v/>
      </c>
      <c r="I279" s="9" t="n"/>
    </row>
    <row r="280">
      <c r="A280" s="13">
        <f>IF(ISBLANK(B280),"",ROW()-1)</f>
        <v/>
      </c>
      <c r="B280" s="9" t="n"/>
      <c r="C280" s="9" t="n"/>
      <c r="D280" s="15">
        <f>IFERROR(IF(ISBLANK(C280),"",VLOOKUP(C280,Members!$A$2:$B$101,2,FALSE)),"")</f>
        <v/>
      </c>
      <c r="E280" s="9" t="n"/>
      <c r="F280" s="13">
        <f>IF(ISBLANK(E280),"",E280+Settings!$B$7)</f>
        <v/>
      </c>
      <c r="G280" s="9" t="n"/>
      <c r="H280" s="15">
        <f>IF(ISBLANK(B280),"",IF(NOT(ISBLANK(G280)),"Returned",IF(TODAY()&gt;F280,"Overdue","Active")))</f>
        <v/>
      </c>
      <c r="I280" s="9" t="n"/>
    </row>
    <row r="281">
      <c r="A281" s="13">
        <f>IF(ISBLANK(B281),"",ROW()-1)</f>
        <v/>
      </c>
      <c r="B281" s="9" t="n"/>
      <c r="C281" s="9" t="n"/>
      <c r="D281" s="15">
        <f>IFERROR(IF(ISBLANK(C281),"",VLOOKUP(C281,Members!$A$2:$B$101,2,FALSE)),"")</f>
        <v/>
      </c>
      <c r="E281" s="9" t="n"/>
      <c r="F281" s="13">
        <f>IF(ISBLANK(E281),"",E281+Settings!$B$7)</f>
        <v/>
      </c>
      <c r="G281" s="9" t="n"/>
      <c r="H281" s="15">
        <f>IF(ISBLANK(B281),"",IF(NOT(ISBLANK(G281)),"Returned",IF(TODAY()&gt;F281,"Overdue","Active")))</f>
        <v/>
      </c>
      <c r="I281" s="9" t="n"/>
    </row>
    <row r="282">
      <c r="A282" s="13">
        <f>IF(ISBLANK(B282),"",ROW()-1)</f>
        <v/>
      </c>
      <c r="B282" s="9" t="n"/>
      <c r="C282" s="9" t="n"/>
      <c r="D282" s="15">
        <f>IFERROR(IF(ISBLANK(C282),"",VLOOKUP(C282,Members!$A$2:$B$101,2,FALSE)),"")</f>
        <v/>
      </c>
      <c r="E282" s="9" t="n"/>
      <c r="F282" s="13">
        <f>IF(ISBLANK(E282),"",E282+Settings!$B$7)</f>
        <v/>
      </c>
      <c r="G282" s="9" t="n"/>
      <c r="H282" s="15">
        <f>IF(ISBLANK(B282),"",IF(NOT(ISBLANK(G282)),"Returned",IF(TODAY()&gt;F282,"Overdue","Active")))</f>
        <v/>
      </c>
      <c r="I282" s="9" t="n"/>
    </row>
    <row r="283">
      <c r="A283" s="13">
        <f>IF(ISBLANK(B283),"",ROW()-1)</f>
        <v/>
      </c>
      <c r="B283" s="9" t="n"/>
      <c r="C283" s="9" t="n"/>
      <c r="D283" s="15">
        <f>IFERROR(IF(ISBLANK(C283),"",VLOOKUP(C283,Members!$A$2:$B$101,2,FALSE)),"")</f>
        <v/>
      </c>
      <c r="E283" s="9" t="n"/>
      <c r="F283" s="13">
        <f>IF(ISBLANK(E283),"",E283+Settings!$B$7)</f>
        <v/>
      </c>
      <c r="G283" s="9" t="n"/>
      <c r="H283" s="15">
        <f>IF(ISBLANK(B283),"",IF(NOT(ISBLANK(G283)),"Returned",IF(TODAY()&gt;F283,"Overdue","Active")))</f>
        <v/>
      </c>
      <c r="I283" s="9" t="n"/>
    </row>
    <row r="284">
      <c r="A284" s="13">
        <f>IF(ISBLANK(B284),"",ROW()-1)</f>
        <v/>
      </c>
      <c r="B284" s="9" t="n"/>
      <c r="C284" s="9" t="n"/>
      <c r="D284" s="15">
        <f>IFERROR(IF(ISBLANK(C284),"",VLOOKUP(C284,Members!$A$2:$B$101,2,FALSE)),"")</f>
        <v/>
      </c>
      <c r="E284" s="9" t="n"/>
      <c r="F284" s="13">
        <f>IF(ISBLANK(E284),"",E284+Settings!$B$7)</f>
        <v/>
      </c>
      <c r="G284" s="9" t="n"/>
      <c r="H284" s="15">
        <f>IF(ISBLANK(B284),"",IF(NOT(ISBLANK(G284)),"Returned",IF(TODAY()&gt;F284,"Overdue","Active")))</f>
        <v/>
      </c>
      <c r="I284" s="9" t="n"/>
    </row>
    <row r="285">
      <c r="A285" s="13">
        <f>IF(ISBLANK(B285),"",ROW()-1)</f>
        <v/>
      </c>
      <c r="B285" s="9" t="n"/>
      <c r="C285" s="9" t="n"/>
      <c r="D285" s="15">
        <f>IFERROR(IF(ISBLANK(C285),"",VLOOKUP(C285,Members!$A$2:$B$101,2,FALSE)),"")</f>
        <v/>
      </c>
      <c r="E285" s="9" t="n"/>
      <c r="F285" s="13">
        <f>IF(ISBLANK(E285),"",E285+Settings!$B$7)</f>
        <v/>
      </c>
      <c r="G285" s="9" t="n"/>
      <c r="H285" s="15">
        <f>IF(ISBLANK(B285),"",IF(NOT(ISBLANK(G285)),"Returned",IF(TODAY()&gt;F285,"Overdue","Active")))</f>
        <v/>
      </c>
      <c r="I285" s="9" t="n"/>
    </row>
    <row r="286">
      <c r="A286" s="13">
        <f>IF(ISBLANK(B286),"",ROW()-1)</f>
        <v/>
      </c>
      <c r="B286" s="9" t="n"/>
      <c r="C286" s="9" t="n"/>
      <c r="D286" s="15">
        <f>IFERROR(IF(ISBLANK(C286),"",VLOOKUP(C286,Members!$A$2:$B$101,2,FALSE)),"")</f>
        <v/>
      </c>
      <c r="E286" s="9" t="n"/>
      <c r="F286" s="13">
        <f>IF(ISBLANK(E286),"",E286+Settings!$B$7)</f>
        <v/>
      </c>
      <c r="G286" s="9" t="n"/>
      <c r="H286" s="15">
        <f>IF(ISBLANK(B286),"",IF(NOT(ISBLANK(G286)),"Returned",IF(TODAY()&gt;F286,"Overdue","Active")))</f>
        <v/>
      </c>
      <c r="I286" s="9" t="n"/>
    </row>
    <row r="287">
      <c r="A287" s="13">
        <f>IF(ISBLANK(B287),"",ROW()-1)</f>
        <v/>
      </c>
      <c r="B287" s="9" t="n"/>
      <c r="C287" s="9" t="n"/>
      <c r="D287" s="15">
        <f>IFERROR(IF(ISBLANK(C287),"",VLOOKUP(C287,Members!$A$2:$B$101,2,FALSE)),"")</f>
        <v/>
      </c>
      <c r="E287" s="9" t="n"/>
      <c r="F287" s="13">
        <f>IF(ISBLANK(E287),"",E287+Settings!$B$7)</f>
        <v/>
      </c>
      <c r="G287" s="9" t="n"/>
      <c r="H287" s="15">
        <f>IF(ISBLANK(B287),"",IF(NOT(ISBLANK(G287)),"Returned",IF(TODAY()&gt;F287,"Overdue","Active")))</f>
        <v/>
      </c>
      <c r="I287" s="9" t="n"/>
    </row>
    <row r="288">
      <c r="A288" s="13">
        <f>IF(ISBLANK(B288),"",ROW()-1)</f>
        <v/>
      </c>
      <c r="B288" s="9" t="n"/>
      <c r="C288" s="9" t="n"/>
      <c r="D288" s="15">
        <f>IFERROR(IF(ISBLANK(C288),"",VLOOKUP(C288,Members!$A$2:$B$101,2,FALSE)),"")</f>
        <v/>
      </c>
      <c r="E288" s="9" t="n"/>
      <c r="F288" s="13">
        <f>IF(ISBLANK(E288),"",E288+Settings!$B$7)</f>
        <v/>
      </c>
      <c r="G288" s="9" t="n"/>
      <c r="H288" s="15">
        <f>IF(ISBLANK(B288),"",IF(NOT(ISBLANK(G288)),"Returned",IF(TODAY()&gt;F288,"Overdue","Active")))</f>
        <v/>
      </c>
      <c r="I288" s="9" t="n"/>
    </row>
    <row r="289">
      <c r="A289" s="13">
        <f>IF(ISBLANK(B289),"",ROW()-1)</f>
        <v/>
      </c>
      <c r="B289" s="9" t="n"/>
      <c r="C289" s="9" t="n"/>
      <c r="D289" s="15">
        <f>IFERROR(IF(ISBLANK(C289),"",VLOOKUP(C289,Members!$A$2:$B$101,2,FALSE)),"")</f>
        <v/>
      </c>
      <c r="E289" s="9" t="n"/>
      <c r="F289" s="13">
        <f>IF(ISBLANK(E289),"",E289+Settings!$B$7)</f>
        <v/>
      </c>
      <c r="G289" s="9" t="n"/>
      <c r="H289" s="15">
        <f>IF(ISBLANK(B289),"",IF(NOT(ISBLANK(G289)),"Returned",IF(TODAY()&gt;F289,"Overdue","Active")))</f>
        <v/>
      </c>
      <c r="I289" s="9" t="n"/>
    </row>
    <row r="290">
      <c r="A290" s="13">
        <f>IF(ISBLANK(B290),"",ROW()-1)</f>
        <v/>
      </c>
      <c r="B290" s="9" t="n"/>
      <c r="C290" s="9" t="n"/>
      <c r="D290" s="15">
        <f>IFERROR(IF(ISBLANK(C290),"",VLOOKUP(C290,Members!$A$2:$B$101,2,FALSE)),"")</f>
        <v/>
      </c>
      <c r="E290" s="9" t="n"/>
      <c r="F290" s="13">
        <f>IF(ISBLANK(E290),"",E290+Settings!$B$7)</f>
        <v/>
      </c>
      <c r="G290" s="9" t="n"/>
      <c r="H290" s="15">
        <f>IF(ISBLANK(B290),"",IF(NOT(ISBLANK(G290)),"Returned",IF(TODAY()&gt;F290,"Overdue","Active")))</f>
        <v/>
      </c>
      <c r="I290" s="9" t="n"/>
    </row>
    <row r="291">
      <c r="A291" s="13">
        <f>IF(ISBLANK(B291),"",ROW()-1)</f>
        <v/>
      </c>
      <c r="B291" s="9" t="n"/>
      <c r="C291" s="9" t="n"/>
      <c r="D291" s="15">
        <f>IFERROR(IF(ISBLANK(C291),"",VLOOKUP(C291,Members!$A$2:$B$101,2,FALSE)),"")</f>
        <v/>
      </c>
      <c r="E291" s="9" t="n"/>
      <c r="F291" s="13">
        <f>IF(ISBLANK(E291),"",E291+Settings!$B$7)</f>
        <v/>
      </c>
      <c r="G291" s="9" t="n"/>
      <c r="H291" s="15">
        <f>IF(ISBLANK(B291),"",IF(NOT(ISBLANK(G291)),"Returned",IF(TODAY()&gt;F291,"Overdue","Active")))</f>
        <v/>
      </c>
      <c r="I291" s="9" t="n"/>
    </row>
    <row r="292">
      <c r="A292" s="13">
        <f>IF(ISBLANK(B292),"",ROW()-1)</f>
        <v/>
      </c>
      <c r="B292" s="9" t="n"/>
      <c r="C292" s="9" t="n"/>
      <c r="D292" s="15">
        <f>IFERROR(IF(ISBLANK(C292),"",VLOOKUP(C292,Members!$A$2:$B$101,2,FALSE)),"")</f>
        <v/>
      </c>
      <c r="E292" s="9" t="n"/>
      <c r="F292" s="13">
        <f>IF(ISBLANK(E292),"",E292+Settings!$B$7)</f>
        <v/>
      </c>
      <c r="G292" s="9" t="n"/>
      <c r="H292" s="15">
        <f>IF(ISBLANK(B292),"",IF(NOT(ISBLANK(G292)),"Returned",IF(TODAY()&gt;F292,"Overdue","Active")))</f>
        <v/>
      </c>
      <c r="I292" s="9" t="n"/>
    </row>
    <row r="293">
      <c r="A293" s="13">
        <f>IF(ISBLANK(B293),"",ROW()-1)</f>
        <v/>
      </c>
      <c r="B293" s="9" t="n"/>
      <c r="C293" s="9" t="n"/>
      <c r="D293" s="15">
        <f>IFERROR(IF(ISBLANK(C293),"",VLOOKUP(C293,Members!$A$2:$B$101,2,FALSE)),"")</f>
        <v/>
      </c>
      <c r="E293" s="9" t="n"/>
      <c r="F293" s="13">
        <f>IF(ISBLANK(E293),"",E293+Settings!$B$7)</f>
        <v/>
      </c>
      <c r="G293" s="9" t="n"/>
      <c r="H293" s="15">
        <f>IF(ISBLANK(B293),"",IF(NOT(ISBLANK(G293)),"Returned",IF(TODAY()&gt;F293,"Overdue","Active")))</f>
        <v/>
      </c>
      <c r="I293" s="9" t="n"/>
    </row>
    <row r="294">
      <c r="A294" s="13">
        <f>IF(ISBLANK(B294),"",ROW()-1)</f>
        <v/>
      </c>
      <c r="B294" s="9" t="n"/>
      <c r="C294" s="9" t="n"/>
      <c r="D294" s="15">
        <f>IFERROR(IF(ISBLANK(C294),"",VLOOKUP(C294,Members!$A$2:$B$101,2,FALSE)),"")</f>
        <v/>
      </c>
      <c r="E294" s="9" t="n"/>
      <c r="F294" s="13">
        <f>IF(ISBLANK(E294),"",E294+Settings!$B$7)</f>
        <v/>
      </c>
      <c r="G294" s="9" t="n"/>
      <c r="H294" s="15">
        <f>IF(ISBLANK(B294),"",IF(NOT(ISBLANK(G294)),"Returned",IF(TODAY()&gt;F294,"Overdue","Active")))</f>
        <v/>
      </c>
      <c r="I294" s="9" t="n"/>
    </row>
    <row r="295">
      <c r="A295" s="13">
        <f>IF(ISBLANK(B295),"",ROW()-1)</f>
        <v/>
      </c>
      <c r="B295" s="9" t="n"/>
      <c r="C295" s="9" t="n"/>
      <c r="D295" s="15">
        <f>IFERROR(IF(ISBLANK(C295),"",VLOOKUP(C295,Members!$A$2:$B$101,2,FALSE)),"")</f>
        <v/>
      </c>
      <c r="E295" s="9" t="n"/>
      <c r="F295" s="13">
        <f>IF(ISBLANK(E295),"",E295+Settings!$B$7)</f>
        <v/>
      </c>
      <c r="G295" s="9" t="n"/>
      <c r="H295" s="15">
        <f>IF(ISBLANK(B295),"",IF(NOT(ISBLANK(G295)),"Returned",IF(TODAY()&gt;F295,"Overdue","Active")))</f>
        <v/>
      </c>
      <c r="I295" s="9" t="n"/>
    </row>
    <row r="296">
      <c r="A296" s="13">
        <f>IF(ISBLANK(B296),"",ROW()-1)</f>
        <v/>
      </c>
      <c r="B296" s="9" t="n"/>
      <c r="C296" s="9" t="n"/>
      <c r="D296" s="15">
        <f>IFERROR(IF(ISBLANK(C296),"",VLOOKUP(C296,Members!$A$2:$B$101,2,FALSE)),"")</f>
        <v/>
      </c>
      <c r="E296" s="9" t="n"/>
      <c r="F296" s="13">
        <f>IF(ISBLANK(E296),"",E296+Settings!$B$7)</f>
        <v/>
      </c>
      <c r="G296" s="9" t="n"/>
      <c r="H296" s="15">
        <f>IF(ISBLANK(B296),"",IF(NOT(ISBLANK(G296)),"Returned",IF(TODAY()&gt;F296,"Overdue","Active")))</f>
        <v/>
      </c>
      <c r="I296" s="9" t="n"/>
    </row>
    <row r="297">
      <c r="A297" s="13">
        <f>IF(ISBLANK(B297),"",ROW()-1)</f>
        <v/>
      </c>
      <c r="B297" s="9" t="n"/>
      <c r="C297" s="9" t="n"/>
      <c r="D297" s="15">
        <f>IFERROR(IF(ISBLANK(C297),"",VLOOKUP(C297,Members!$A$2:$B$101,2,FALSE)),"")</f>
        <v/>
      </c>
      <c r="E297" s="9" t="n"/>
      <c r="F297" s="13">
        <f>IF(ISBLANK(E297),"",E297+Settings!$B$7)</f>
        <v/>
      </c>
      <c r="G297" s="9" t="n"/>
      <c r="H297" s="15">
        <f>IF(ISBLANK(B297),"",IF(NOT(ISBLANK(G297)),"Returned",IF(TODAY()&gt;F297,"Overdue","Active")))</f>
        <v/>
      </c>
      <c r="I297" s="9" t="n"/>
    </row>
    <row r="298">
      <c r="A298" s="13">
        <f>IF(ISBLANK(B298),"",ROW()-1)</f>
        <v/>
      </c>
      <c r="B298" s="9" t="n"/>
      <c r="C298" s="9" t="n"/>
      <c r="D298" s="15">
        <f>IFERROR(IF(ISBLANK(C298),"",VLOOKUP(C298,Members!$A$2:$B$101,2,FALSE)),"")</f>
        <v/>
      </c>
      <c r="E298" s="9" t="n"/>
      <c r="F298" s="13">
        <f>IF(ISBLANK(E298),"",E298+Settings!$B$7)</f>
        <v/>
      </c>
      <c r="G298" s="9" t="n"/>
      <c r="H298" s="15">
        <f>IF(ISBLANK(B298),"",IF(NOT(ISBLANK(G298)),"Returned",IF(TODAY()&gt;F298,"Overdue","Active")))</f>
        <v/>
      </c>
      <c r="I298" s="9" t="n"/>
    </row>
    <row r="299">
      <c r="A299" s="13">
        <f>IF(ISBLANK(B299),"",ROW()-1)</f>
        <v/>
      </c>
      <c r="B299" s="9" t="n"/>
      <c r="C299" s="9" t="n"/>
      <c r="D299" s="15">
        <f>IFERROR(IF(ISBLANK(C299),"",VLOOKUP(C299,Members!$A$2:$B$101,2,FALSE)),"")</f>
        <v/>
      </c>
      <c r="E299" s="9" t="n"/>
      <c r="F299" s="13">
        <f>IF(ISBLANK(E299),"",E299+Settings!$B$7)</f>
        <v/>
      </c>
      <c r="G299" s="9" t="n"/>
      <c r="H299" s="15">
        <f>IF(ISBLANK(B299),"",IF(NOT(ISBLANK(G299)),"Returned",IF(TODAY()&gt;F299,"Overdue","Active")))</f>
        <v/>
      </c>
      <c r="I299" s="9" t="n"/>
    </row>
    <row r="300">
      <c r="A300" s="13">
        <f>IF(ISBLANK(B300),"",ROW()-1)</f>
        <v/>
      </c>
      <c r="B300" s="9" t="n"/>
      <c r="C300" s="9" t="n"/>
      <c r="D300" s="15">
        <f>IFERROR(IF(ISBLANK(C300),"",VLOOKUP(C300,Members!$A$2:$B$101,2,FALSE)),"")</f>
        <v/>
      </c>
      <c r="E300" s="9" t="n"/>
      <c r="F300" s="13">
        <f>IF(ISBLANK(E300),"",E300+Settings!$B$7)</f>
        <v/>
      </c>
      <c r="G300" s="9" t="n"/>
      <c r="H300" s="15">
        <f>IF(ISBLANK(B300),"",IF(NOT(ISBLANK(G300)),"Returned",IF(TODAY()&gt;F300,"Overdue","Active")))</f>
        <v/>
      </c>
      <c r="I300" s="9" t="n"/>
    </row>
    <row r="301">
      <c r="A301" s="13">
        <f>IF(ISBLANK(B301),"",ROW()-1)</f>
        <v/>
      </c>
      <c r="B301" s="9" t="n"/>
      <c r="C301" s="9" t="n"/>
      <c r="D301" s="15">
        <f>IFERROR(IF(ISBLANK(C301),"",VLOOKUP(C301,Members!$A$2:$B$101,2,FALSE)),"")</f>
        <v/>
      </c>
      <c r="E301" s="9" t="n"/>
      <c r="F301" s="13">
        <f>IF(ISBLANK(E301),"",E301+Settings!$B$7)</f>
        <v/>
      </c>
      <c r="G301" s="9" t="n"/>
      <c r="H301" s="15">
        <f>IF(ISBLANK(B301),"",IF(NOT(ISBLANK(G301)),"Returned",IF(TODAY()&gt;F301,"Overdue","Active")))</f>
        <v/>
      </c>
      <c r="I301" s="9" t="n"/>
    </row>
    <row r="302">
      <c r="A302" s="13">
        <f>IF(ISBLANK(B302),"",ROW()-1)</f>
        <v/>
      </c>
      <c r="B302" s="9" t="n"/>
      <c r="C302" s="9" t="n"/>
      <c r="D302" s="15">
        <f>IFERROR(IF(ISBLANK(C302),"",VLOOKUP(C302,Members!$A$2:$B$101,2,FALSE)),"")</f>
        <v/>
      </c>
      <c r="E302" s="9" t="n"/>
      <c r="F302" s="13">
        <f>IF(ISBLANK(E302),"",E302+Settings!$B$7)</f>
        <v/>
      </c>
      <c r="G302" s="9" t="n"/>
      <c r="H302" s="15">
        <f>IF(ISBLANK(B302),"",IF(NOT(ISBLANK(G302)),"Returned",IF(TODAY()&gt;F302,"Overdue","Active")))</f>
        <v/>
      </c>
      <c r="I302" s="9" t="n"/>
    </row>
    <row r="303">
      <c r="A303" s="13">
        <f>IF(ISBLANK(B303),"",ROW()-1)</f>
        <v/>
      </c>
      <c r="B303" s="9" t="n"/>
      <c r="C303" s="9" t="n"/>
      <c r="D303" s="15">
        <f>IFERROR(IF(ISBLANK(C303),"",VLOOKUP(C303,Members!$A$2:$B$101,2,FALSE)),"")</f>
        <v/>
      </c>
      <c r="E303" s="9" t="n"/>
      <c r="F303" s="13">
        <f>IF(ISBLANK(E303),"",E303+Settings!$B$7)</f>
        <v/>
      </c>
      <c r="G303" s="9" t="n"/>
      <c r="H303" s="15">
        <f>IF(ISBLANK(B303),"",IF(NOT(ISBLANK(G303)),"Returned",IF(TODAY()&gt;F303,"Overdue","Active")))</f>
        <v/>
      </c>
      <c r="I303" s="9" t="n"/>
    </row>
    <row r="304">
      <c r="A304" s="13">
        <f>IF(ISBLANK(B304),"",ROW()-1)</f>
        <v/>
      </c>
      <c r="B304" s="9" t="n"/>
      <c r="C304" s="9" t="n"/>
      <c r="D304" s="15">
        <f>IFERROR(IF(ISBLANK(C304),"",VLOOKUP(C304,Members!$A$2:$B$101,2,FALSE)),"")</f>
        <v/>
      </c>
      <c r="E304" s="9" t="n"/>
      <c r="F304" s="13">
        <f>IF(ISBLANK(E304),"",E304+Settings!$B$7)</f>
        <v/>
      </c>
      <c r="G304" s="9" t="n"/>
      <c r="H304" s="15">
        <f>IF(ISBLANK(B304),"",IF(NOT(ISBLANK(G304)),"Returned",IF(TODAY()&gt;F304,"Overdue","Active")))</f>
        <v/>
      </c>
      <c r="I304" s="9" t="n"/>
    </row>
    <row r="305">
      <c r="A305" s="13">
        <f>IF(ISBLANK(B305),"",ROW()-1)</f>
        <v/>
      </c>
      <c r="B305" s="9" t="n"/>
      <c r="C305" s="9" t="n"/>
      <c r="D305" s="15">
        <f>IFERROR(IF(ISBLANK(C305),"",VLOOKUP(C305,Members!$A$2:$B$101,2,FALSE)),"")</f>
        <v/>
      </c>
      <c r="E305" s="9" t="n"/>
      <c r="F305" s="13">
        <f>IF(ISBLANK(E305),"",E305+Settings!$B$7)</f>
        <v/>
      </c>
      <c r="G305" s="9" t="n"/>
      <c r="H305" s="15">
        <f>IF(ISBLANK(B305),"",IF(NOT(ISBLANK(G305)),"Returned",IF(TODAY()&gt;F305,"Overdue","Active")))</f>
        <v/>
      </c>
      <c r="I305" s="9" t="n"/>
    </row>
    <row r="306">
      <c r="A306" s="13">
        <f>IF(ISBLANK(B306),"",ROW()-1)</f>
        <v/>
      </c>
      <c r="B306" s="9" t="n"/>
      <c r="C306" s="9" t="n"/>
      <c r="D306" s="15">
        <f>IFERROR(IF(ISBLANK(C306),"",VLOOKUP(C306,Members!$A$2:$B$101,2,FALSE)),"")</f>
        <v/>
      </c>
      <c r="E306" s="9" t="n"/>
      <c r="F306" s="13">
        <f>IF(ISBLANK(E306),"",E306+Settings!$B$7)</f>
        <v/>
      </c>
      <c r="G306" s="9" t="n"/>
      <c r="H306" s="15">
        <f>IF(ISBLANK(B306),"",IF(NOT(ISBLANK(G306)),"Returned",IF(TODAY()&gt;F306,"Overdue","Active")))</f>
        <v/>
      </c>
      <c r="I306" s="9" t="n"/>
    </row>
    <row r="307">
      <c r="A307" s="13">
        <f>IF(ISBLANK(B307),"",ROW()-1)</f>
        <v/>
      </c>
      <c r="B307" s="9" t="n"/>
      <c r="C307" s="9" t="n"/>
      <c r="D307" s="15">
        <f>IFERROR(IF(ISBLANK(C307),"",VLOOKUP(C307,Members!$A$2:$B$101,2,FALSE)),"")</f>
        <v/>
      </c>
      <c r="E307" s="9" t="n"/>
      <c r="F307" s="13">
        <f>IF(ISBLANK(E307),"",E307+Settings!$B$7)</f>
        <v/>
      </c>
      <c r="G307" s="9" t="n"/>
      <c r="H307" s="15">
        <f>IF(ISBLANK(B307),"",IF(NOT(ISBLANK(G307)),"Returned",IF(TODAY()&gt;F307,"Overdue","Active")))</f>
        <v/>
      </c>
      <c r="I307" s="9" t="n"/>
    </row>
    <row r="308">
      <c r="A308" s="13">
        <f>IF(ISBLANK(B308),"",ROW()-1)</f>
        <v/>
      </c>
      <c r="B308" s="9" t="n"/>
      <c r="C308" s="9" t="n"/>
      <c r="D308" s="15">
        <f>IFERROR(IF(ISBLANK(C308),"",VLOOKUP(C308,Members!$A$2:$B$101,2,FALSE)),"")</f>
        <v/>
      </c>
      <c r="E308" s="9" t="n"/>
      <c r="F308" s="13">
        <f>IF(ISBLANK(E308),"",E308+Settings!$B$7)</f>
        <v/>
      </c>
      <c r="G308" s="9" t="n"/>
      <c r="H308" s="15">
        <f>IF(ISBLANK(B308),"",IF(NOT(ISBLANK(G308)),"Returned",IF(TODAY()&gt;F308,"Overdue","Active")))</f>
        <v/>
      </c>
      <c r="I308" s="9" t="n"/>
    </row>
    <row r="309">
      <c r="A309" s="13">
        <f>IF(ISBLANK(B309),"",ROW()-1)</f>
        <v/>
      </c>
      <c r="B309" s="9" t="n"/>
      <c r="C309" s="9" t="n"/>
      <c r="D309" s="15">
        <f>IFERROR(IF(ISBLANK(C309),"",VLOOKUP(C309,Members!$A$2:$B$101,2,FALSE)),"")</f>
        <v/>
      </c>
      <c r="E309" s="9" t="n"/>
      <c r="F309" s="13">
        <f>IF(ISBLANK(E309),"",E309+Settings!$B$7)</f>
        <v/>
      </c>
      <c r="G309" s="9" t="n"/>
      <c r="H309" s="15">
        <f>IF(ISBLANK(B309),"",IF(NOT(ISBLANK(G309)),"Returned",IF(TODAY()&gt;F309,"Overdue","Active")))</f>
        <v/>
      </c>
      <c r="I309" s="9" t="n"/>
    </row>
    <row r="310">
      <c r="A310" s="13">
        <f>IF(ISBLANK(B310),"",ROW()-1)</f>
        <v/>
      </c>
      <c r="B310" s="9" t="n"/>
      <c r="C310" s="9" t="n"/>
      <c r="D310" s="15">
        <f>IFERROR(IF(ISBLANK(C310),"",VLOOKUP(C310,Members!$A$2:$B$101,2,FALSE)),"")</f>
        <v/>
      </c>
      <c r="E310" s="9" t="n"/>
      <c r="F310" s="13">
        <f>IF(ISBLANK(E310),"",E310+Settings!$B$7)</f>
        <v/>
      </c>
      <c r="G310" s="9" t="n"/>
      <c r="H310" s="15">
        <f>IF(ISBLANK(B310),"",IF(NOT(ISBLANK(G310)),"Returned",IF(TODAY()&gt;F310,"Overdue","Active")))</f>
        <v/>
      </c>
      <c r="I310" s="9" t="n"/>
    </row>
    <row r="311">
      <c r="A311" s="13">
        <f>IF(ISBLANK(B311),"",ROW()-1)</f>
        <v/>
      </c>
      <c r="B311" s="9" t="n"/>
      <c r="C311" s="9" t="n"/>
      <c r="D311" s="15">
        <f>IFERROR(IF(ISBLANK(C311),"",VLOOKUP(C311,Members!$A$2:$B$101,2,FALSE)),"")</f>
        <v/>
      </c>
      <c r="E311" s="9" t="n"/>
      <c r="F311" s="13">
        <f>IF(ISBLANK(E311),"",E311+Settings!$B$7)</f>
        <v/>
      </c>
      <c r="G311" s="9" t="n"/>
      <c r="H311" s="15">
        <f>IF(ISBLANK(B311),"",IF(NOT(ISBLANK(G311)),"Returned",IF(TODAY()&gt;F311,"Overdue","Active")))</f>
        <v/>
      </c>
      <c r="I311" s="9" t="n"/>
    </row>
    <row r="312">
      <c r="A312" s="13">
        <f>IF(ISBLANK(B312),"",ROW()-1)</f>
        <v/>
      </c>
      <c r="B312" s="9" t="n"/>
      <c r="C312" s="9" t="n"/>
      <c r="D312" s="15">
        <f>IFERROR(IF(ISBLANK(C312),"",VLOOKUP(C312,Members!$A$2:$B$101,2,FALSE)),"")</f>
        <v/>
      </c>
      <c r="E312" s="9" t="n"/>
      <c r="F312" s="13">
        <f>IF(ISBLANK(E312),"",E312+Settings!$B$7)</f>
        <v/>
      </c>
      <c r="G312" s="9" t="n"/>
      <c r="H312" s="15">
        <f>IF(ISBLANK(B312),"",IF(NOT(ISBLANK(G312)),"Returned",IF(TODAY()&gt;F312,"Overdue","Active")))</f>
        <v/>
      </c>
      <c r="I312" s="9" t="n"/>
    </row>
    <row r="313">
      <c r="A313" s="13">
        <f>IF(ISBLANK(B313),"",ROW()-1)</f>
        <v/>
      </c>
      <c r="B313" s="9" t="n"/>
      <c r="C313" s="9" t="n"/>
      <c r="D313" s="15">
        <f>IFERROR(IF(ISBLANK(C313),"",VLOOKUP(C313,Members!$A$2:$B$101,2,FALSE)),"")</f>
        <v/>
      </c>
      <c r="E313" s="9" t="n"/>
      <c r="F313" s="13">
        <f>IF(ISBLANK(E313),"",E313+Settings!$B$7)</f>
        <v/>
      </c>
      <c r="G313" s="9" t="n"/>
      <c r="H313" s="15">
        <f>IF(ISBLANK(B313),"",IF(NOT(ISBLANK(G313)),"Returned",IF(TODAY()&gt;F313,"Overdue","Active")))</f>
        <v/>
      </c>
      <c r="I313" s="9" t="n"/>
    </row>
    <row r="314">
      <c r="A314" s="13">
        <f>IF(ISBLANK(B314),"",ROW()-1)</f>
        <v/>
      </c>
      <c r="B314" s="9" t="n"/>
      <c r="C314" s="9" t="n"/>
      <c r="D314" s="15">
        <f>IFERROR(IF(ISBLANK(C314),"",VLOOKUP(C314,Members!$A$2:$B$101,2,FALSE)),"")</f>
        <v/>
      </c>
      <c r="E314" s="9" t="n"/>
      <c r="F314" s="13">
        <f>IF(ISBLANK(E314),"",E314+Settings!$B$7)</f>
        <v/>
      </c>
      <c r="G314" s="9" t="n"/>
      <c r="H314" s="15">
        <f>IF(ISBLANK(B314),"",IF(NOT(ISBLANK(G314)),"Returned",IF(TODAY()&gt;F314,"Overdue","Active")))</f>
        <v/>
      </c>
      <c r="I314" s="9" t="n"/>
    </row>
    <row r="315">
      <c r="A315" s="13">
        <f>IF(ISBLANK(B315),"",ROW()-1)</f>
        <v/>
      </c>
      <c r="B315" s="9" t="n"/>
      <c r="C315" s="9" t="n"/>
      <c r="D315" s="15">
        <f>IFERROR(IF(ISBLANK(C315),"",VLOOKUP(C315,Members!$A$2:$B$101,2,FALSE)),"")</f>
        <v/>
      </c>
      <c r="E315" s="9" t="n"/>
      <c r="F315" s="13">
        <f>IF(ISBLANK(E315),"",E315+Settings!$B$7)</f>
        <v/>
      </c>
      <c r="G315" s="9" t="n"/>
      <c r="H315" s="15">
        <f>IF(ISBLANK(B315),"",IF(NOT(ISBLANK(G315)),"Returned",IF(TODAY()&gt;F315,"Overdue","Active")))</f>
        <v/>
      </c>
      <c r="I315" s="9" t="n"/>
    </row>
    <row r="316">
      <c r="A316" s="13">
        <f>IF(ISBLANK(B316),"",ROW()-1)</f>
        <v/>
      </c>
      <c r="B316" s="9" t="n"/>
      <c r="C316" s="9" t="n"/>
      <c r="D316" s="15">
        <f>IFERROR(IF(ISBLANK(C316),"",VLOOKUP(C316,Members!$A$2:$B$101,2,FALSE)),"")</f>
        <v/>
      </c>
      <c r="E316" s="9" t="n"/>
      <c r="F316" s="13">
        <f>IF(ISBLANK(E316),"",E316+Settings!$B$7)</f>
        <v/>
      </c>
      <c r="G316" s="9" t="n"/>
      <c r="H316" s="15">
        <f>IF(ISBLANK(B316),"",IF(NOT(ISBLANK(G316)),"Returned",IF(TODAY()&gt;F316,"Overdue","Active")))</f>
        <v/>
      </c>
      <c r="I316" s="9" t="n"/>
    </row>
    <row r="317">
      <c r="A317" s="13">
        <f>IF(ISBLANK(B317),"",ROW()-1)</f>
        <v/>
      </c>
      <c r="B317" s="9" t="n"/>
      <c r="C317" s="9" t="n"/>
      <c r="D317" s="15">
        <f>IFERROR(IF(ISBLANK(C317),"",VLOOKUP(C317,Members!$A$2:$B$101,2,FALSE)),"")</f>
        <v/>
      </c>
      <c r="E317" s="9" t="n"/>
      <c r="F317" s="13">
        <f>IF(ISBLANK(E317),"",E317+Settings!$B$7)</f>
        <v/>
      </c>
      <c r="G317" s="9" t="n"/>
      <c r="H317" s="15">
        <f>IF(ISBLANK(B317),"",IF(NOT(ISBLANK(G317)),"Returned",IF(TODAY()&gt;F317,"Overdue","Active")))</f>
        <v/>
      </c>
      <c r="I317" s="9" t="n"/>
    </row>
    <row r="318">
      <c r="A318" s="13">
        <f>IF(ISBLANK(B318),"",ROW()-1)</f>
        <v/>
      </c>
      <c r="B318" s="9" t="n"/>
      <c r="C318" s="9" t="n"/>
      <c r="D318" s="15">
        <f>IFERROR(IF(ISBLANK(C318),"",VLOOKUP(C318,Members!$A$2:$B$101,2,FALSE)),"")</f>
        <v/>
      </c>
      <c r="E318" s="9" t="n"/>
      <c r="F318" s="13">
        <f>IF(ISBLANK(E318),"",E318+Settings!$B$7)</f>
        <v/>
      </c>
      <c r="G318" s="9" t="n"/>
      <c r="H318" s="15">
        <f>IF(ISBLANK(B318),"",IF(NOT(ISBLANK(G318)),"Returned",IF(TODAY()&gt;F318,"Overdue","Active")))</f>
        <v/>
      </c>
      <c r="I318" s="9" t="n"/>
    </row>
    <row r="319">
      <c r="A319" s="13">
        <f>IF(ISBLANK(B319),"",ROW()-1)</f>
        <v/>
      </c>
      <c r="B319" s="9" t="n"/>
      <c r="C319" s="9" t="n"/>
      <c r="D319" s="15">
        <f>IFERROR(IF(ISBLANK(C319),"",VLOOKUP(C319,Members!$A$2:$B$101,2,FALSE)),"")</f>
        <v/>
      </c>
      <c r="E319" s="9" t="n"/>
      <c r="F319" s="13">
        <f>IF(ISBLANK(E319),"",E319+Settings!$B$7)</f>
        <v/>
      </c>
      <c r="G319" s="9" t="n"/>
      <c r="H319" s="15">
        <f>IF(ISBLANK(B319),"",IF(NOT(ISBLANK(G319)),"Returned",IF(TODAY()&gt;F319,"Overdue","Active")))</f>
        <v/>
      </c>
      <c r="I319" s="9" t="n"/>
    </row>
    <row r="320">
      <c r="A320" s="13">
        <f>IF(ISBLANK(B320),"",ROW()-1)</f>
        <v/>
      </c>
      <c r="B320" s="9" t="n"/>
      <c r="C320" s="9" t="n"/>
      <c r="D320" s="15">
        <f>IFERROR(IF(ISBLANK(C320),"",VLOOKUP(C320,Members!$A$2:$B$101,2,FALSE)),"")</f>
        <v/>
      </c>
      <c r="E320" s="9" t="n"/>
      <c r="F320" s="13">
        <f>IF(ISBLANK(E320),"",E320+Settings!$B$7)</f>
        <v/>
      </c>
      <c r="G320" s="9" t="n"/>
      <c r="H320" s="15">
        <f>IF(ISBLANK(B320),"",IF(NOT(ISBLANK(G320)),"Returned",IF(TODAY()&gt;F320,"Overdue","Active")))</f>
        <v/>
      </c>
      <c r="I320" s="9" t="n"/>
    </row>
    <row r="321">
      <c r="A321" s="13">
        <f>IF(ISBLANK(B321),"",ROW()-1)</f>
        <v/>
      </c>
      <c r="B321" s="9" t="n"/>
      <c r="C321" s="9" t="n"/>
      <c r="D321" s="15">
        <f>IFERROR(IF(ISBLANK(C321),"",VLOOKUP(C321,Members!$A$2:$B$101,2,FALSE)),"")</f>
        <v/>
      </c>
      <c r="E321" s="9" t="n"/>
      <c r="F321" s="13">
        <f>IF(ISBLANK(E321),"",E321+Settings!$B$7)</f>
        <v/>
      </c>
      <c r="G321" s="9" t="n"/>
      <c r="H321" s="15">
        <f>IF(ISBLANK(B321),"",IF(NOT(ISBLANK(G321)),"Returned",IF(TODAY()&gt;F321,"Overdue","Active")))</f>
        <v/>
      </c>
      <c r="I321" s="9" t="n"/>
    </row>
    <row r="322">
      <c r="A322" s="13">
        <f>IF(ISBLANK(B322),"",ROW()-1)</f>
        <v/>
      </c>
      <c r="B322" s="9" t="n"/>
      <c r="C322" s="9" t="n"/>
      <c r="D322" s="15">
        <f>IFERROR(IF(ISBLANK(C322),"",VLOOKUP(C322,Members!$A$2:$B$101,2,FALSE)),"")</f>
        <v/>
      </c>
      <c r="E322" s="9" t="n"/>
      <c r="F322" s="13">
        <f>IF(ISBLANK(E322),"",E322+Settings!$B$7)</f>
        <v/>
      </c>
      <c r="G322" s="9" t="n"/>
      <c r="H322" s="15">
        <f>IF(ISBLANK(B322),"",IF(NOT(ISBLANK(G322)),"Returned",IF(TODAY()&gt;F322,"Overdue","Active")))</f>
        <v/>
      </c>
      <c r="I322" s="9" t="n"/>
    </row>
    <row r="323">
      <c r="A323" s="13">
        <f>IF(ISBLANK(B323),"",ROW()-1)</f>
        <v/>
      </c>
      <c r="B323" s="9" t="n"/>
      <c r="C323" s="9" t="n"/>
      <c r="D323" s="15">
        <f>IFERROR(IF(ISBLANK(C323),"",VLOOKUP(C323,Members!$A$2:$B$101,2,FALSE)),"")</f>
        <v/>
      </c>
      <c r="E323" s="9" t="n"/>
      <c r="F323" s="13">
        <f>IF(ISBLANK(E323),"",E323+Settings!$B$7)</f>
        <v/>
      </c>
      <c r="G323" s="9" t="n"/>
      <c r="H323" s="15">
        <f>IF(ISBLANK(B323),"",IF(NOT(ISBLANK(G323)),"Returned",IF(TODAY()&gt;F323,"Overdue","Active")))</f>
        <v/>
      </c>
      <c r="I323" s="9" t="n"/>
    </row>
    <row r="324">
      <c r="A324" s="13">
        <f>IF(ISBLANK(B324),"",ROW()-1)</f>
        <v/>
      </c>
      <c r="B324" s="9" t="n"/>
      <c r="C324" s="9" t="n"/>
      <c r="D324" s="15">
        <f>IFERROR(IF(ISBLANK(C324),"",VLOOKUP(C324,Members!$A$2:$B$101,2,FALSE)),"")</f>
        <v/>
      </c>
      <c r="E324" s="9" t="n"/>
      <c r="F324" s="13">
        <f>IF(ISBLANK(E324),"",E324+Settings!$B$7)</f>
        <v/>
      </c>
      <c r="G324" s="9" t="n"/>
      <c r="H324" s="15">
        <f>IF(ISBLANK(B324),"",IF(NOT(ISBLANK(G324)),"Returned",IF(TODAY()&gt;F324,"Overdue","Active")))</f>
        <v/>
      </c>
      <c r="I324" s="9" t="n"/>
    </row>
    <row r="325">
      <c r="A325" s="13">
        <f>IF(ISBLANK(B325),"",ROW()-1)</f>
        <v/>
      </c>
      <c r="B325" s="9" t="n"/>
      <c r="C325" s="9" t="n"/>
      <c r="D325" s="15">
        <f>IFERROR(IF(ISBLANK(C325),"",VLOOKUP(C325,Members!$A$2:$B$101,2,FALSE)),"")</f>
        <v/>
      </c>
      <c r="E325" s="9" t="n"/>
      <c r="F325" s="13">
        <f>IF(ISBLANK(E325),"",E325+Settings!$B$7)</f>
        <v/>
      </c>
      <c r="G325" s="9" t="n"/>
      <c r="H325" s="15">
        <f>IF(ISBLANK(B325),"",IF(NOT(ISBLANK(G325)),"Returned",IF(TODAY()&gt;F325,"Overdue","Active")))</f>
        <v/>
      </c>
      <c r="I325" s="9" t="n"/>
    </row>
    <row r="326">
      <c r="A326" s="13">
        <f>IF(ISBLANK(B326),"",ROW()-1)</f>
        <v/>
      </c>
      <c r="B326" s="9" t="n"/>
      <c r="C326" s="9" t="n"/>
      <c r="D326" s="15">
        <f>IFERROR(IF(ISBLANK(C326),"",VLOOKUP(C326,Members!$A$2:$B$101,2,FALSE)),"")</f>
        <v/>
      </c>
      <c r="E326" s="9" t="n"/>
      <c r="F326" s="13">
        <f>IF(ISBLANK(E326),"",E326+Settings!$B$7)</f>
        <v/>
      </c>
      <c r="G326" s="9" t="n"/>
      <c r="H326" s="15">
        <f>IF(ISBLANK(B326),"",IF(NOT(ISBLANK(G326)),"Returned",IF(TODAY()&gt;F326,"Overdue","Active")))</f>
        <v/>
      </c>
      <c r="I326" s="9" t="n"/>
    </row>
    <row r="327">
      <c r="A327" s="13">
        <f>IF(ISBLANK(B327),"",ROW()-1)</f>
        <v/>
      </c>
      <c r="B327" s="9" t="n"/>
      <c r="C327" s="9" t="n"/>
      <c r="D327" s="15">
        <f>IFERROR(IF(ISBLANK(C327),"",VLOOKUP(C327,Members!$A$2:$B$101,2,FALSE)),"")</f>
        <v/>
      </c>
      <c r="E327" s="9" t="n"/>
      <c r="F327" s="13">
        <f>IF(ISBLANK(E327),"",E327+Settings!$B$7)</f>
        <v/>
      </c>
      <c r="G327" s="9" t="n"/>
      <c r="H327" s="15">
        <f>IF(ISBLANK(B327),"",IF(NOT(ISBLANK(G327)),"Returned",IF(TODAY()&gt;F327,"Overdue","Active")))</f>
        <v/>
      </c>
      <c r="I327" s="9" t="n"/>
    </row>
    <row r="328">
      <c r="A328" s="13">
        <f>IF(ISBLANK(B328),"",ROW()-1)</f>
        <v/>
      </c>
      <c r="B328" s="9" t="n"/>
      <c r="C328" s="9" t="n"/>
      <c r="D328" s="15">
        <f>IFERROR(IF(ISBLANK(C328),"",VLOOKUP(C328,Members!$A$2:$B$101,2,FALSE)),"")</f>
        <v/>
      </c>
      <c r="E328" s="9" t="n"/>
      <c r="F328" s="13">
        <f>IF(ISBLANK(E328),"",E328+Settings!$B$7)</f>
        <v/>
      </c>
      <c r="G328" s="9" t="n"/>
      <c r="H328" s="15">
        <f>IF(ISBLANK(B328),"",IF(NOT(ISBLANK(G328)),"Returned",IF(TODAY()&gt;F328,"Overdue","Active")))</f>
        <v/>
      </c>
      <c r="I328" s="9" t="n"/>
    </row>
    <row r="329">
      <c r="A329" s="13">
        <f>IF(ISBLANK(B329),"",ROW()-1)</f>
        <v/>
      </c>
      <c r="B329" s="9" t="n"/>
      <c r="C329" s="9" t="n"/>
      <c r="D329" s="15">
        <f>IFERROR(IF(ISBLANK(C329),"",VLOOKUP(C329,Members!$A$2:$B$101,2,FALSE)),"")</f>
        <v/>
      </c>
      <c r="E329" s="9" t="n"/>
      <c r="F329" s="13">
        <f>IF(ISBLANK(E329),"",E329+Settings!$B$7)</f>
        <v/>
      </c>
      <c r="G329" s="9" t="n"/>
      <c r="H329" s="15">
        <f>IF(ISBLANK(B329),"",IF(NOT(ISBLANK(G329)),"Returned",IF(TODAY()&gt;F329,"Overdue","Active")))</f>
        <v/>
      </c>
      <c r="I329" s="9" t="n"/>
    </row>
    <row r="330">
      <c r="A330" s="13">
        <f>IF(ISBLANK(B330),"",ROW()-1)</f>
        <v/>
      </c>
      <c r="B330" s="9" t="n"/>
      <c r="C330" s="9" t="n"/>
      <c r="D330" s="15">
        <f>IFERROR(IF(ISBLANK(C330),"",VLOOKUP(C330,Members!$A$2:$B$101,2,FALSE)),"")</f>
        <v/>
      </c>
      <c r="E330" s="9" t="n"/>
      <c r="F330" s="13">
        <f>IF(ISBLANK(E330),"",E330+Settings!$B$7)</f>
        <v/>
      </c>
      <c r="G330" s="9" t="n"/>
      <c r="H330" s="15">
        <f>IF(ISBLANK(B330),"",IF(NOT(ISBLANK(G330)),"Returned",IF(TODAY()&gt;F330,"Overdue","Active")))</f>
        <v/>
      </c>
      <c r="I330" s="9" t="n"/>
    </row>
    <row r="331">
      <c r="A331" s="13">
        <f>IF(ISBLANK(B331),"",ROW()-1)</f>
        <v/>
      </c>
      <c r="B331" s="9" t="n"/>
      <c r="C331" s="9" t="n"/>
      <c r="D331" s="15">
        <f>IFERROR(IF(ISBLANK(C331),"",VLOOKUP(C331,Members!$A$2:$B$101,2,FALSE)),"")</f>
        <v/>
      </c>
      <c r="E331" s="9" t="n"/>
      <c r="F331" s="13">
        <f>IF(ISBLANK(E331),"",E331+Settings!$B$7)</f>
        <v/>
      </c>
      <c r="G331" s="9" t="n"/>
      <c r="H331" s="15">
        <f>IF(ISBLANK(B331),"",IF(NOT(ISBLANK(G331)),"Returned",IF(TODAY()&gt;F331,"Overdue","Active")))</f>
        <v/>
      </c>
      <c r="I331" s="9" t="n"/>
    </row>
    <row r="332">
      <c r="A332" s="13">
        <f>IF(ISBLANK(B332),"",ROW()-1)</f>
        <v/>
      </c>
      <c r="B332" s="9" t="n"/>
      <c r="C332" s="9" t="n"/>
      <c r="D332" s="15">
        <f>IFERROR(IF(ISBLANK(C332),"",VLOOKUP(C332,Members!$A$2:$B$101,2,FALSE)),"")</f>
        <v/>
      </c>
      <c r="E332" s="9" t="n"/>
      <c r="F332" s="13">
        <f>IF(ISBLANK(E332),"",E332+Settings!$B$7)</f>
        <v/>
      </c>
      <c r="G332" s="9" t="n"/>
      <c r="H332" s="15">
        <f>IF(ISBLANK(B332),"",IF(NOT(ISBLANK(G332)),"Returned",IF(TODAY()&gt;F332,"Overdue","Active")))</f>
        <v/>
      </c>
      <c r="I332" s="9" t="n"/>
    </row>
    <row r="333">
      <c r="A333" s="13">
        <f>IF(ISBLANK(B333),"",ROW()-1)</f>
        <v/>
      </c>
      <c r="B333" s="9" t="n"/>
      <c r="C333" s="9" t="n"/>
      <c r="D333" s="15">
        <f>IFERROR(IF(ISBLANK(C333),"",VLOOKUP(C333,Members!$A$2:$B$101,2,FALSE)),"")</f>
        <v/>
      </c>
      <c r="E333" s="9" t="n"/>
      <c r="F333" s="13">
        <f>IF(ISBLANK(E333),"",E333+Settings!$B$7)</f>
        <v/>
      </c>
      <c r="G333" s="9" t="n"/>
      <c r="H333" s="15">
        <f>IF(ISBLANK(B333),"",IF(NOT(ISBLANK(G333)),"Returned",IF(TODAY()&gt;F333,"Overdue","Active")))</f>
        <v/>
      </c>
      <c r="I333" s="9" t="n"/>
    </row>
    <row r="334">
      <c r="A334" s="13">
        <f>IF(ISBLANK(B334),"",ROW()-1)</f>
        <v/>
      </c>
      <c r="B334" s="9" t="n"/>
      <c r="C334" s="9" t="n"/>
      <c r="D334" s="15">
        <f>IFERROR(IF(ISBLANK(C334),"",VLOOKUP(C334,Members!$A$2:$B$101,2,FALSE)),"")</f>
        <v/>
      </c>
      <c r="E334" s="9" t="n"/>
      <c r="F334" s="13">
        <f>IF(ISBLANK(E334),"",E334+Settings!$B$7)</f>
        <v/>
      </c>
      <c r="G334" s="9" t="n"/>
      <c r="H334" s="15">
        <f>IF(ISBLANK(B334),"",IF(NOT(ISBLANK(G334)),"Returned",IF(TODAY()&gt;F334,"Overdue","Active")))</f>
        <v/>
      </c>
      <c r="I334" s="9" t="n"/>
    </row>
    <row r="335">
      <c r="A335" s="13">
        <f>IF(ISBLANK(B335),"",ROW()-1)</f>
        <v/>
      </c>
      <c r="B335" s="9" t="n"/>
      <c r="C335" s="9" t="n"/>
      <c r="D335" s="15">
        <f>IFERROR(IF(ISBLANK(C335),"",VLOOKUP(C335,Members!$A$2:$B$101,2,FALSE)),"")</f>
        <v/>
      </c>
      <c r="E335" s="9" t="n"/>
      <c r="F335" s="13">
        <f>IF(ISBLANK(E335),"",E335+Settings!$B$7)</f>
        <v/>
      </c>
      <c r="G335" s="9" t="n"/>
      <c r="H335" s="15">
        <f>IF(ISBLANK(B335),"",IF(NOT(ISBLANK(G335)),"Returned",IF(TODAY()&gt;F335,"Overdue","Active")))</f>
        <v/>
      </c>
      <c r="I335" s="9" t="n"/>
    </row>
    <row r="336">
      <c r="A336" s="13">
        <f>IF(ISBLANK(B336),"",ROW()-1)</f>
        <v/>
      </c>
      <c r="B336" s="9" t="n"/>
      <c r="C336" s="9" t="n"/>
      <c r="D336" s="15">
        <f>IFERROR(IF(ISBLANK(C336),"",VLOOKUP(C336,Members!$A$2:$B$101,2,FALSE)),"")</f>
        <v/>
      </c>
      <c r="E336" s="9" t="n"/>
      <c r="F336" s="13">
        <f>IF(ISBLANK(E336),"",E336+Settings!$B$7)</f>
        <v/>
      </c>
      <c r="G336" s="9" t="n"/>
      <c r="H336" s="15">
        <f>IF(ISBLANK(B336),"",IF(NOT(ISBLANK(G336)),"Returned",IF(TODAY()&gt;F336,"Overdue","Active")))</f>
        <v/>
      </c>
      <c r="I336" s="9" t="n"/>
    </row>
    <row r="337">
      <c r="A337" s="13">
        <f>IF(ISBLANK(B337),"",ROW()-1)</f>
        <v/>
      </c>
      <c r="B337" s="9" t="n"/>
      <c r="C337" s="9" t="n"/>
      <c r="D337" s="15">
        <f>IFERROR(IF(ISBLANK(C337),"",VLOOKUP(C337,Members!$A$2:$B$101,2,FALSE)),"")</f>
        <v/>
      </c>
      <c r="E337" s="9" t="n"/>
      <c r="F337" s="13">
        <f>IF(ISBLANK(E337),"",E337+Settings!$B$7)</f>
        <v/>
      </c>
      <c r="G337" s="9" t="n"/>
      <c r="H337" s="15">
        <f>IF(ISBLANK(B337),"",IF(NOT(ISBLANK(G337)),"Returned",IF(TODAY()&gt;F337,"Overdue","Active")))</f>
        <v/>
      </c>
      <c r="I337" s="9" t="n"/>
    </row>
    <row r="338">
      <c r="A338" s="13">
        <f>IF(ISBLANK(B338),"",ROW()-1)</f>
        <v/>
      </c>
      <c r="B338" s="9" t="n"/>
      <c r="C338" s="9" t="n"/>
      <c r="D338" s="15">
        <f>IFERROR(IF(ISBLANK(C338),"",VLOOKUP(C338,Members!$A$2:$B$101,2,FALSE)),"")</f>
        <v/>
      </c>
      <c r="E338" s="9" t="n"/>
      <c r="F338" s="13">
        <f>IF(ISBLANK(E338),"",E338+Settings!$B$7)</f>
        <v/>
      </c>
      <c r="G338" s="9" t="n"/>
      <c r="H338" s="15">
        <f>IF(ISBLANK(B338),"",IF(NOT(ISBLANK(G338)),"Returned",IF(TODAY()&gt;F338,"Overdue","Active")))</f>
        <v/>
      </c>
      <c r="I338" s="9" t="n"/>
    </row>
    <row r="339">
      <c r="A339" s="13">
        <f>IF(ISBLANK(B339),"",ROW()-1)</f>
        <v/>
      </c>
      <c r="B339" s="9" t="n"/>
      <c r="C339" s="9" t="n"/>
      <c r="D339" s="15">
        <f>IFERROR(IF(ISBLANK(C339),"",VLOOKUP(C339,Members!$A$2:$B$101,2,FALSE)),"")</f>
        <v/>
      </c>
      <c r="E339" s="9" t="n"/>
      <c r="F339" s="13">
        <f>IF(ISBLANK(E339),"",E339+Settings!$B$7)</f>
        <v/>
      </c>
      <c r="G339" s="9" t="n"/>
      <c r="H339" s="15">
        <f>IF(ISBLANK(B339),"",IF(NOT(ISBLANK(G339)),"Returned",IF(TODAY()&gt;F339,"Overdue","Active")))</f>
        <v/>
      </c>
      <c r="I339" s="9" t="n"/>
    </row>
    <row r="340">
      <c r="A340" s="13">
        <f>IF(ISBLANK(B340),"",ROW()-1)</f>
        <v/>
      </c>
      <c r="B340" s="9" t="n"/>
      <c r="C340" s="9" t="n"/>
      <c r="D340" s="15">
        <f>IFERROR(IF(ISBLANK(C340),"",VLOOKUP(C340,Members!$A$2:$B$101,2,FALSE)),"")</f>
        <v/>
      </c>
      <c r="E340" s="9" t="n"/>
      <c r="F340" s="13">
        <f>IF(ISBLANK(E340),"",E340+Settings!$B$7)</f>
        <v/>
      </c>
      <c r="G340" s="9" t="n"/>
      <c r="H340" s="15">
        <f>IF(ISBLANK(B340),"",IF(NOT(ISBLANK(G340)),"Returned",IF(TODAY()&gt;F340,"Overdue","Active")))</f>
        <v/>
      </c>
      <c r="I340" s="9" t="n"/>
    </row>
    <row r="341">
      <c r="A341" s="13">
        <f>IF(ISBLANK(B341),"",ROW()-1)</f>
        <v/>
      </c>
      <c r="B341" s="9" t="n"/>
      <c r="C341" s="9" t="n"/>
      <c r="D341" s="15">
        <f>IFERROR(IF(ISBLANK(C341),"",VLOOKUP(C341,Members!$A$2:$B$101,2,FALSE)),"")</f>
        <v/>
      </c>
      <c r="E341" s="9" t="n"/>
      <c r="F341" s="13">
        <f>IF(ISBLANK(E341),"",E341+Settings!$B$7)</f>
        <v/>
      </c>
      <c r="G341" s="9" t="n"/>
      <c r="H341" s="15">
        <f>IF(ISBLANK(B341),"",IF(NOT(ISBLANK(G341)),"Returned",IF(TODAY()&gt;F341,"Overdue","Active")))</f>
        <v/>
      </c>
      <c r="I341" s="9" t="n"/>
    </row>
    <row r="342">
      <c r="A342" s="13">
        <f>IF(ISBLANK(B342),"",ROW()-1)</f>
        <v/>
      </c>
      <c r="B342" s="9" t="n"/>
      <c r="C342" s="9" t="n"/>
      <c r="D342" s="15">
        <f>IFERROR(IF(ISBLANK(C342),"",VLOOKUP(C342,Members!$A$2:$B$101,2,FALSE)),"")</f>
        <v/>
      </c>
      <c r="E342" s="9" t="n"/>
      <c r="F342" s="13">
        <f>IF(ISBLANK(E342),"",E342+Settings!$B$7)</f>
        <v/>
      </c>
      <c r="G342" s="9" t="n"/>
      <c r="H342" s="15">
        <f>IF(ISBLANK(B342),"",IF(NOT(ISBLANK(G342)),"Returned",IF(TODAY()&gt;F342,"Overdue","Active")))</f>
        <v/>
      </c>
      <c r="I342" s="9" t="n"/>
    </row>
    <row r="343">
      <c r="A343" s="13">
        <f>IF(ISBLANK(B343),"",ROW()-1)</f>
        <v/>
      </c>
      <c r="B343" s="9" t="n"/>
      <c r="C343" s="9" t="n"/>
      <c r="D343" s="15">
        <f>IFERROR(IF(ISBLANK(C343),"",VLOOKUP(C343,Members!$A$2:$B$101,2,FALSE)),"")</f>
        <v/>
      </c>
      <c r="E343" s="9" t="n"/>
      <c r="F343" s="13">
        <f>IF(ISBLANK(E343),"",E343+Settings!$B$7)</f>
        <v/>
      </c>
      <c r="G343" s="9" t="n"/>
      <c r="H343" s="15">
        <f>IF(ISBLANK(B343),"",IF(NOT(ISBLANK(G343)),"Returned",IF(TODAY()&gt;F343,"Overdue","Active")))</f>
        <v/>
      </c>
      <c r="I343" s="9" t="n"/>
    </row>
    <row r="344">
      <c r="A344" s="13">
        <f>IF(ISBLANK(B344),"",ROW()-1)</f>
        <v/>
      </c>
      <c r="B344" s="9" t="n"/>
      <c r="C344" s="9" t="n"/>
      <c r="D344" s="15">
        <f>IFERROR(IF(ISBLANK(C344),"",VLOOKUP(C344,Members!$A$2:$B$101,2,FALSE)),"")</f>
        <v/>
      </c>
      <c r="E344" s="9" t="n"/>
      <c r="F344" s="13">
        <f>IF(ISBLANK(E344),"",E344+Settings!$B$7)</f>
        <v/>
      </c>
      <c r="G344" s="9" t="n"/>
      <c r="H344" s="15">
        <f>IF(ISBLANK(B344),"",IF(NOT(ISBLANK(G344)),"Returned",IF(TODAY()&gt;F344,"Overdue","Active")))</f>
        <v/>
      </c>
      <c r="I344" s="9" t="n"/>
    </row>
    <row r="345">
      <c r="A345" s="13">
        <f>IF(ISBLANK(B345),"",ROW()-1)</f>
        <v/>
      </c>
      <c r="B345" s="9" t="n"/>
      <c r="C345" s="9" t="n"/>
      <c r="D345" s="15">
        <f>IFERROR(IF(ISBLANK(C345),"",VLOOKUP(C345,Members!$A$2:$B$101,2,FALSE)),"")</f>
        <v/>
      </c>
      <c r="E345" s="9" t="n"/>
      <c r="F345" s="13">
        <f>IF(ISBLANK(E345),"",E345+Settings!$B$7)</f>
        <v/>
      </c>
      <c r="G345" s="9" t="n"/>
      <c r="H345" s="15">
        <f>IF(ISBLANK(B345),"",IF(NOT(ISBLANK(G345)),"Returned",IF(TODAY()&gt;F345,"Overdue","Active")))</f>
        <v/>
      </c>
      <c r="I345" s="9" t="n"/>
    </row>
    <row r="346">
      <c r="A346" s="13">
        <f>IF(ISBLANK(B346),"",ROW()-1)</f>
        <v/>
      </c>
      <c r="B346" s="9" t="n"/>
      <c r="C346" s="9" t="n"/>
      <c r="D346" s="15">
        <f>IFERROR(IF(ISBLANK(C346),"",VLOOKUP(C346,Members!$A$2:$B$101,2,FALSE)),"")</f>
        <v/>
      </c>
      <c r="E346" s="9" t="n"/>
      <c r="F346" s="13">
        <f>IF(ISBLANK(E346),"",E346+Settings!$B$7)</f>
        <v/>
      </c>
      <c r="G346" s="9" t="n"/>
      <c r="H346" s="15">
        <f>IF(ISBLANK(B346),"",IF(NOT(ISBLANK(G346)),"Returned",IF(TODAY()&gt;F346,"Overdue","Active")))</f>
        <v/>
      </c>
      <c r="I346" s="9" t="n"/>
    </row>
    <row r="347">
      <c r="A347" s="13">
        <f>IF(ISBLANK(B347),"",ROW()-1)</f>
        <v/>
      </c>
      <c r="B347" s="9" t="n"/>
      <c r="C347" s="9" t="n"/>
      <c r="D347" s="15">
        <f>IFERROR(IF(ISBLANK(C347),"",VLOOKUP(C347,Members!$A$2:$B$101,2,FALSE)),"")</f>
        <v/>
      </c>
      <c r="E347" s="9" t="n"/>
      <c r="F347" s="13">
        <f>IF(ISBLANK(E347),"",E347+Settings!$B$7)</f>
        <v/>
      </c>
      <c r="G347" s="9" t="n"/>
      <c r="H347" s="15">
        <f>IF(ISBLANK(B347),"",IF(NOT(ISBLANK(G347)),"Returned",IF(TODAY()&gt;F347,"Overdue","Active")))</f>
        <v/>
      </c>
      <c r="I347" s="9" t="n"/>
    </row>
    <row r="348">
      <c r="A348" s="13">
        <f>IF(ISBLANK(B348),"",ROW()-1)</f>
        <v/>
      </c>
      <c r="B348" s="9" t="n"/>
      <c r="C348" s="9" t="n"/>
      <c r="D348" s="15">
        <f>IFERROR(IF(ISBLANK(C348),"",VLOOKUP(C348,Members!$A$2:$B$101,2,FALSE)),"")</f>
        <v/>
      </c>
      <c r="E348" s="9" t="n"/>
      <c r="F348" s="13">
        <f>IF(ISBLANK(E348),"",E348+Settings!$B$7)</f>
        <v/>
      </c>
      <c r="G348" s="9" t="n"/>
      <c r="H348" s="15">
        <f>IF(ISBLANK(B348),"",IF(NOT(ISBLANK(G348)),"Returned",IF(TODAY()&gt;F348,"Overdue","Active")))</f>
        <v/>
      </c>
      <c r="I348" s="9" t="n"/>
    </row>
    <row r="349">
      <c r="A349" s="13">
        <f>IF(ISBLANK(B349),"",ROW()-1)</f>
        <v/>
      </c>
      <c r="B349" s="9" t="n"/>
      <c r="C349" s="9" t="n"/>
      <c r="D349" s="15">
        <f>IFERROR(IF(ISBLANK(C349),"",VLOOKUP(C349,Members!$A$2:$B$101,2,FALSE)),"")</f>
        <v/>
      </c>
      <c r="E349" s="9" t="n"/>
      <c r="F349" s="13">
        <f>IF(ISBLANK(E349),"",E349+Settings!$B$7)</f>
        <v/>
      </c>
      <c r="G349" s="9" t="n"/>
      <c r="H349" s="15">
        <f>IF(ISBLANK(B349),"",IF(NOT(ISBLANK(G349)),"Returned",IF(TODAY()&gt;F349,"Overdue","Active")))</f>
        <v/>
      </c>
      <c r="I349" s="9" t="n"/>
    </row>
    <row r="350">
      <c r="A350" s="13">
        <f>IF(ISBLANK(B350),"",ROW()-1)</f>
        <v/>
      </c>
      <c r="B350" s="9" t="n"/>
      <c r="C350" s="9" t="n"/>
      <c r="D350" s="15">
        <f>IFERROR(IF(ISBLANK(C350),"",VLOOKUP(C350,Members!$A$2:$B$101,2,FALSE)),"")</f>
        <v/>
      </c>
      <c r="E350" s="9" t="n"/>
      <c r="F350" s="13">
        <f>IF(ISBLANK(E350),"",E350+Settings!$B$7)</f>
        <v/>
      </c>
      <c r="G350" s="9" t="n"/>
      <c r="H350" s="15">
        <f>IF(ISBLANK(B350),"",IF(NOT(ISBLANK(G350)),"Returned",IF(TODAY()&gt;F350,"Overdue","Active")))</f>
        <v/>
      </c>
      <c r="I350" s="9" t="n"/>
    </row>
    <row r="351">
      <c r="A351" s="13">
        <f>IF(ISBLANK(B351),"",ROW()-1)</f>
        <v/>
      </c>
      <c r="B351" s="9" t="n"/>
      <c r="C351" s="9" t="n"/>
      <c r="D351" s="15">
        <f>IFERROR(IF(ISBLANK(C351),"",VLOOKUP(C351,Members!$A$2:$B$101,2,FALSE)),"")</f>
        <v/>
      </c>
      <c r="E351" s="9" t="n"/>
      <c r="F351" s="13">
        <f>IF(ISBLANK(E351),"",E351+Settings!$B$7)</f>
        <v/>
      </c>
      <c r="G351" s="9" t="n"/>
      <c r="H351" s="15">
        <f>IF(ISBLANK(B351),"",IF(NOT(ISBLANK(G351)),"Returned",IF(TODAY()&gt;F351,"Overdue","Active")))</f>
        <v/>
      </c>
      <c r="I351" s="9" t="n"/>
    </row>
    <row r="352">
      <c r="A352" s="13">
        <f>IF(ISBLANK(B352),"",ROW()-1)</f>
        <v/>
      </c>
      <c r="B352" s="9" t="n"/>
      <c r="C352" s="9" t="n"/>
      <c r="D352" s="15">
        <f>IFERROR(IF(ISBLANK(C352),"",VLOOKUP(C352,Members!$A$2:$B$101,2,FALSE)),"")</f>
        <v/>
      </c>
      <c r="E352" s="9" t="n"/>
      <c r="F352" s="13">
        <f>IF(ISBLANK(E352),"",E352+Settings!$B$7)</f>
        <v/>
      </c>
      <c r="G352" s="9" t="n"/>
      <c r="H352" s="15">
        <f>IF(ISBLANK(B352),"",IF(NOT(ISBLANK(G352)),"Returned",IF(TODAY()&gt;F352,"Overdue","Active")))</f>
        <v/>
      </c>
      <c r="I352" s="9" t="n"/>
    </row>
    <row r="353">
      <c r="A353" s="13">
        <f>IF(ISBLANK(B353),"",ROW()-1)</f>
        <v/>
      </c>
      <c r="B353" s="9" t="n"/>
      <c r="C353" s="9" t="n"/>
      <c r="D353" s="15">
        <f>IFERROR(IF(ISBLANK(C353),"",VLOOKUP(C353,Members!$A$2:$B$101,2,FALSE)),"")</f>
        <v/>
      </c>
      <c r="E353" s="9" t="n"/>
      <c r="F353" s="13">
        <f>IF(ISBLANK(E353),"",E353+Settings!$B$7)</f>
        <v/>
      </c>
      <c r="G353" s="9" t="n"/>
      <c r="H353" s="15">
        <f>IF(ISBLANK(B353),"",IF(NOT(ISBLANK(G353)),"Returned",IF(TODAY()&gt;F353,"Overdue","Active")))</f>
        <v/>
      </c>
      <c r="I353" s="9" t="n"/>
    </row>
    <row r="354">
      <c r="A354" s="13">
        <f>IF(ISBLANK(B354),"",ROW()-1)</f>
        <v/>
      </c>
      <c r="B354" s="9" t="n"/>
      <c r="C354" s="9" t="n"/>
      <c r="D354" s="15">
        <f>IFERROR(IF(ISBLANK(C354),"",VLOOKUP(C354,Members!$A$2:$B$101,2,FALSE)),"")</f>
        <v/>
      </c>
      <c r="E354" s="9" t="n"/>
      <c r="F354" s="13">
        <f>IF(ISBLANK(E354),"",E354+Settings!$B$7)</f>
        <v/>
      </c>
      <c r="G354" s="9" t="n"/>
      <c r="H354" s="15">
        <f>IF(ISBLANK(B354),"",IF(NOT(ISBLANK(G354)),"Returned",IF(TODAY()&gt;F354,"Overdue","Active")))</f>
        <v/>
      </c>
      <c r="I354" s="9" t="n"/>
    </row>
    <row r="355">
      <c r="A355" s="13">
        <f>IF(ISBLANK(B355),"",ROW()-1)</f>
        <v/>
      </c>
      <c r="B355" s="9" t="n"/>
      <c r="C355" s="9" t="n"/>
      <c r="D355" s="15">
        <f>IFERROR(IF(ISBLANK(C355),"",VLOOKUP(C355,Members!$A$2:$B$101,2,FALSE)),"")</f>
        <v/>
      </c>
      <c r="E355" s="9" t="n"/>
      <c r="F355" s="13">
        <f>IF(ISBLANK(E355),"",E355+Settings!$B$7)</f>
        <v/>
      </c>
      <c r="G355" s="9" t="n"/>
      <c r="H355" s="15">
        <f>IF(ISBLANK(B355),"",IF(NOT(ISBLANK(G355)),"Returned",IF(TODAY()&gt;F355,"Overdue","Active")))</f>
        <v/>
      </c>
      <c r="I355" s="9" t="n"/>
    </row>
    <row r="356">
      <c r="A356" s="13">
        <f>IF(ISBLANK(B356),"",ROW()-1)</f>
        <v/>
      </c>
      <c r="B356" s="9" t="n"/>
      <c r="C356" s="9" t="n"/>
      <c r="D356" s="15">
        <f>IFERROR(IF(ISBLANK(C356),"",VLOOKUP(C356,Members!$A$2:$B$101,2,FALSE)),"")</f>
        <v/>
      </c>
      <c r="E356" s="9" t="n"/>
      <c r="F356" s="13">
        <f>IF(ISBLANK(E356),"",E356+Settings!$B$7)</f>
        <v/>
      </c>
      <c r="G356" s="9" t="n"/>
      <c r="H356" s="15">
        <f>IF(ISBLANK(B356),"",IF(NOT(ISBLANK(G356)),"Returned",IF(TODAY()&gt;F356,"Overdue","Active")))</f>
        <v/>
      </c>
      <c r="I356" s="9" t="n"/>
    </row>
    <row r="357">
      <c r="A357" s="13">
        <f>IF(ISBLANK(B357),"",ROW()-1)</f>
        <v/>
      </c>
      <c r="B357" s="9" t="n"/>
      <c r="C357" s="9" t="n"/>
      <c r="D357" s="15">
        <f>IFERROR(IF(ISBLANK(C357),"",VLOOKUP(C357,Members!$A$2:$B$101,2,FALSE)),"")</f>
        <v/>
      </c>
      <c r="E357" s="9" t="n"/>
      <c r="F357" s="13">
        <f>IF(ISBLANK(E357),"",E357+Settings!$B$7)</f>
        <v/>
      </c>
      <c r="G357" s="9" t="n"/>
      <c r="H357" s="15">
        <f>IF(ISBLANK(B357),"",IF(NOT(ISBLANK(G357)),"Returned",IF(TODAY()&gt;F357,"Overdue","Active")))</f>
        <v/>
      </c>
      <c r="I357" s="9" t="n"/>
    </row>
    <row r="358">
      <c r="A358" s="13">
        <f>IF(ISBLANK(B358),"",ROW()-1)</f>
        <v/>
      </c>
      <c r="B358" s="9" t="n"/>
      <c r="C358" s="9" t="n"/>
      <c r="D358" s="15">
        <f>IFERROR(IF(ISBLANK(C358),"",VLOOKUP(C358,Members!$A$2:$B$101,2,FALSE)),"")</f>
        <v/>
      </c>
      <c r="E358" s="9" t="n"/>
      <c r="F358" s="13">
        <f>IF(ISBLANK(E358),"",E358+Settings!$B$7)</f>
        <v/>
      </c>
      <c r="G358" s="9" t="n"/>
      <c r="H358" s="15">
        <f>IF(ISBLANK(B358),"",IF(NOT(ISBLANK(G358)),"Returned",IF(TODAY()&gt;F358,"Overdue","Active")))</f>
        <v/>
      </c>
      <c r="I358" s="9" t="n"/>
    </row>
    <row r="359">
      <c r="A359" s="13">
        <f>IF(ISBLANK(B359),"",ROW()-1)</f>
        <v/>
      </c>
      <c r="B359" s="9" t="n"/>
      <c r="C359" s="9" t="n"/>
      <c r="D359" s="15">
        <f>IFERROR(IF(ISBLANK(C359),"",VLOOKUP(C359,Members!$A$2:$B$101,2,FALSE)),"")</f>
        <v/>
      </c>
      <c r="E359" s="9" t="n"/>
      <c r="F359" s="13">
        <f>IF(ISBLANK(E359),"",E359+Settings!$B$7)</f>
        <v/>
      </c>
      <c r="G359" s="9" t="n"/>
      <c r="H359" s="15">
        <f>IF(ISBLANK(B359),"",IF(NOT(ISBLANK(G359)),"Returned",IF(TODAY()&gt;F359,"Overdue","Active")))</f>
        <v/>
      </c>
      <c r="I359" s="9" t="n"/>
    </row>
    <row r="360">
      <c r="A360" s="13">
        <f>IF(ISBLANK(B360),"",ROW()-1)</f>
        <v/>
      </c>
      <c r="B360" s="9" t="n"/>
      <c r="C360" s="9" t="n"/>
      <c r="D360" s="15">
        <f>IFERROR(IF(ISBLANK(C360),"",VLOOKUP(C360,Members!$A$2:$B$101,2,FALSE)),"")</f>
        <v/>
      </c>
      <c r="E360" s="9" t="n"/>
      <c r="F360" s="13">
        <f>IF(ISBLANK(E360),"",E360+Settings!$B$7)</f>
        <v/>
      </c>
      <c r="G360" s="9" t="n"/>
      <c r="H360" s="15">
        <f>IF(ISBLANK(B360),"",IF(NOT(ISBLANK(G360)),"Returned",IF(TODAY()&gt;F360,"Overdue","Active")))</f>
        <v/>
      </c>
      <c r="I360" s="9" t="n"/>
    </row>
    <row r="361">
      <c r="A361" s="13">
        <f>IF(ISBLANK(B361),"",ROW()-1)</f>
        <v/>
      </c>
      <c r="B361" s="9" t="n"/>
      <c r="C361" s="9" t="n"/>
      <c r="D361" s="15">
        <f>IFERROR(IF(ISBLANK(C361),"",VLOOKUP(C361,Members!$A$2:$B$101,2,FALSE)),"")</f>
        <v/>
      </c>
      <c r="E361" s="9" t="n"/>
      <c r="F361" s="13">
        <f>IF(ISBLANK(E361),"",E361+Settings!$B$7)</f>
        <v/>
      </c>
      <c r="G361" s="9" t="n"/>
      <c r="H361" s="15">
        <f>IF(ISBLANK(B361),"",IF(NOT(ISBLANK(G361)),"Returned",IF(TODAY()&gt;F361,"Overdue","Active")))</f>
        <v/>
      </c>
      <c r="I361" s="9" t="n"/>
    </row>
    <row r="362">
      <c r="A362" s="13">
        <f>IF(ISBLANK(B362),"",ROW()-1)</f>
        <v/>
      </c>
      <c r="B362" s="9" t="n"/>
      <c r="C362" s="9" t="n"/>
      <c r="D362" s="15">
        <f>IFERROR(IF(ISBLANK(C362),"",VLOOKUP(C362,Members!$A$2:$B$101,2,FALSE)),"")</f>
        <v/>
      </c>
      <c r="E362" s="9" t="n"/>
      <c r="F362" s="13">
        <f>IF(ISBLANK(E362),"",E362+Settings!$B$7)</f>
        <v/>
      </c>
      <c r="G362" s="9" t="n"/>
      <c r="H362" s="15">
        <f>IF(ISBLANK(B362),"",IF(NOT(ISBLANK(G362)),"Returned",IF(TODAY()&gt;F362,"Overdue","Active")))</f>
        <v/>
      </c>
      <c r="I362" s="9" t="n"/>
    </row>
    <row r="363">
      <c r="A363" s="13">
        <f>IF(ISBLANK(B363),"",ROW()-1)</f>
        <v/>
      </c>
      <c r="B363" s="9" t="n"/>
      <c r="C363" s="9" t="n"/>
      <c r="D363" s="15">
        <f>IFERROR(IF(ISBLANK(C363),"",VLOOKUP(C363,Members!$A$2:$B$101,2,FALSE)),"")</f>
        <v/>
      </c>
      <c r="E363" s="9" t="n"/>
      <c r="F363" s="13">
        <f>IF(ISBLANK(E363),"",E363+Settings!$B$7)</f>
        <v/>
      </c>
      <c r="G363" s="9" t="n"/>
      <c r="H363" s="15">
        <f>IF(ISBLANK(B363),"",IF(NOT(ISBLANK(G363)),"Returned",IF(TODAY()&gt;F363,"Overdue","Active")))</f>
        <v/>
      </c>
      <c r="I363" s="9" t="n"/>
    </row>
    <row r="364">
      <c r="A364" s="13">
        <f>IF(ISBLANK(B364),"",ROW()-1)</f>
        <v/>
      </c>
      <c r="B364" s="9" t="n"/>
      <c r="C364" s="9" t="n"/>
      <c r="D364" s="15">
        <f>IFERROR(IF(ISBLANK(C364),"",VLOOKUP(C364,Members!$A$2:$B$101,2,FALSE)),"")</f>
        <v/>
      </c>
      <c r="E364" s="9" t="n"/>
      <c r="F364" s="13">
        <f>IF(ISBLANK(E364),"",E364+Settings!$B$7)</f>
        <v/>
      </c>
      <c r="G364" s="9" t="n"/>
      <c r="H364" s="15">
        <f>IF(ISBLANK(B364),"",IF(NOT(ISBLANK(G364)),"Returned",IF(TODAY()&gt;F364,"Overdue","Active")))</f>
        <v/>
      </c>
      <c r="I364" s="9" t="n"/>
    </row>
    <row r="365">
      <c r="A365" s="13">
        <f>IF(ISBLANK(B365),"",ROW()-1)</f>
        <v/>
      </c>
      <c r="B365" s="9" t="n"/>
      <c r="C365" s="9" t="n"/>
      <c r="D365" s="15">
        <f>IFERROR(IF(ISBLANK(C365),"",VLOOKUP(C365,Members!$A$2:$B$101,2,FALSE)),"")</f>
        <v/>
      </c>
      <c r="E365" s="9" t="n"/>
      <c r="F365" s="13">
        <f>IF(ISBLANK(E365),"",E365+Settings!$B$7)</f>
        <v/>
      </c>
      <c r="G365" s="9" t="n"/>
      <c r="H365" s="15">
        <f>IF(ISBLANK(B365),"",IF(NOT(ISBLANK(G365)),"Returned",IF(TODAY()&gt;F365,"Overdue","Active")))</f>
        <v/>
      </c>
      <c r="I365" s="9" t="n"/>
    </row>
    <row r="366">
      <c r="A366" s="13">
        <f>IF(ISBLANK(B366),"",ROW()-1)</f>
        <v/>
      </c>
      <c r="B366" s="9" t="n"/>
      <c r="C366" s="9" t="n"/>
      <c r="D366" s="15">
        <f>IFERROR(IF(ISBLANK(C366),"",VLOOKUP(C366,Members!$A$2:$B$101,2,FALSE)),"")</f>
        <v/>
      </c>
      <c r="E366" s="9" t="n"/>
      <c r="F366" s="13">
        <f>IF(ISBLANK(E366),"",E366+Settings!$B$7)</f>
        <v/>
      </c>
      <c r="G366" s="9" t="n"/>
      <c r="H366" s="15">
        <f>IF(ISBLANK(B366),"",IF(NOT(ISBLANK(G366)),"Returned",IF(TODAY()&gt;F366,"Overdue","Active")))</f>
        <v/>
      </c>
      <c r="I366" s="9" t="n"/>
    </row>
    <row r="367">
      <c r="A367" s="13">
        <f>IF(ISBLANK(B367),"",ROW()-1)</f>
        <v/>
      </c>
      <c r="B367" s="9" t="n"/>
      <c r="C367" s="9" t="n"/>
      <c r="D367" s="15">
        <f>IFERROR(IF(ISBLANK(C367),"",VLOOKUP(C367,Members!$A$2:$B$101,2,FALSE)),"")</f>
        <v/>
      </c>
      <c r="E367" s="9" t="n"/>
      <c r="F367" s="13">
        <f>IF(ISBLANK(E367),"",E367+Settings!$B$7)</f>
        <v/>
      </c>
      <c r="G367" s="9" t="n"/>
      <c r="H367" s="15">
        <f>IF(ISBLANK(B367),"",IF(NOT(ISBLANK(G367)),"Returned",IF(TODAY()&gt;F367,"Overdue","Active")))</f>
        <v/>
      </c>
      <c r="I367" s="9" t="n"/>
    </row>
    <row r="368">
      <c r="A368" s="13">
        <f>IF(ISBLANK(B368),"",ROW()-1)</f>
        <v/>
      </c>
      <c r="B368" s="9" t="n"/>
      <c r="C368" s="9" t="n"/>
      <c r="D368" s="15">
        <f>IFERROR(IF(ISBLANK(C368),"",VLOOKUP(C368,Members!$A$2:$B$101,2,FALSE)),"")</f>
        <v/>
      </c>
      <c r="E368" s="9" t="n"/>
      <c r="F368" s="13">
        <f>IF(ISBLANK(E368),"",E368+Settings!$B$7)</f>
        <v/>
      </c>
      <c r="G368" s="9" t="n"/>
      <c r="H368" s="15">
        <f>IF(ISBLANK(B368),"",IF(NOT(ISBLANK(G368)),"Returned",IF(TODAY()&gt;F368,"Overdue","Active")))</f>
        <v/>
      </c>
      <c r="I368" s="9" t="n"/>
    </row>
    <row r="369">
      <c r="A369" s="13">
        <f>IF(ISBLANK(B369),"",ROW()-1)</f>
        <v/>
      </c>
      <c r="B369" s="9" t="n"/>
      <c r="C369" s="9" t="n"/>
      <c r="D369" s="15">
        <f>IFERROR(IF(ISBLANK(C369),"",VLOOKUP(C369,Members!$A$2:$B$101,2,FALSE)),"")</f>
        <v/>
      </c>
      <c r="E369" s="9" t="n"/>
      <c r="F369" s="13">
        <f>IF(ISBLANK(E369),"",E369+Settings!$B$7)</f>
        <v/>
      </c>
      <c r="G369" s="9" t="n"/>
      <c r="H369" s="15">
        <f>IF(ISBLANK(B369),"",IF(NOT(ISBLANK(G369)),"Returned",IF(TODAY()&gt;F369,"Overdue","Active")))</f>
        <v/>
      </c>
      <c r="I369" s="9" t="n"/>
    </row>
    <row r="370">
      <c r="A370" s="13">
        <f>IF(ISBLANK(B370),"",ROW()-1)</f>
        <v/>
      </c>
      <c r="B370" s="9" t="n"/>
      <c r="C370" s="9" t="n"/>
      <c r="D370" s="15">
        <f>IFERROR(IF(ISBLANK(C370),"",VLOOKUP(C370,Members!$A$2:$B$101,2,FALSE)),"")</f>
        <v/>
      </c>
      <c r="E370" s="9" t="n"/>
      <c r="F370" s="13">
        <f>IF(ISBLANK(E370),"",E370+Settings!$B$7)</f>
        <v/>
      </c>
      <c r="G370" s="9" t="n"/>
      <c r="H370" s="15">
        <f>IF(ISBLANK(B370),"",IF(NOT(ISBLANK(G370)),"Returned",IF(TODAY()&gt;F370,"Overdue","Active")))</f>
        <v/>
      </c>
      <c r="I370" s="9" t="n"/>
    </row>
    <row r="371">
      <c r="A371" s="13">
        <f>IF(ISBLANK(B371),"",ROW()-1)</f>
        <v/>
      </c>
      <c r="B371" s="9" t="n"/>
      <c r="C371" s="9" t="n"/>
      <c r="D371" s="15">
        <f>IFERROR(IF(ISBLANK(C371),"",VLOOKUP(C371,Members!$A$2:$B$101,2,FALSE)),"")</f>
        <v/>
      </c>
      <c r="E371" s="9" t="n"/>
      <c r="F371" s="13">
        <f>IF(ISBLANK(E371),"",E371+Settings!$B$7)</f>
        <v/>
      </c>
      <c r="G371" s="9" t="n"/>
      <c r="H371" s="15">
        <f>IF(ISBLANK(B371),"",IF(NOT(ISBLANK(G371)),"Returned",IF(TODAY()&gt;F371,"Overdue","Active")))</f>
        <v/>
      </c>
      <c r="I371" s="9" t="n"/>
    </row>
    <row r="372">
      <c r="A372" s="13">
        <f>IF(ISBLANK(B372),"",ROW()-1)</f>
        <v/>
      </c>
      <c r="B372" s="9" t="n"/>
      <c r="C372" s="9" t="n"/>
      <c r="D372" s="15">
        <f>IFERROR(IF(ISBLANK(C372),"",VLOOKUP(C372,Members!$A$2:$B$101,2,FALSE)),"")</f>
        <v/>
      </c>
      <c r="E372" s="9" t="n"/>
      <c r="F372" s="13">
        <f>IF(ISBLANK(E372),"",E372+Settings!$B$7)</f>
        <v/>
      </c>
      <c r="G372" s="9" t="n"/>
      <c r="H372" s="15">
        <f>IF(ISBLANK(B372),"",IF(NOT(ISBLANK(G372)),"Returned",IF(TODAY()&gt;F372,"Overdue","Active")))</f>
        <v/>
      </c>
      <c r="I372" s="9" t="n"/>
    </row>
    <row r="373">
      <c r="A373" s="13">
        <f>IF(ISBLANK(B373),"",ROW()-1)</f>
        <v/>
      </c>
      <c r="B373" s="9" t="n"/>
      <c r="C373" s="9" t="n"/>
      <c r="D373" s="15">
        <f>IFERROR(IF(ISBLANK(C373),"",VLOOKUP(C373,Members!$A$2:$B$101,2,FALSE)),"")</f>
        <v/>
      </c>
      <c r="E373" s="9" t="n"/>
      <c r="F373" s="13">
        <f>IF(ISBLANK(E373),"",E373+Settings!$B$7)</f>
        <v/>
      </c>
      <c r="G373" s="9" t="n"/>
      <c r="H373" s="15">
        <f>IF(ISBLANK(B373),"",IF(NOT(ISBLANK(G373)),"Returned",IF(TODAY()&gt;F373,"Overdue","Active")))</f>
        <v/>
      </c>
      <c r="I373" s="9" t="n"/>
    </row>
    <row r="374">
      <c r="A374" s="13">
        <f>IF(ISBLANK(B374),"",ROW()-1)</f>
        <v/>
      </c>
      <c r="B374" s="9" t="n"/>
      <c r="C374" s="9" t="n"/>
      <c r="D374" s="15">
        <f>IFERROR(IF(ISBLANK(C374),"",VLOOKUP(C374,Members!$A$2:$B$101,2,FALSE)),"")</f>
        <v/>
      </c>
      <c r="E374" s="9" t="n"/>
      <c r="F374" s="13">
        <f>IF(ISBLANK(E374),"",E374+Settings!$B$7)</f>
        <v/>
      </c>
      <c r="G374" s="9" t="n"/>
      <c r="H374" s="15">
        <f>IF(ISBLANK(B374),"",IF(NOT(ISBLANK(G374)),"Returned",IF(TODAY()&gt;F374,"Overdue","Active")))</f>
        <v/>
      </c>
      <c r="I374" s="9" t="n"/>
    </row>
    <row r="375">
      <c r="A375" s="13">
        <f>IF(ISBLANK(B375),"",ROW()-1)</f>
        <v/>
      </c>
      <c r="B375" s="9" t="n"/>
      <c r="C375" s="9" t="n"/>
      <c r="D375" s="15">
        <f>IFERROR(IF(ISBLANK(C375),"",VLOOKUP(C375,Members!$A$2:$B$101,2,FALSE)),"")</f>
        <v/>
      </c>
      <c r="E375" s="9" t="n"/>
      <c r="F375" s="13">
        <f>IF(ISBLANK(E375),"",E375+Settings!$B$7)</f>
        <v/>
      </c>
      <c r="G375" s="9" t="n"/>
      <c r="H375" s="15">
        <f>IF(ISBLANK(B375),"",IF(NOT(ISBLANK(G375)),"Returned",IF(TODAY()&gt;F375,"Overdue","Active")))</f>
        <v/>
      </c>
      <c r="I375" s="9" t="n"/>
    </row>
    <row r="376">
      <c r="A376" s="13">
        <f>IF(ISBLANK(B376),"",ROW()-1)</f>
        <v/>
      </c>
      <c r="B376" s="9" t="n"/>
      <c r="C376" s="9" t="n"/>
      <c r="D376" s="15">
        <f>IFERROR(IF(ISBLANK(C376),"",VLOOKUP(C376,Members!$A$2:$B$101,2,FALSE)),"")</f>
        <v/>
      </c>
      <c r="E376" s="9" t="n"/>
      <c r="F376" s="13">
        <f>IF(ISBLANK(E376),"",E376+Settings!$B$7)</f>
        <v/>
      </c>
      <c r="G376" s="9" t="n"/>
      <c r="H376" s="15">
        <f>IF(ISBLANK(B376),"",IF(NOT(ISBLANK(G376)),"Returned",IF(TODAY()&gt;F376,"Overdue","Active")))</f>
        <v/>
      </c>
      <c r="I376" s="9" t="n"/>
    </row>
    <row r="377">
      <c r="A377" s="13">
        <f>IF(ISBLANK(B377),"",ROW()-1)</f>
        <v/>
      </c>
      <c r="B377" s="9" t="n"/>
      <c r="C377" s="9" t="n"/>
      <c r="D377" s="15">
        <f>IFERROR(IF(ISBLANK(C377),"",VLOOKUP(C377,Members!$A$2:$B$101,2,FALSE)),"")</f>
        <v/>
      </c>
      <c r="E377" s="9" t="n"/>
      <c r="F377" s="13">
        <f>IF(ISBLANK(E377),"",E377+Settings!$B$7)</f>
        <v/>
      </c>
      <c r="G377" s="9" t="n"/>
      <c r="H377" s="15">
        <f>IF(ISBLANK(B377),"",IF(NOT(ISBLANK(G377)),"Returned",IF(TODAY()&gt;F377,"Overdue","Active")))</f>
        <v/>
      </c>
      <c r="I377" s="9" t="n"/>
    </row>
    <row r="378">
      <c r="A378" s="13">
        <f>IF(ISBLANK(B378),"",ROW()-1)</f>
        <v/>
      </c>
      <c r="B378" s="9" t="n"/>
      <c r="C378" s="9" t="n"/>
      <c r="D378" s="15">
        <f>IFERROR(IF(ISBLANK(C378),"",VLOOKUP(C378,Members!$A$2:$B$101,2,FALSE)),"")</f>
        <v/>
      </c>
      <c r="E378" s="9" t="n"/>
      <c r="F378" s="13">
        <f>IF(ISBLANK(E378),"",E378+Settings!$B$7)</f>
        <v/>
      </c>
      <c r="G378" s="9" t="n"/>
      <c r="H378" s="15">
        <f>IF(ISBLANK(B378),"",IF(NOT(ISBLANK(G378)),"Returned",IF(TODAY()&gt;F378,"Overdue","Active")))</f>
        <v/>
      </c>
      <c r="I378" s="9" t="n"/>
    </row>
    <row r="379">
      <c r="A379" s="13">
        <f>IF(ISBLANK(B379),"",ROW()-1)</f>
        <v/>
      </c>
      <c r="B379" s="9" t="n"/>
      <c r="C379" s="9" t="n"/>
      <c r="D379" s="15">
        <f>IFERROR(IF(ISBLANK(C379),"",VLOOKUP(C379,Members!$A$2:$B$101,2,FALSE)),"")</f>
        <v/>
      </c>
      <c r="E379" s="9" t="n"/>
      <c r="F379" s="13">
        <f>IF(ISBLANK(E379),"",E379+Settings!$B$7)</f>
        <v/>
      </c>
      <c r="G379" s="9" t="n"/>
      <c r="H379" s="15">
        <f>IF(ISBLANK(B379),"",IF(NOT(ISBLANK(G379)),"Returned",IF(TODAY()&gt;F379,"Overdue","Active")))</f>
        <v/>
      </c>
      <c r="I379" s="9" t="n"/>
    </row>
    <row r="380">
      <c r="A380" s="13">
        <f>IF(ISBLANK(B380),"",ROW()-1)</f>
        <v/>
      </c>
      <c r="B380" s="9" t="n"/>
      <c r="C380" s="9" t="n"/>
      <c r="D380" s="15">
        <f>IFERROR(IF(ISBLANK(C380),"",VLOOKUP(C380,Members!$A$2:$B$101,2,FALSE)),"")</f>
        <v/>
      </c>
      <c r="E380" s="9" t="n"/>
      <c r="F380" s="13">
        <f>IF(ISBLANK(E380),"",E380+Settings!$B$7)</f>
        <v/>
      </c>
      <c r="G380" s="9" t="n"/>
      <c r="H380" s="15">
        <f>IF(ISBLANK(B380),"",IF(NOT(ISBLANK(G380)),"Returned",IF(TODAY()&gt;F380,"Overdue","Active")))</f>
        <v/>
      </c>
      <c r="I380" s="9" t="n"/>
    </row>
    <row r="381">
      <c r="A381" s="13">
        <f>IF(ISBLANK(B381),"",ROW()-1)</f>
        <v/>
      </c>
      <c r="B381" s="9" t="n"/>
      <c r="C381" s="9" t="n"/>
      <c r="D381" s="15">
        <f>IFERROR(IF(ISBLANK(C381),"",VLOOKUP(C381,Members!$A$2:$B$101,2,FALSE)),"")</f>
        <v/>
      </c>
      <c r="E381" s="9" t="n"/>
      <c r="F381" s="13">
        <f>IF(ISBLANK(E381),"",E381+Settings!$B$7)</f>
        <v/>
      </c>
      <c r="G381" s="9" t="n"/>
      <c r="H381" s="15">
        <f>IF(ISBLANK(B381),"",IF(NOT(ISBLANK(G381)),"Returned",IF(TODAY()&gt;F381,"Overdue","Active")))</f>
        <v/>
      </c>
      <c r="I381" s="9" t="n"/>
    </row>
    <row r="382">
      <c r="A382" s="13">
        <f>IF(ISBLANK(B382),"",ROW()-1)</f>
        <v/>
      </c>
      <c r="B382" s="9" t="n"/>
      <c r="C382" s="9" t="n"/>
      <c r="D382" s="15">
        <f>IFERROR(IF(ISBLANK(C382),"",VLOOKUP(C382,Members!$A$2:$B$101,2,FALSE)),"")</f>
        <v/>
      </c>
      <c r="E382" s="9" t="n"/>
      <c r="F382" s="13">
        <f>IF(ISBLANK(E382),"",E382+Settings!$B$7)</f>
        <v/>
      </c>
      <c r="G382" s="9" t="n"/>
      <c r="H382" s="15">
        <f>IF(ISBLANK(B382),"",IF(NOT(ISBLANK(G382)),"Returned",IF(TODAY()&gt;F382,"Overdue","Active")))</f>
        <v/>
      </c>
      <c r="I382" s="9" t="n"/>
    </row>
    <row r="383">
      <c r="A383" s="13">
        <f>IF(ISBLANK(B383),"",ROW()-1)</f>
        <v/>
      </c>
      <c r="B383" s="9" t="n"/>
      <c r="C383" s="9" t="n"/>
      <c r="D383" s="15">
        <f>IFERROR(IF(ISBLANK(C383),"",VLOOKUP(C383,Members!$A$2:$B$101,2,FALSE)),"")</f>
        <v/>
      </c>
      <c r="E383" s="9" t="n"/>
      <c r="F383" s="13">
        <f>IF(ISBLANK(E383),"",E383+Settings!$B$7)</f>
        <v/>
      </c>
      <c r="G383" s="9" t="n"/>
      <c r="H383" s="15">
        <f>IF(ISBLANK(B383),"",IF(NOT(ISBLANK(G383)),"Returned",IF(TODAY()&gt;F383,"Overdue","Active")))</f>
        <v/>
      </c>
      <c r="I383" s="9" t="n"/>
    </row>
    <row r="384">
      <c r="A384" s="13">
        <f>IF(ISBLANK(B384),"",ROW()-1)</f>
        <v/>
      </c>
      <c r="B384" s="9" t="n"/>
      <c r="C384" s="9" t="n"/>
      <c r="D384" s="15">
        <f>IFERROR(IF(ISBLANK(C384),"",VLOOKUP(C384,Members!$A$2:$B$101,2,FALSE)),"")</f>
        <v/>
      </c>
      <c r="E384" s="9" t="n"/>
      <c r="F384" s="13">
        <f>IF(ISBLANK(E384),"",E384+Settings!$B$7)</f>
        <v/>
      </c>
      <c r="G384" s="9" t="n"/>
      <c r="H384" s="15">
        <f>IF(ISBLANK(B384),"",IF(NOT(ISBLANK(G384)),"Returned",IF(TODAY()&gt;F384,"Overdue","Active")))</f>
        <v/>
      </c>
      <c r="I384" s="9" t="n"/>
    </row>
    <row r="385">
      <c r="A385" s="13">
        <f>IF(ISBLANK(B385),"",ROW()-1)</f>
        <v/>
      </c>
      <c r="B385" s="9" t="n"/>
      <c r="C385" s="9" t="n"/>
      <c r="D385" s="15">
        <f>IFERROR(IF(ISBLANK(C385),"",VLOOKUP(C385,Members!$A$2:$B$101,2,FALSE)),"")</f>
        <v/>
      </c>
      <c r="E385" s="9" t="n"/>
      <c r="F385" s="13">
        <f>IF(ISBLANK(E385),"",E385+Settings!$B$7)</f>
        <v/>
      </c>
      <c r="G385" s="9" t="n"/>
      <c r="H385" s="15">
        <f>IF(ISBLANK(B385),"",IF(NOT(ISBLANK(G385)),"Returned",IF(TODAY()&gt;F385,"Overdue","Active")))</f>
        <v/>
      </c>
      <c r="I385" s="9" t="n"/>
    </row>
    <row r="386">
      <c r="A386" s="13">
        <f>IF(ISBLANK(B386),"",ROW()-1)</f>
        <v/>
      </c>
      <c r="B386" s="9" t="n"/>
      <c r="C386" s="9" t="n"/>
      <c r="D386" s="15">
        <f>IFERROR(IF(ISBLANK(C386),"",VLOOKUP(C386,Members!$A$2:$B$101,2,FALSE)),"")</f>
        <v/>
      </c>
      <c r="E386" s="9" t="n"/>
      <c r="F386" s="13">
        <f>IF(ISBLANK(E386),"",E386+Settings!$B$7)</f>
        <v/>
      </c>
      <c r="G386" s="9" t="n"/>
      <c r="H386" s="15">
        <f>IF(ISBLANK(B386),"",IF(NOT(ISBLANK(G386)),"Returned",IF(TODAY()&gt;F386,"Overdue","Active")))</f>
        <v/>
      </c>
      <c r="I386" s="9" t="n"/>
    </row>
    <row r="387">
      <c r="A387" s="13">
        <f>IF(ISBLANK(B387),"",ROW()-1)</f>
        <v/>
      </c>
      <c r="B387" s="9" t="n"/>
      <c r="C387" s="9" t="n"/>
      <c r="D387" s="15">
        <f>IFERROR(IF(ISBLANK(C387),"",VLOOKUP(C387,Members!$A$2:$B$101,2,FALSE)),"")</f>
        <v/>
      </c>
      <c r="E387" s="9" t="n"/>
      <c r="F387" s="13">
        <f>IF(ISBLANK(E387),"",E387+Settings!$B$7)</f>
        <v/>
      </c>
      <c r="G387" s="9" t="n"/>
      <c r="H387" s="15">
        <f>IF(ISBLANK(B387),"",IF(NOT(ISBLANK(G387)),"Returned",IF(TODAY()&gt;F387,"Overdue","Active")))</f>
        <v/>
      </c>
      <c r="I387" s="9" t="n"/>
    </row>
    <row r="388">
      <c r="A388" s="13">
        <f>IF(ISBLANK(B388),"",ROW()-1)</f>
        <v/>
      </c>
      <c r="B388" s="9" t="n"/>
      <c r="C388" s="9" t="n"/>
      <c r="D388" s="15">
        <f>IFERROR(IF(ISBLANK(C388),"",VLOOKUP(C388,Members!$A$2:$B$101,2,FALSE)),"")</f>
        <v/>
      </c>
      <c r="E388" s="9" t="n"/>
      <c r="F388" s="13">
        <f>IF(ISBLANK(E388),"",E388+Settings!$B$7)</f>
        <v/>
      </c>
      <c r="G388" s="9" t="n"/>
      <c r="H388" s="15">
        <f>IF(ISBLANK(B388),"",IF(NOT(ISBLANK(G388)),"Returned",IF(TODAY()&gt;F388,"Overdue","Active")))</f>
        <v/>
      </c>
      <c r="I388" s="9" t="n"/>
    </row>
    <row r="389">
      <c r="A389" s="13">
        <f>IF(ISBLANK(B389),"",ROW()-1)</f>
        <v/>
      </c>
      <c r="B389" s="9" t="n"/>
      <c r="C389" s="9" t="n"/>
      <c r="D389" s="15">
        <f>IFERROR(IF(ISBLANK(C389),"",VLOOKUP(C389,Members!$A$2:$B$101,2,FALSE)),"")</f>
        <v/>
      </c>
      <c r="E389" s="9" t="n"/>
      <c r="F389" s="13">
        <f>IF(ISBLANK(E389),"",E389+Settings!$B$7)</f>
        <v/>
      </c>
      <c r="G389" s="9" t="n"/>
      <c r="H389" s="15">
        <f>IF(ISBLANK(B389),"",IF(NOT(ISBLANK(G389)),"Returned",IF(TODAY()&gt;F389,"Overdue","Active")))</f>
        <v/>
      </c>
      <c r="I389" s="9" t="n"/>
    </row>
    <row r="390">
      <c r="A390" s="13">
        <f>IF(ISBLANK(B390),"",ROW()-1)</f>
        <v/>
      </c>
      <c r="B390" s="9" t="n"/>
      <c r="C390" s="9" t="n"/>
      <c r="D390" s="15">
        <f>IFERROR(IF(ISBLANK(C390),"",VLOOKUP(C390,Members!$A$2:$B$101,2,FALSE)),"")</f>
        <v/>
      </c>
      <c r="E390" s="9" t="n"/>
      <c r="F390" s="13">
        <f>IF(ISBLANK(E390),"",E390+Settings!$B$7)</f>
        <v/>
      </c>
      <c r="G390" s="9" t="n"/>
      <c r="H390" s="15">
        <f>IF(ISBLANK(B390),"",IF(NOT(ISBLANK(G390)),"Returned",IF(TODAY()&gt;F390,"Overdue","Active")))</f>
        <v/>
      </c>
      <c r="I390" s="9" t="n"/>
    </row>
    <row r="391">
      <c r="A391" s="13">
        <f>IF(ISBLANK(B391),"",ROW()-1)</f>
        <v/>
      </c>
      <c r="B391" s="9" t="n"/>
      <c r="C391" s="9" t="n"/>
      <c r="D391" s="15">
        <f>IFERROR(IF(ISBLANK(C391),"",VLOOKUP(C391,Members!$A$2:$B$101,2,FALSE)),"")</f>
        <v/>
      </c>
      <c r="E391" s="9" t="n"/>
      <c r="F391" s="13">
        <f>IF(ISBLANK(E391),"",E391+Settings!$B$7)</f>
        <v/>
      </c>
      <c r="G391" s="9" t="n"/>
      <c r="H391" s="15">
        <f>IF(ISBLANK(B391),"",IF(NOT(ISBLANK(G391)),"Returned",IF(TODAY()&gt;F391,"Overdue","Active")))</f>
        <v/>
      </c>
      <c r="I391" s="9" t="n"/>
    </row>
    <row r="392">
      <c r="A392" s="13">
        <f>IF(ISBLANK(B392),"",ROW()-1)</f>
        <v/>
      </c>
      <c r="B392" s="9" t="n"/>
      <c r="C392" s="9" t="n"/>
      <c r="D392" s="15">
        <f>IFERROR(IF(ISBLANK(C392),"",VLOOKUP(C392,Members!$A$2:$B$101,2,FALSE)),"")</f>
        <v/>
      </c>
      <c r="E392" s="9" t="n"/>
      <c r="F392" s="13">
        <f>IF(ISBLANK(E392),"",E392+Settings!$B$7)</f>
        <v/>
      </c>
      <c r="G392" s="9" t="n"/>
      <c r="H392" s="15">
        <f>IF(ISBLANK(B392),"",IF(NOT(ISBLANK(G392)),"Returned",IF(TODAY()&gt;F392,"Overdue","Active")))</f>
        <v/>
      </c>
      <c r="I392" s="9" t="n"/>
    </row>
    <row r="393">
      <c r="A393" s="13">
        <f>IF(ISBLANK(B393),"",ROW()-1)</f>
        <v/>
      </c>
      <c r="B393" s="9" t="n"/>
      <c r="C393" s="9" t="n"/>
      <c r="D393" s="15">
        <f>IFERROR(IF(ISBLANK(C393),"",VLOOKUP(C393,Members!$A$2:$B$101,2,FALSE)),"")</f>
        <v/>
      </c>
      <c r="E393" s="9" t="n"/>
      <c r="F393" s="13">
        <f>IF(ISBLANK(E393),"",E393+Settings!$B$7)</f>
        <v/>
      </c>
      <c r="G393" s="9" t="n"/>
      <c r="H393" s="15">
        <f>IF(ISBLANK(B393),"",IF(NOT(ISBLANK(G393)),"Returned",IF(TODAY()&gt;F393,"Overdue","Active")))</f>
        <v/>
      </c>
      <c r="I393" s="9" t="n"/>
    </row>
    <row r="394">
      <c r="A394" s="13">
        <f>IF(ISBLANK(B394),"",ROW()-1)</f>
        <v/>
      </c>
      <c r="B394" s="9" t="n"/>
      <c r="C394" s="9" t="n"/>
      <c r="D394" s="15">
        <f>IFERROR(IF(ISBLANK(C394),"",VLOOKUP(C394,Members!$A$2:$B$101,2,FALSE)),"")</f>
        <v/>
      </c>
      <c r="E394" s="9" t="n"/>
      <c r="F394" s="13">
        <f>IF(ISBLANK(E394),"",E394+Settings!$B$7)</f>
        <v/>
      </c>
      <c r="G394" s="9" t="n"/>
      <c r="H394" s="15">
        <f>IF(ISBLANK(B394),"",IF(NOT(ISBLANK(G394)),"Returned",IF(TODAY()&gt;F394,"Overdue","Active")))</f>
        <v/>
      </c>
      <c r="I394" s="9" t="n"/>
    </row>
    <row r="395">
      <c r="A395" s="13">
        <f>IF(ISBLANK(B395),"",ROW()-1)</f>
        <v/>
      </c>
      <c r="B395" s="9" t="n"/>
      <c r="C395" s="9" t="n"/>
      <c r="D395" s="15">
        <f>IFERROR(IF(ISBLANK(C395),"",VLOOKUP(C395,Members!$A$2:$B$101,2,FALSE)),"")</f>
        <v/>
      </c>
      <c r="E395" s="9" t="n"/>
      <c r="F395" s="13">
        <f>IF(ISBLANK(E395),"",E395+Settings!$B$7)</f>
        <v/>
      </c>
      <c r="G395" s="9" t="n"/>
      <c r="H395" s="15">
        <f>IF(ISBLANK(B395),"",IF(NOT(ISBLANK(G395)),"Returned",IF(TODAY()&gt;F395,"Overdue","Active")))</f>
        <v/>
      </c>
      <c r="I395" s="9" t="n"/>
    </row>
    <row r="396">
      <c r="A396" s="13">
        <f>IF(ISBLANK(B396),"",ROW()-1)</f>
        <v/>
      </c>
      <c r="B396" s="9" t="n"/>
      <c r="C396" s="9" t="n"/>
      <c r="D396" s="15">
        <f>IFERROR(IF(ISBLANK(C396),"",VLOOKUP(C396,Members!$A$2:$B$101,2,FALSE)),"")</f>
        <v/>
      </c>
      <c r="E396" s="9" t="n"/>
      <c r="F396" s="13">
        <f>IF(ISBLANK(E396),"",E396+Settings!$B$7)</f>
        <v/>
      </c>
      <c r="G396" s="9" t="n"/>
      <c r="H396" s="15">
        <f>IF(ISBLANK(B396),"",IF(NOT(ISBLANK(G396)),"Returned",IF(TODAY()&gt;F396,"Overdue","Active")))</f>
        <v/>
      </c>
      <c r="I396" s="9" t="n"/>
    </row>
    <row r="397">
      <c r="A397" s="13">
        <f>IF(ISBLANK(B397),"",ROW()-1)</f>
        <v/>
      </c>
      <c r="B397" s="9" t="n"/>
      <c r="C397" s="9" t="n"/>
      <c r="D397" s="15">
        <f>IFERROR(IF(ISBLANK(C397),"",VLOOKUP(C397,Members!$A$2:$B$101,2,FALSE)),"")</f>
        <v/>
      </c>
      <c r="E397" s="9" t="n"/>
      <c r="F397" s="13">
        <f>IF(ISBLANK(E397),"",E397+Settings!$B$7)</f>
        <v/>
      </c>
      <c r="G397" s="9" t="n"/>
      <c r="H397" s="15">
        <f>IF(ISBLANK(B397),"",IF(NOT(ISBLANK(G397)),"Returned",IF(TODAY()&gt;F397,"Overdue","Active")))</f>
        <v/>
      </c>
      <c r="I397" s="9" t="n"/>
    </row>
    <row r="398">
      <c r="A398" s="13">
        <f>IF(ISBLANK(B398),"",ROW()-1)</f>
        <v/>
      </c>
      <c r="B398" s="9" t="n"/>
      <c r="C398" s="9" t="n"/>
      <c r="D398" s="15">
        <f>IFERROR(IF(ISBLANK(C398),"",VLOOKUP(C398,Members!$A$2:$B$101,2,FALSE)),"")</f>
        <v/>
      </c>
      <c r="E398" s="9" t="n"/>
      <c r="F398" s="13">
        <f>IF(ISBLANK(E398),"",E398+Settings!$B$7)</f>
        <v/>
      </c>
      <c r="G398" s="9" t="n"/>
      <c r="H398" s="15">
        <f>IF(ISBLANK(B398),"",IF(NOT(ISBLANK(G398)),"Returned",IF(TODAY()&gt;F398,"Overdue","Active")))</f>
        <v/>
      </c>
      <c r="I398" s="9" t="n"/>
    </row>
    <row r="399">
      <c r="A399" s="13">
        <f>IF(ISBLANK(B399),"",ROW()-1)</f>
        <v/>
      </c>
      <c r="B399" s="9" t="n"/>
      <c r="C399" s="9" t="n"/>
      <c r="D399" s="15">
        <f>IFERROR(IF(ISBLANK(C399),"",VLOOKUP(C399,Members!$A$2:$B$101,2,FALSE)),"")</f>
        <v/>
      </c>
      <c r="E399" s="9" t="n"/>
      <c r="F399" s="13">
        <f>IF(ISBLANK(E399),"",E399+Settings!$B$7)</f>
        <v/>
      </c>
      <c r="G399" s="9" t="n"/>
      <c r="H399" s="15">
        <f>IF(ISBLANK(B399),"",IF(NOT(ISBLANK(G399)),"Returned",IF(TODAY()&gt;F399,"Overdue","Active")))</f>
        <v/>
      </c>
      <c r="I399" s="9" t="n"/>
    </row>
    <row r="400">
      <c r="A400" s="13">
        <f>IF(ISBLANK(B400),"",ROW()-1)</f>
        <v/>
      </c>
      <c r="B400" s="9" t="n"/>
      <c r="C400" s="9" t="n"/>
      <c r="D400" s="15">
        <f>IFERROR(IF(ISBLANK(C400),"",VLOOKUP(C400,Members!$A$2:$B$101,2,FALSE)),"")</f>
        <v/>
      </c>
      <c r="E400" s="9" t="n"/>
      <c r="F400" s="13">
        <f>IF(ISBLANK(E400),"",E400+Settings!$B$7)</f>
        <v/>
      </c>
      <c r="G400" s="9" t="n"/>
      <c r="H400" s="15">
        <f>IF(ISBLANK(B400),"",IF(NOT(ISBLANK(G400)),"Returned",IF(TODAY()&gt;F400,"Overdue","Active")))</f>
        <v/>
      </c>
      <c r="I400" s="9" t="n"/>
    </row>
    <row r="401">
      <c r="A401" s="13">
        <f>IF(ISBLANK(B401),"",ROW()-1)</f>
        <v/>
      </c>
      <c r="B401" s="9" t="n"/>
      <c r="C401" s="9" t="n"/>
      <c r="D401" s="15">
        <f>IFERROR(IF(ISBLANK(C401),"",VLOOKUP(C401,Members!$A$2:$B$101,2,FALSE)),"")</f>
        <v/>
      </c>
      <c r="E401" s="9" t="n"/>
      <c r="F401" s="13">
        <f>IF(ISBLANK(E401),"",E401+Settings!$B$7)</f>
        <v/>
      </c>
      <c r="G401" s="9" t="n"/>
      <c r="H401" s="15">
        <f>IF(ISBLANK(B401),"",IF(NOT(ISBLANK(G401)),"Returned",IF(TODAY()&gt;F401,"Overdue","Active")))</f>
        <v/>
      </c>
      <c r="I401" s="9" t="n"/>
    </row>
    <row r="402">
      <c r="A402" s="13">
        <f>IF(ISBLANK(B402),"",ROW()-1)</f>
        <v/>
      </c>
      <c r="B402" s="9" t="n"/>
      <c r="C402" s="9" t="n"/>
      <c r="D402" s="15">
        <f>IFERROR(IF(ISBLANK(C402),"",VLOOKUP(C402,Members!$A$2:$B$101,2,FALSE)),"")</f>
        <v/>
      </c>
      <c r="E402" s="9" t="n"/>
      <c r="F402" s="13">
        <f>IF(ISBLANK(E402),"",E402+Settings!$B$7)</f>
        <v/>
      </c>
      <c r="G402" s="9" t="n"/>
      <c r="H402" s="15">
        <f>IF(ISBLANK(B402),"",IF(NOT(ISBLANK(G402)),"Returned",IF(TODAY()&gt;F402,"Overdue","Active")))</f>
        <v/>
      </c>
      <c r="I402" s="9" t="n"/>
    </row>
    <row r="403">
      <c r="A403" s="13">
        <f>IF(ISBLANK(B403),"",ROW()-1)</f>
        <v/>
      </c>
      <c r="B403" s="9" t="n"/>
      <c r="C403" s="9" t="n"/>
      <c r="D403" s="15">
        <f>IFERROR(IF(ISBLANK(C403),"",VLOOKUP(C403,Members!$A$2:$B$101,2,FALSE)),"")</f>
        <v/>
      </c>
      <c r="E403" s="9" t="n"/>
      <c r="F403" s="13">
        <f>IF(ISBLANK(E403),"",E403+Settings!$B$7)</f>
        <v/>
      </c>
      <c r="G403" s="9" t="n"/>
      <c r="H403" s="15">
        <f>IF(ISBLANK(B403),"",IF(NOT(ISBLANK(G403)),"Returned",IF(TODAY()&gt;F403,"Overdue","Active")))</f>
        <v/>
      </c>
      <c r="I403" s="9" t="n"/>
    </row>
    <row r="404">
      <c r="A404" s="13">
        <f>IF(ISBLANK(B404),"",ROW()-1)</f>
        <v/>
      </c>
      <c r="B404" s="9" t="n"/>
      <c r="C404" s="9" t="n"/>
      <c r="D404" s="15">
        <f>IFERROR(IF(ISBLANK(C404),"",VLOOKUP(C404,Members!$A$2:$B$101,2,FALSE)),"")</f>
        <v/>
      </c>
      <c r="E404" s="9" t="n"/>
      <c r="F404" s="13">
        <f>IF(ISBLANK(E404),"",E404+Settings!$B$7)</f>
        <v/>
      </c>
      <c r="G404" s="9" t="n"/>
      <c r="H404" s="15">
        <f>IF(ISBLANK(B404),"",IF(NOT(ISBLANK(G404)),"Returned",IF(TODAY()&gt;F404,"Overdue","Active")))</f>
        <v/>
      </c>
      <c r="I404" s="9" t="n"/>
    </row>
    <row r="405">
      <c r="A405" s="13">
        <f>IF(ISBLANK(B405),"",ROW()-1)</f>
        <v/>
      </c>
      <c r="B405" s="9" t="n"/>
      <c r="C405" s="9" t="n"/>
      <c r="D405" s="15">
        <f>IFERROR(IF(ISBLANK(C405),"",VLOOKUP(C405,Members!$A$2:$B$101,2,FALSE)),"")</f>
        <v/>
      </c>
      <c r="E405" s="9" t="n"/>
      <c r="F405" s="13">
        <f>IF(ISBLANK(E405),"",E405+Settings!$B$7)</f>
        <v/>
      </c>
      <c r="G405" s="9" t="n"/>
      <c r="H405" s="15">
        <f>IF(ISBLANK(B405),"",IF(NOT(ISBLANK(G405)),"Returned",IF(TODAY()&gt;F405,"Overdue","Active")))</f>
        <v/>
      </c>
      <c r="I405" s="9" t="n"/>
    </row>
    <row r="406">
      <c r="A406" s="13">
        <f>IF(ISBLANK(B406),"",ROW()-1)</f>
        <v/>
      </c>
      <c r="B406" s="9" t="n"/>
      <c r="C406" s="9" t="n"/>
      <c r="D406" s="15">
        <f>IFERROR(IF(ISBLANK(C406),"",VLOOKUP(C406,Members!$A$2:$B$101,2,FALSE)),"")</f>
        <v/>
      </c>
      <c r="E406" s="9" t="n"/>
      <c r="F406" s="13">
        <f>IF(ISBLANK(E406),"",E406+Settings!$B$7)</f>
        <v/>
      </c>
      <c r="G406" s="9" t="n"/>
      <c r="H406" s="15">
        <f>IF(ISBLANK(B406),"",IF(NOT(ISBLANK(G406)),"Returned",IF(TODAY()&gt;F406,"Overdue","Active")))</f>
        <v/>
      </c>
      <c r="I406" s="9" t="n"/>
    </row>
    <row r="407">
      <c r="A407" s="13">
        <f>IF(ISBLANK(B407),"",ROW()-1)</f>
        <v/>
      </c>
      <c r="B407" s="9" t="n"/>
      <c r="C407" s="9" t="n"/>
      <c r="D407" s="15">
        <f>IFERROR(IF(ISBLANK(C407),"",VLOOKUP(C407,Members!$A$2:$B$101,2,FALSE)),"")</f>
        <v/>
      </c>
      <c r="E407" s="9" t="n"/>
      <c r="F407" s="13">
        <f>IF(ISBLANK(E407),"",E407+Settings!$B$7)</f>
        <v/>
      </c>
      <c r="G407" s="9" t="n"/>
      <c r="H407" s="15">
        <f>IF(ISBLANK(B407),"",IF(NOT(ISBLANK(G407)),"Returned",IF(TODAY()&gt;F407,"Overdue","Active")))</f>
        <v/>
      </c>
      <c r="I407" s="9" t="n"/>
    </row>
    <row r="408">
      <c r="A408" s="13">
        <f>IF(ISBLANK(B408),"",ROW()-1)</f>
        <v/>
      </c>
      <c r="B408" s="9" t="n"/>
      <c r="C408" s="9" t="n"/>
      <c r="D408" s="15">
        <f>IFERROR(IF(ISBLANK(C408),"",VLOOKUP(C408,Members!$A$2:$B$101,2,FALSE)),"")</f>
        <v/>
      </c>
      <c r="E408" s="9" t="n"/>
      <c r="F408" s="13">
        <f>IF(ISBLANK(E408),"",E408+Settings!$B$7)</f>
        <v/>
      </c>
      <c r="G408" s="9" t="n"/>
      <c r="H408" s="15">
        <f>IF(ISBLANK(B408),"",IF(NOT(ISBLANK(G408)),"Returned",IF(TODAY()&gt;F408,"Overdue","Active")))</f>
        <v/>
      </c>
      <c r="I408" s="9" t="n"/>
    </row>
    <row r="409">
      <c r="A409" s="13">
        <f>IF(ISBLANK(B409),"",ROW()-1)</f>
        <v/>
      </c>
      <c r="B409" s="9" t="n"/>
      <c r="C409" s="9" t="n"/>
      <c r="D409" s="15">
        <f>IFERROR(IF(ISBLANK(C409),"",VLOOKUP(C409,Members!$A$2:$B$101,2,FALSE)),"")</f>
        <v/>
      </c>
      <c r="E409" s="9" t="n"/>
      <c r="F409" s="13">
        <f>IF(ISBLANK(E409),"",E409+Settings!$B$7)</f>
        <v/>
      </c>
      <c r="G409" s="9" t="n"/>
      <c r="H409" s="15">
        <f>IF(ISBLANK(B409),"",IF(NOT(ISBLANK(G409)),"Returned",IF(TODAY()&gt;F409,"Overdue","Active")))</f>
        <v/>
      </c>
      <c r="I409" s="9" t="n"/>
    </row>
    <row r="410">
      <c r="A410" s="13">
        <f>IF(ISBLANK(B410),"",ROW()-1)</f>
        <v/>
      </c>
      <c r="B410" s="9" t="n"/>
      <c r="C410" s="9" t="n"/>
      <c r="D410" s="15">
        <f>IFERROR(IF(ISBLANK(C410),"",VLOOKUP(C410,Members!$A$2:$B$101,2,FALSE)),"")</f>
        <v/>
      </c>
      <c r="E410" s="9" t="n"/>
      <c r="F410" s="13">
        <f>IF(ISBLANK(E410),"",E410+Settings!$B$7)</f>
        <v/>
      </c>
      <c r="G410" s="9" t="n"/>
      <c r="H410" s="15">
        <f>IF(ISBLANK(B410),"",IF(NOT(ISBLANK(G410)),"Returned",IF(TODAY()&gt;F410,"Overdue","Active")))</f>
        <v/>
      </c>
      <c r="I410" s="9" t="n"/>
    </row>
    <row r="411">
      <c r="A411" s="13">
        <f>IF(ISBLANK(B411),"",ROW()-1)</f>
        <v/>
      </c>
      <c r="B411" s="9" t="n"/>
      <c r="C411" s="9" t="n"/>
      <c r="D411" s="15">
        <f>IFERROR(IF(ISBLANK(C411),"",VLOOKUP(C411,Members!$A$2:$B$101,2,FALSE)),"")</f>
        <v/>
      </c>
      <c r="E411" s="9" t="n"/>
      <c r="F411" s="13">
        <f>IF(ISBLANK(E411),"",E411+Settings!$B$7)</f>
        <v/>
      </c>
      <c r="G411" s="9" t="n"/>
      <c r="H411" s="15">
        <f>IF(ISBLANK(B411),"",IF(NOT(ISBLANK(G411)),"Returned",IF(TODAY()&gt;F411,"Overdue","Active")))</f>
        <v/>
      </c>
      <c r="I411" s="9" t="n"/>
    </row>
    <row r="412">
      <c r="A412" s="13">
        <f>IF(ISBLANK(B412),"",ROW()-1)</f>
        <v/>
      </c>
      <c r="B412" s="9" t="n"/>
      <c r="C412" s="9" t="n"/>
      <c r="D412" s="15">
        <f>IFERROR(IF(ISBLANK(C412),"",VLOOKUP(C412,Members!$A$2:$B$101,2,FALSE)),"")</f>
        <v/>
      </c>
      <c r="E412" s="9" t="n"/>
      <c r="F412" s="13">
        <f>IF(ISBLANK(E412),"",E412+Settings!$B$7)</f>
        <v/>
      </c>
      <c r="G412" s="9" t="n"/>
      <c r="H412" s="15">
        <f>IF(ISBLANK(B412),"",IF(NOT(ISBLANK(G412)),"Returned",IF(TODAY()&gt;F412,"Overdue","Active")))</f>
        <v/>
      </c>
      <c r="I412" s="9" t="n"/>
    </row>
    <row r="413">
      <c r="A413" s="13">
        <f>IF(ISBLANK(B413),"",ROW()-1)</f>
        <v/>
      </c>
      <c r="B413" s="9" t="n"/>
      <c r="C413" s="9" t="n"/>
      <c r="D413" s="15">
        <f>IFERROR(IF(ISBLANK(C413),"",VLOOKUP(C413,Members!$A$2:$B$101,2,FALSE)),"")</f>
        <v/>
      </c>
      <c r="E413" s="9" t="n"/>
      <c r="F413" s="13">
        <f>IF(ISBLANK(E413),"",E413+Settings!$B$7)</f>
        <v/>
      </c>
      <c r="G413" s="9" t="n"/>
      <c r="H413" s="15">
        <f>IF(ISBLANK(B413),"",IF(NOT(ISBLANK(G413)),"Returned",IF(TODAY()&gt;F413,"Overdue","Active")))</f>
        <v/>
      </c>
      <c r="I413" s="9" t="n"/>
    </row>
    <row r="414">
      <c r="A414" s="13">
        <f>IF(ISBLANK(B414),"",ROW()-1)</f>
        <v/>
      </c>
      <c r="B414" s="9" t="n"/>
      <c r="C414" s="9" t="n"/>
      <c r="D414" s="15">
        <f>IFERROR(IF(ISBLANK(C414),"",VLOOKUP(C414,Members!$A$2:$B$101,2,FALSE)),"")</f>
        <v/>
      </c>
      <c r="E414" s="9" t="n"/>
      <c r="F414" s="13">
        <f>IF(ISBLANK(E414),"",E414+Settings!$B$7)</f>
        <v/>
      </c>
      <c r="G414" s="9" t="n"/>
      <c r="H414" s="15">
        <f>IF(ISBLANK(B414),"",IF(NOT(ISBLANK(G414)),"Returned",IF(TODAY()&gt;F414,"Overdue","Active")))</f>
        <v/>
      </c>
      <c r="I414" s="9" t="n"/>
    </row>
    <row r="415">
      <c r="A415" s="13">
        <f>IF(ISBLANK(B415),"",ROW()-1)</f>
        <v/>
      </c>
      <c r="B415" s="9" t="n"/>
      <c r="C415" s="9" t="n"/>
      <c r="D415" s="15">
        <f>IFERROR(IF(ISBLANK(C415),"",VLOOKUP(C415,Members!$A$2:$B$101,2,FALSE)),"")</f>
        <v/>
      </c>
      <c r="E415" s="9" t="n"/>
      <c r="F415" s="13">
        <f>IF(ISBLANK(E415),"",E415+Settings!$B$7)</f>
        <v/>
      </c>
      <c r="G415" s="9" t="n"/>
      <c r="H415" s="15">
        <f>IF(ISBLANK(B415),"",IF(NOT(ISBLANK(G415)),"Returned",IF(TODAY()&gt;F415,"Overdue","Active")))</f>
        <v/>
      </c>
      <c r="I415" s="9" t="n"/>
    </row>
    <row r="416">
      <c r="A416" s="13">
        <f>IF(ISBLANK(B416),"",ROW()-1)</f>
        <v/>
      </c>
      <c r="B416" s="9" t="n"/>
      <c r="C416" s="9" t="n"/>
      <c r="D416" s="15">
        <f>IFERROR(IF(ISBLANK(C416),"",VLOOKUP(C416,Members!$A$2:$B$101,2,FALSE)),"")</f>
        <v/>
      </c>
      <c r="E416" s="9" t="n"/>
      <c r="F416" s="13">
        <f>IF(ISBLANK(E416),"",E416+Settings!$B$7)</f>
        <v/>
      </c>
      <c r="G416" s="9" t="n"/>
      <c r="H416" s="15">
        <f>IF(ISBLANK(B416),"",IF(NOT(ISBLANK(G416)),"Returned",IF(TODAY()&gt;F416,"Overdue","Active")))</f>
        <v/>
      </c>
      <c r="I416" s="9" t="n"/>
    </row>
    <row r="417">
      <c r="A417" s="13">
        <f>IF(ISBLANK(B417),"",ROW()-1)</f>
        <v/>
      </c>
      <c r="B417" s="9" t="n"/>
      <c r="C417" s="9" t="n"/>
      <c r="D417" s="15">
        <f>IFERROR(IF(ISBLANK(C417),"",VLOOKUP(C417,Members!$A$2:$B$101,2,FALSE)),"")</f>
        <v/>
      </c>
      <c r="E417" s="9" t="n"/>
      <c r="F417" s="13">
        <f>IF(ISBLANK(E417),"",E417+Settings!$B$7)</f>
        <v/>
      </c>
      <c r="G417" s="9" t="n"/>
      <c r="H417" s="15">
        <f>IF(ISBLANK(B417),"",IF(NOT(ISBLANK(G417)),"Returned",IF(TODAY()&gt;F417,"Overdue","Active")))</f>
        <v/>
      </c>
      <c r="I417" s="9" t="n"/>
    </row>
    <row r="418">
      <c r="A418" s="13">
        <f>IF(ISBLANK(B418),"",ROW()-1)</f>
        <v/>
      </c>
      <c r="B418" s="9" t="n"/>
      <c r="C418" s="9" t="n"/>
      <c r="D418" s="15">
        <f>IFERROR(IF(ISBLANK(C418),"",VLOOKUP(C418,Members!$A$2:$B$101,2,FALSE)),"")</f>
        <v/>
      </c>
      <c r="E418" s="9" t="n"/>
      <c r="F418" s="13">
        <f>IF(ISBLANK(E418),"",E418+Settings!$B$7)</f>
        <v/>
      </c>
      <c r="G418" s="9" t="n"/>
      <c r="H418" s="15">
        <f>IF(ISBLANK(B418),"",IF(NOT(ISBLANK(G418)),"Returned",IF(TODAY()&gt;F418,"Overdue","Active")))</f>
        <v/>
      </c>
      <c r="I418" s="9" t="n"/>
    </row>
    <row r="419">
      <c r="A419" s="13">
        <f>IF(ISBLANK(B419),"",ROW()-1)</f>
        <v/>
      </c>
      <c r="B419" s="9" t="n"/>
      <c r="C419" s="9" t="n"/>
      <c r="D419" s="15">
        <f>IFERROR(IF(ISBLANK(C419),"",VLOOKUP(C419,Members!$A$2:$B$101,2,FALSE)),"")</f>
        <v/>
      </c>
      <c r="E419" s="9" t="n"/>
      <c r="F419" s="13">
        <f>IF(ISBLANK(E419),"",E419+Settings!$B$7)</f>
        <v/>
      </c>
      <c r="G419" s="9" t="n"/>
      <c r="H419" s="15">
        <f>IF(ISBLANK(B419),"",IF(NOT(ISBLANK(G419)),"Returned",IF(TODAY()&gt;F419,"Overdue","Active")))</f>
        <v/>
      </c>
      <c r="I419" s="9" t="n"/>
    </row>
    <row r="420">
      <c r="A420" s="13">
        <f>IF(ISBLANK(B420),"",ROW()-1)</f>
        <v/>
      </c>
      <c r="B420" s="9" t="n"/>
      <c r="C420" s="9" t="n"/>
      <c r="D420" s="15">
        <f>IFERROR(IF(ISBLANK(C420),"",VLOOKUP(C420,Members!$A$2:$B$101,2,FALSE)),"")</f>
        <v/>
      </c>
      <c r="E420" s="9" t="n"/>
      <c r="F420" s="13">
        <f>IF(ISBLANK(E420),"",E420+Settings!$B$7)</f>
        <v/>
      </c>
      <c r="G420" s="9" t="n"/>
      <c r="H420" s="15">
        <f>IF(ISBLANK(B420),"",IF(NOT(ISBLANK(G420)),"Returned",IF(TODAY()&gt;F420,"Overdue","Active")))</f>
        <v/>
      </c>
      <c r="I420" s="9" t="n"/>
    </row>
    <row r="421">
      <c r="A421" s="13">
        <f>IF(ISBLANK(B421),"",ROW()-1)</f>
        <v/>
      </c>
      <c r="B421" s="9" t="n"/>
      <c r="C421" s="9" t="n"/>
      <c r="D421" s="15">
        <f>IFERROR(IF(ISBLANK(C421),"",VLOOKUP(C421,Members!$A$2:$B$101,2,FALSE)),"")</f>
        <v/>
      </c>
      <c r="E421" s="9" t="n"/>
      <c r="F421" s="13">
        <f>IF(ISBLANK(E421),"",E421+Settings!$B$7)</f>
        <v/>
      </c>
      <c r="G421" s="9" t="n"/>
      <c r="H421" s="15">
        <f>IF(ISBLANK(B421),"",IF(NOT(ISBLANK(G421)),"Returned",IF(TODAY()&gt;F421,"Overdue","Active")))</f>
        <v/>
      </c>
      <c r="I421" s="9" t="n"/>
    </row>
    <row r="422">
      <c r="A422" s="13">
        <f>IF(ISBLANK(B422),"",ROW()-1)</f>
        <v/>
      </c>
      <c r="B422" s="9" t="n"/>
      <c r="C422" s="9" t="n"/>
      <c r="D422" s="15">
        <f>IFERROR(IF(ISBLANK(C422),"",VLOOKUP(C422,Members!$A$2:$B$101,2,FALSE)),"")</f>
        <v/>
      </c>
      <c r="E422" s="9" t="n"/>
      <c r="F422" s="13">
        <f>IF(ISBLANK(E422),"",E422+Settings!$B$7)</f>
        <v/>
      </c>
      <c r="G422" s="9" t="n"/>
      <c r="H422" s="15">
        <f>IF(ISBLANK(B422),"",IF(NOT(ISBLANK(G422)),"Returned",IF(TODAY()&gt;F422,"Overdue","Active")))</f>
        <v/>
      </c>
      <c r="I422" s="9" t="n"/>
    </row>
    <row r="423">
      <c r="A423" s="13">
        <f>IF(ISBLANK(B423),"",ROW()-1)</f>
        <v/>
      </c>
      <c r="B423" s="9" t="n"/>
      <c r="C423" s="9" t="n"/>
      <c r="D423" s="15">
        <f>IFERROR(IF(ISBLANK(C423),"",VLOOKUP(C423,Members!$A$2:$B$101,2,FALSE)),"")</f>
        <v/>
      </c>
      <c r="E423" s="9" t="n"/>
      <c r="F423" s="13">
        <f>IF(ISBLANK(E423),"",E423+Settings!$B$7)</f>
        <v/>
      </c>
      <c r="G423" s="9" t="n"/>
      <c r="H423" s="15">
        <f>IF(ISBLANK(B423),"",IF(NOT(ISBLANK(G423)),"Returned",IF(TODAY()&gt;F423,"Overdue","Active")))</f>
        <v/>
      </c>
      <c r="I423" s="9" t="n"/>
    </row>
    <row r="424">
      <c r="A424" s="13">
        <f>IF(ISBLANK(B424),"",ROW()-1)</f>
        <v/>
      </c>
      <c r="B424" s="9" t="n"/>
      <c r="C424" s="9" t="n"/>
      <c r="D424" s="15">
        <f>IFERROR(IF(ISBLANK(C424),"",VLOOKUP(C424,Members!$A$2:$B$101,2,FALSE)),"")</f>
        <v/>
      </c>
      <c r="E424" s="9" t="n"/>
      <c r="F424" s="13">
        <f>IF(ISBLANK(E424),"",E424+Settings!$B$7)</f>
        <v/>
      </c>
      <c r="G424" s="9" t="n"/>
      <c r="H424" s="15">
        <f>IF(ISBLANK(B424),"",IF(NOT(ISBLANK(G424)),"Returned",IF(TODAY()&gt;F424,"Overdue","Active")))</f>
        <v/>
      </c>
      <c r="I424" s="9" t="n"/>
    </row>
    <row r="425">
      <c r="A425" s="13">
        <f>IF(ISBLANK(B425),"",ROW()-1)</f>
        <v/>
      </c>
      <c r="B425" s="9" t="n"/>
      <c r="C425" s="9" t="n"/>
      <c r="D425" s="15">
        <f>IFERROR(IF(ISBLANK(C425),"",VLOOKUP(C425,Members!$A$2:$B$101,2,FALSE)),"")</f>
        <v/>
      </c>
      <c r="E425" s="9" t="n"/>
      <c r="F425" s="13">
        <f>IF(ISBLANK(E425),"",E425+Settings!$B$7)</f>
        <v/>
      </c>
      <c r="G425" s="9" t="n"/>
      <c r="H425" s="15">
        <f>IF(ISBLANK(B425),"",IF(NOT(ISBLANK(G425)),"Returned",IF(TODAY()&gt;F425,"Overdue","Active")))</f>
        <v/>
      </c>
      <c r="I425" s="9" t="n"/>
    </row>
    <row r="426">
      <c r="A426" s="13">
        <f>IF(ISBLANK(B426),"",ROW()-1)</f>
        <v/>
      </c>
      <c r="B426" s="9" t="n"/>
      <c r="C426" s="9" t="n"/>
      <c r="D426" s="15">
        <f>IFERROR(IF(ISBLANK(C426),"",VLOOKUP(C426,Members!$A$2:$B$101,2,FALSE)),"")</f>
        <v/>
      </c>
      <c r="E426" s="9" t="n"/>
      <c r="F426" s="13">
        <f>IF(ISBLANK(E426),"",E426+Settings!$B$7)</f>
        <v/>
      </c>
      <c r="G426" s="9" t="n"/>
      <c r="H426" s="15">
        <f>IF(ISBLANK(B426),"",IF(NOT(ISBLANK(G426)),"Returned",IF(TODAY()&gt;F426,"Overdue","Active")))</f>
        <v/>
      </c>
      <c r="I426" s="9" t="n"/>
    </row>
    <row r="427">
      <c r="A427" s="13">
        <f>IF(ISBLANK(B427),"",ROW()-1)</f>
        <v/>
      </c>
      <c r="B427" s="9" t="n"/>
      <c r="C427" s="9" t="n"/>
      <c r="D427" s="15">
        <f>IFERROR(IF(ISBLANK(C427),"",VLOOKUP(C427,Members!$A$2:$B$101,2,FALSE)),"")</f>
        <v/>
      </c>
      <c r="E427" s="9" t="n"/>
      <c r="F427" s="13">
        <f>IF(ISBLANK(E427),"",E427+Settings!$B$7)</f>
        <v/>
      </c>
      <c r="G427" s="9" t="n"/>
      <c r="H427" s="15">
        <f>IF(ISBLANK(B427),"",IF(NOT(ISBLANK(G427)),"Returned",IF(TODAY()&gt;F427,"Overdue","Active")))</f>
        <v/>
      </c>
      <c r="I427" s="9" t="n"/>
    </row>
    <row r="428">
      <c r="A428" s="13">
        <f>IF(ISBLANK(B428),"",ROW()-1)</f>
        <v/>
      </c>
      <c r="B428" s="9" t="n"/>
      <c r="C428" s="9" t="n"/>
      <c r="D428" s="15">
        <f>IFERROR(IF(ISBLANK(C428),"",VLOOKUP(C428,Members!$A$2:$B$101,2,FALSE)),"")</f>
        <v/>
      </c>
      <c r="E428" s="9" t="n"/>
      <c r="F428" s="13">
        <f>IF(ISBLANK(E428),"",E428+Settings!$B$7)</f>
        <v/>
      </c>
      <c r="G428" s="9" t="n"/>
      <c r="H428" s="15">
        <f>IF(ISBLANK(B428),"",IF(NOT(ISBLANK(G428)),"Returned",IF(TODAY()&gt;F428,"Overdue","Active")))</f>
        <v/>
      </c>
      <c r="I428" s="9" t="n"/>
    </row>
    <row r="429">
      <c r="A429" s="13">
        <f>IF(ISBLANK(B429),"",ROW()-1)</f>
        <v/>
      </c>
      <c r="B429" s="9" t="n"/>
      <c r="C429" s="9" t="n"/>
      <c r="D429" s="15">
        <f>IFERROR(IF(ISBLANK(C429),"",VLOOKUP(C429,Members!$A$2:$B$101,2,FALSE)),"")</f>
        <v/>
      </c>
      <c r="E429" s="9" t="n"/>
      <c r="F429" s="13">
        <f>IF(ISBLANK(E429),"",E429+Settings!$B$7)</f>
        <v/>
      </c>
      <c r="G429" s="9" t="n"/>
      <c r="H429" s="15">
        <f>IF(ISBLANK(B429),"",IF(NOT(ISBLANK(G429)),"Returned",IF(TODAY()&gt;F429,"Overdue","Active")))</f>
        <v/>
      </c>
      <c r="I429" s="9" t="n"/>
    </row>
    <row r="430">
      <c r="A430" s="13">
        <f>IF(ISBLANK(B430),"",ROW()-1)</f>
        <v/>
      </c>
      <c r="B430" s="9" t="n"/>
      <c r="C430" s="9" t="n"/>
      <c r="D430" s="15">
        <f>IFERROR(IF(ISBLANK(C430),"",VLOOKUP(C430,Members!$A$2:$B$101,2,FALSE)),"")</f>
        <v/>
      </c>
      <c r="E430" s="9" t="n"/>
      <c r="F430" s="13">
        <f>IF(ISBLANK(E430),"",E430+Settings!$B$7)</f>
        <v/>
      </c>
      <c r="G430" s="9" t="n"/>
      <c r="H430" s="15">
        <f>IF(ISBLANK(B430),"",IF(NOT(ISBLANK(G430)),"Returned",IF(TODAY()&gt;F430,"Overdue","Active")))</f>
        <v/>
      </c>
      <c r="I430" s="9" t="n"/>
    </row>
    <row r="431">
      <c r="A431" s="13">
        <f>IF(ISBLANK(B431),"",ROW()-1)</f>
        <v/>
      </c>
      <c r="B431" s="9" t="n"/>
      <c r="C431" s="9" t="n"/>
      <c r="D431" s="15">
        <f>IFERROR(IF(ISBLANK(C431),"",VLOOKUP(C431,Members!$A$2:$B$101,2,FALSE)),"")</f>
        <v/>
      </c>
      <c r="E431" s="9" t="n"/>
      <c r="F431" s="13">
        <f>IF(ISBLANK(E431),"",E431+Settings!$B$7)</f>
        <v/>
      </c>
      <c r="G431" s="9" t="n"/>
      <c r="H431" s="15">
        <f>IF(ISBLANK(B431),"",IF(NOT(ISBLANK(G431)),"Returned",IF(TODAY()&gt;F431,"Overdue","Active")))</f>
        <v/>
      </c>
      <c r="I431" s="9" t="n"/>
    </row>
    <row r="432">
      <c r="A432" s="13">
        <f>IF(ISBLANK(B432),"",ROW()-1)</f>
        <v/>
      </c>
      <c r="B432" s="9" t="n"/>
      <c r="C432" s="9" t="n"/>
      <c r="D432" s="15">
        <f>IFERROR(IF(ISBLANK(C432),"",VLOOKUP(C432,Members!$A$2:$B$101,2,FALSE)),"")</f>
        <v/>
      </c>
      <c r="E432" s="9" t="n"/>
      <c r="F432" s="13">
        <f>IF(ISBLANK(E432),"",E432+Settings!$B$7)</f>
        <v/>
      </c>
      <c r="G432" s="9" t="n"/>
      <c r="H432" s="15">
        <f>IF(ISBLANK(B432),"",IF(NOT(ISBLANK(G432)),"Returned",IF(TODAY()&gt;F432,"Overdue","Active")))</f>
        <v/>
      </c>
      <c r="I432" s="9" t="n"/>
    </row>
    <row r="433">
      <c r="A433" s="13">
        <f>IF(ISBLANK(B433),"",ROW()-1)</f>
        <v/>
      </c>
      <c r="B433" s="9" t="n"/>
      <c r="C433" s="9" t="n"/>
      <c r="D433" s="15">
        <f>IFERROR(IF(ISBLANK(C433),"",VLOOKUP(C433,Members!$A$2:$B$101,2,FALSE)),"")</f>
        <v/>
      </c>
      <c r="E433" s="9" t="n"/>
      <c r="F433" s="13">
        <f>IF(ISBLANK(E433),"",E433+Settings!$B$7)</f>
        <v/>
      </c>
      <c r="G433" s="9" t="n"/>
      <c r="H433" s="15">
        <f>IF(ISBLANK(B433),"",IF(NOT(ISBLANK(G433)),"Returned",IF(TODAY()&gt;F433,"Overdue","Active")))</f>
        <v/>
      </c>
      <c r="I433" s="9" t="n"/>
    </row>
    <row r="434">
      <c r="A434" s="13">
        <f>IF(ISBLANK(B434),"",ROW()-1)</f>
        <v/>
      </c>
      <c r="B434" s="9" t="n"/>
      <c r="C434" s="9" t="n"/>
      <c r="D434" s="15">
        <f>IFERROR(IF(ISBLANK(C434),"",VLOOKUP(C434,Members!$A$2:$B$101,2,FALSE)),"")</f>
        <v/>
      </c>
      <c r="E434" s="9" t="n"/>
      <c r="F434" s="13">
        <f>IF(ISBLANK(E434),"",E434+Settings!$B$7)</f>
        <v/>
      </c>
      <c r="G434" s="9" t="n"/>
      <c r="H434" s="15">
        <f>IF(ISBLANK(B434),"",IF(NOT(ISBLANK(G434)),"Returned",IF(TODAY()&gt;F434,"Overdue","Active")))</f>
        <v/>
      </c>
      <c r="I434" s="9" t="n"/>
    </row>
    <row r="435">
      <c r="A435" s="13">
        <f>IF(ISBLANK(B435),"",ROW()-1)</f>
        <v/>
      </c>
      <c r="B435" s="9" t="n"/>
      <c r="C435" s="9" t="n"/>
      <c r="D435" s="15">
        <f>IFERROR(IF(ISBLANK(C435),"",VLOOKUP(C435,Members!$A$2:$B$101,2,FALSE)),"")</f>
        <v/>
      </c>
      <c r="E435" s="9" t="n"/>
      <c r="F435" s="13">
        <f>IF(ISBLANK(E435),"",E435+Settings!$B$7)</f>
        <v/>
      </c>
      <c r="G435" s="9" t="n"/>
      <c r="H435" s="15">
        <f>IF(ISBLANK(B435),"",IF(NOT(ISBLANK(G435)),"Returned",IF(TODAY()&gt;F435,"Overdue","Active")))</f>
        <v/>
      </c>
      <c r="I435" s="9" t="n"/>
    </row>
    <row r="436">
      <c r="A436" s="13">
        <f>IF(ISBLANK(B436),"",ROW()-1)</f>
        <v/>
      </c>
      <c r="B436" s="9" t="n"/>
      <c r="C436" s="9" t="n"/>
      <c r="D436" s="15">
        <f>IFERROR(IF(ISBLANK(C436),"",VLOOKUP(C436,Members!$A$2:$B$101,2,FALSE)),"")</f>
        <v/>
      </c>
      <c r="E436" s="9" t="n"/>
      <c r="F436" s="13">
        <f>IF(ISBLANK(E436),"",E436+Settings!$B$7)</f>
        <v/>
      </c>
      <c r="G436" s="9" t="n"/>
      <c r="H436" s="15">
        <f>IF(ISBLANK(B436),"",IF(NOT(ISBLANK(G436)),"Returned",IF(TODAY()&gt;F436,"Overdue","Active")))</f>
        <v/>
      </c>
      <c r="I436" s="9" t="n"/>
    </row>
    <row r="437">
      <c r="A437" s="13">
        <f>IF(ISBLANK(B437),"",ROW()-1)</f>
        <v/>
      </c>
      <c r="B437" s="9" t="n"/>
      <c r="C437" s="9" t="n"/>
      <c r="D437" s="15">
        <f>IFERROR(IF(ISBLANK(C437),"",VLOOKUP(C437,Members!$A$2:$B$101,2,FALSE)),"")</f>
        <v/>
      </c>
      <c r="E437" s="9" t="n"/>
      <c r="F437" s="13">
        <f>IF(ISBLANK(E437),"",E437+Settings!$B$7)</f>
        <v/>
      </c>
      <c r="G437" s="9" t="n"/>
      <c r="H437" s="15">
        <f>IF(ISBLANK(B437),"",IF(NOT(ISBLANK(G437)),"Returned",IF(TODAY()&gt;F437,"Overdue","Active")))</f>
        <v/>
      </c>
      <c r="I437" s="9" t="n"/>
    </row>
    <row r="438">
      <c r="A438" s="13">
        <f>IF(ISBLANK(B438),"",ROW()-1)</f>
        <v/>
      </c>
      <c r="B438" s="9" t="n"/>
      <c r="C438" s="9" t="n"/>
      <c r="D438" s="15">
        <f>IFERROR(IF(ISBLANK(C438),"",VLOOKUP(C438,Members!$A$2:$B$101,2,FALSE)),"")</f>
        <v/>
      </c>
      <c r="E438" s="9" t="n"/>
      <c r="F438" s="13">
        <f>IF(ISBLANK(E438),"",E438+Settings!$B$7)</f>
        <v/>
      </c>
      <c r="G438" s="9" t="n"/>
      <c r="H438" s="15">
        <f>IF(ISBLANK(B438),"",IF(NOT(ISBLANK(G438)),"Returned",IF(TODAY()&gt;F438,"Overdue","Active")))</f>
        <v/>
      </c>
      <c r="I438" s="9" t="n"/>
    </row>
    <row r="439">
      <c r="A439" s="13">
        <f>IF(ISBLANK(B439),"",ROW()-1)</f>
        <v/>
      </c>
      <c r="B439" s="9" t="n"/>
      <c r="C439" s="9" t="n"/>
      <c r="D439" s="15">
        <f>IFERROR(IF(ISBLANK(C439),"",VLOOKUP(C439,Members!$A$2:$B$101,2,FALSE)),"")</f>
        <v/>
      </c>
      <c r="E439" s="9" t="n"/>
      <c r="F439" s="13">
        <f>IF(ISBLANK(E439),"",E439+Settings!$B$7)</f>
        <v/>
      </c>
      <c r="G439" s="9" t="n"/>
      <c r="H439" s="15">
        <f>IF(ISBLANK(B439),"",IF(NOT(ISBLANK(G439)),"Returned",IF(TODAY()&gt;F439,"Overdue","Active")))</f>
        <v/>
      </c>
      <c r="I439" s="9" t="n"/>
    </row>
    <row r="440">
      <c r="A440" s="13">
        <f>IF(ISBLANK(B440),"",ROW()-1)</f>
        <v/>
      </c>
      <c r="B440" s="9" t="n"/>
      <c r="C440" s="9" t="n"/>
      <c r="D440" s="15">
        <f>IFERROR(IF(ISBLANK(C440),"",VLOOKUP(C440,Members!$A$2:$B$101,2,FALSE)),"")</f>
        <v/>
      </c>
      <c r="E440" s="9" t="n"/>
      <c r="F440" s="13">
        <f>IF(ISBLANK(E440),"",E440+Settings!$B$7)</f>
        <v/>
      </c>
      <c r="G440" s="9" t="n"/>
      <c r="H440" s="15">
        <f>IF(ISBLANK(B440),"",IF(NOT(ISBLANK(G440)),"Returned",IF(TODAY()&gt;F440,"Overdue","Active")))</f>
        <v/>
      </c>
      <c r="I440" s="9" t="n"/>
    </row>
    <row r="441">
      <c r="A441" s="13">
        <f>IF(ISBLANK(B441),"",ROW()-1)</f>
        <v/>
      </c>
      <c r="B441" s="9" t="n"/>
      <c r="C441" s="9" t="n"/>
      <c r="D441" s="15">
        <f>IFERROR(IF(ISBLANK(C441),"",VLOOKUP(C441,Members!$A$2:$B$101,2,FALSE)),"")</f>
        <v/>
      </c>
      <c r="E441" s="9" t="n"/>
      <c r="F441" s="13">
        <f>IF(ISBLANK(E441),"",E441+Settings!$B$7)</f>
        <v/>
      </c>
      <c r="G441" s="9" t="n"/>
      <c r="H441" s="15">
        <f>IF(ISBLANK(B441),"",IF(NOT(ISBLANK(G441)),"Returned",IF(TODAY()&gt;F441,"Overdue","Active")))</f>
        <v/>
      </c>
      <c r="I441" s="9" t="n"/>
    </row>
    <row r="442">
      <c r="A442" s="13">
        <f>IF(ISBLANK(B442),"",ROW()-1)</f>
        <v/>
      </c>
      <c r="B442" s="9" t="n"/>
      <c r="C442" s="9" t="n"/>
      <c r="D442" s="15">
        <f>IFERROR(IF(ISBLANK(C442),"",VLOOKUP(C442,Members!$A$2:$B$101,2,FALSE)),"")</f>
        <v/>
      </c>
      <c r="E442" s="9" t="n"/>
      <c r="F442" s="13">
        <f>IF(ISBLANK(E442),"",E442+Settings!$B$7)</f>
        <v/>
      </c>
      <c r="G442" s="9" t="n"/>
      <c r="H442" s="15">
        <f>IF(ISBLANK(B442),"",IF(NOT(ISBLANK(G442)),"Returned",IF(TODAY()&gt;F442,"Overdue","Active")))</f>
        <v/>
      </c>
      <c r="I442" s="9" t="n"/>
    </row>
    <row r="443">
      <c r="A443" s="13">
        <f>IF(ISBLANK(B443),"",ROW()-1)</f>
        <v/>
      </c>
      <c r="B443" s="9" t="n"/>
      <c r="C443" s="9" t="n"/>
      <c r="D443" s="15">
        <f>IFERROR(IF(ISBLANK(C443),"",VLOOKUP(C443,Members!$A$2:$B$101,2,FALSE)),"")</f>
        <v/>
      </c>
      <c r="E443" s="9" t="n"/>
      <c r="F443" s="13">
        <f>IF(ISBLANK(E443),"",E443+Settings!$B$7)</f>
        <v/>
      </c>
      <c r="G443" s="9" t="n"/>
      <c r="H443" s="15">
        <f>IF(ISBLANK(B443),"",IF(NOT(ISBLANK(G443)),"Returned",IF(TODAY()&gt;F443,"Overdue","Active")))</f>
        <v/>
      </c>
      <c r="I443" s="9" t="n"/>
    </row>
    <row r="444">
      <c r="A444" s="13">
        <f>IF(ISBLANK(B444),"",ROW()-1)</f>
        <v/>
      </c>
      <c r="B444" s="9" t="n"/>
      <c r="C444" s="9" t="n"/>
      <c r="D444" s="15">
        <f>IFERROR(IF(ISBLANK(C444),"",VLOOKUP(C444,Members!$A$2:$B$101,2,FALSE)),"")</f>
        <v/>
      </c>
      <c r="E444" s="9" t="n"/>
      <c r="F444" s="13">
        <f>IF(ISBLANK(E444),"",E444+Settings!$B$7)</f>
        <v/>
      </c>
      <c r="G444" s="9" t="n"/>
      <c r="H444" s="15">
        <f>IF(ISBLANK(B444),"",IF(NOT(ISBLANK(G444)),"Returned",IF(TODAY()&gt;F444,"Overdue","Active")))</f>
        <v/>
      </c>
      <c r="I444" s="9" t="n"/>
    </row>
    <row r="445">
      <c r="A445" s="13">
        <f>IF(ISBLANK(B445),"",ROW()-1)</f>
        <v/>
      </c>
      <c r="B445" s="9" t="n"/>
      <c r="C445" s="9" t="n"/>
      <c r="D445" s="15">
        <f>IFERROR(IF(ISBLANK(C445),"",VLOOKUP(C445,Members!$A$2:$B$101,2,FALSE)),"")</f>
        <v/>
      </c>
      <c r="E445" s="9" t="n"/>
      <c r="F445" s="13">
        <f>IF(ISBLANK(E445),"",E445+Settings!$B$7)</f>
        <v/>
      </c>
      <c r="G445" s="9" t="n"/>
      <c r="H445" s="15">
        <f>IF(ISBLANK(B445),"",IF(NOT(ISBLANK(G445)),"Returned",IF(TODAY()&gt;F445,"Overdue","Active")))</f>
        <v/>
      </c>
      <c r="I445" s="9" t="n"/>
    </row>
    <row r="446">
      <c r="A446" s="13">
        <f>IF(ISBLANK(B446),"",ROW()-1)</f>
        <v/>
      </c>
      <c r="B446" s="9" t="n"/>
      <c r="C446" s="9" t="n"/>
      <c r="D446" s="15">
        <f>IFERROR(IF(ISBLANK(C446),"",VLOOKUP(C446,Members!$A$2:$B$101,2,FALSE)),"")</f>
        <v/>
      </c>
      <c r="E446" s="9" t="n"/>
      <c r="F446" s="13">
        <f>IF(ISBLANK(E446),"",E446+Settings!$B$7)</f>
        <v/>
      </c>
      <c r="G446" s="9" t="n"/>
      <c r="H446" s="15">
        <f>IF(ISBLANK(B446),"",IF(NOT(ISBLANK(G446)),"Returned",IF(TODAY()&gt;F446,"Overdue","Active")))</f>
        <v/>
      </c>
      <c r="I446" s="9" t="n"/>
    </row>
    <row r="447">
      <c r="A447" s="13">
        <f>IF(ISBLANK(B447),"",ROW()-1)</f>
        <v/>
      </c>
      <c r="B447" s="9" t="n"/>
      <c r="C447" s="9" t="n"/>
      <c r="D447" s="15">
        <f>IFERROR(IF(ISBLANK(C447),"",VLOOKUP(C447,Members!$A$2:$B$101,2,FALSE)),"")</f>
        <v/>
      </c>
      <c r="E447" s="9" t="n"/>
      <c r="F447" s="13">
        <f>IF(ISBLANK(E447),"",E447+Settings!$B$7)</f>
        <v/>
      </c>
      <c r="G447" s="9" t="n"/>
      <c r="H447" s="15">
        <f>IF(ISBLANK(B447),"",IF(NOT(ISBLANK(G447)),"Returned",IF(TODAY()&gt;F447,"Overdue","Active")))</f>
        <v/>
      </c>
      <c r="I447" s="9" t="n"/>
    </row>
    <row r="448">
      <c r="A448" s="13">
        <f>IF(ISBLANK(B448),"",ROW()-1)</f>
        <v/>
      </c>
      <c r="B448" s="9" t="n"/>
      <c r="C448" s="9" t="n"/>
      <c r="D448" s="15">
        <f>IFERROR(IF(ISBLANK(C448),"",VLOOKUP(C448,Members!$A$2:$B$101,2,FALSE)),"")</f>
        <v/>
      </c>
      <c r="E448" s="9" t="n"/>
      <c r="F448" s="13">
        <f>IF(ISBLANK(E448),"",E448+Settings!$B$7)</f>
        <v/>
      </c>
      <c r="G448" s="9" t="n"/>
      <c r="H448" s="15">
        <f>IF(ISBLANK(B448),"",IF(NOT(ISBLANK(G448)),"Returned",IF(TODAY()&gt;F448,"Overdue","Active")))</f>
        <v/>
      </c>
      <c r="I448" s="9" t="n"/>
    </row>
    <row r="449">
      <c r="A449" s="13">
        <f>IF(ISBLANK(B449),"",ROW()-1)</f>
        <v/>
      </c>
      <c r="B449" s="9" t="n"/>
      <c r="C449" s="9" t="n"/>
      <c r="D449" s="15">
        <f>IFERROR(IF(ISBLANK(C449),"",VLOOKUP(C449,Members!$A$2:$B$101,2,FALSE)),"")</f>
        <v/>
      </c>
      <c r="E449" s="9" t="n"/>
      <c r="F449" s="13">
        <f>IF(ISBLANK(E449),"",E449+Settings!$B$7)</f>
        <v/>
      </c>
      <c r="G449" s="9" t="n"/>
      <c r="H449" s="15">
        <f>IF(ISBLANK(B449),"",IF(NOT(ISBLANK(G449)),"Returned",IF(TODAY()&gt;F449,"Overdue","Active")))</f>
        <v/>
      </c>
      <c r="I449" s="9" t="n"/>
    </row>
    <row r="450">
      <c r="A450" s="13">
        <f>IF(ISBLANK(B450),"",ROW()-1)</f>
        <v/>
      </c>
      <c r="B450" s="9" t="n"/>
      <c r="C450" s="9" t="n"/>
      <c r="D450" s="15">
        <f>IFERROR(IF(ISBLANK(C450),"",VLOOKUP(C450,Members!$A$2:$B$101,2,FALSE)),"")</f>
        <v/>
      </c>
      <c r="E450" s="9" t="n"/>
      <c r="F450" s="13">
        <f>IF(ISBLANK(E450),"",E450+Settings!$B$7)</f>
        <v/>
      </c>
      <c r="G450" s="9" t="n"/>
      <c r="H450" s="15">
        <f>IF(ISBLANK(B450),"",IF(NOT(ISBLANK(G450)),"Returned",IF(TODAY()&gt;F450,"Overdue","Active")))</f>
        <v/>
      </c>
      <c r="I450" s="9" t="n"/>
    </row>
    <row r="451">
      <c r="A451" s="13">
        <f>IF(ISBLANK(B451),"",ROW()-1)</f>
        <v/>
      </c>
      <c r="B451" s="9" t="n"/>
      <c r="C451" s="9" t="n"/>
      <c r="D451" s="15">
        <f>IFERROR(IF(ISBLANK(C451),"",VLOOKUP(C451,Members!$A$2:$B$101,2,FALSE)),"")</f>
        <v/>
      </c>
      <c r="E451" s="9" t="n"/>
      <c r="F451" s="13">
        <f>IF(ISBLANK(E451),"",E451+Settings!$B$7)</f>
        <v/>
      </c>
      <c r="G451" s="9" t="n"/>
      <c r="H451" s="15">
        <f>IF(ISBLANK(B451),"",IF(NOT(ISBLANK(G451)),"Returned",IF(TODAY()&gt;F451,"Overdue","Active")))</f>
        <v/>
      </c>
      <c r="I451" s="9" t="n"/>
    </row>
    <row r="452">
      <c r="A452" s="13">
        <f>IF(ISBLANK(B452),"",ROW()-1)</f>
        <v/>
      </c>
      <c r="B452" s="9" t="n"/>
      <c r="C452" s="9" t="n"/>
      <c r="D452" s="15">
        <f>IFERROR(IF(ISBLANK(C452),"",VLOOKUP(C452,Members!$A$2:$B$101,2,FALSE)),"")</f>
        <v/>
      </c>
      <c r="E452" s="9" t="n"/>
      <c r="F452" s="13">
        <f>IF(ISBLANK(E452),"",E452+Settings!$B$7)</f>
        <v/>
      </c>
      <c r="G452" s="9" t="n"/>
      <c r="H452" s="15">
        <f>IF(ISBLANK(B452),"",IF(NOT(ISBLANK(G452)),"Returned",IF(TODAY()&gt;F452,"Overdue","Active")))</f>
        <v/>
      </c>
      <c r="I452" s="9" t="n"/>
    </row>
    <row r="453">
      <c r="A453" s="13">
        <f>IF(ISBLANK(B453),"",ROW()-1)</f>
        <v/>
      </c>
      <c r="B453" s="9" t="n"/>
      <c r="C453" s="9" t="n"/>
      <c r="D453" s="15">
        <f>IFERROR(IF(ISBLANK(C453),"",VLOOKUP(C453,Members!$A$2:$B$101,2,FALSE)),"")</f>
        <v/>
      </c>
      <c r="E453" s="9" t="n"/>
      <c r="F453" s="13">
        <f>IF(ISBLANK(E453),"",E453+Settings!$B$7)</f>
        <v/>
      </c>
      <c r="G453" s="9" t="n"/>
      <c r="H453" s="15">
        <f>IF(ISBLANK(B453),"",IF(NOT(ISBLANK(G453)),"Returned",IF(TODAY()&gt;F453,"Overdue","Active")))</f>
        <v/>
      </c>
      <c r="I453" s="9" t="n"/>
    </row>
    <row r="454">
      <c r="A454" s="13">
        <f>IF(ISBLANK(B454),"",ROW()-1)</f>
        <v/>
      </c>
      <c r="B454" s="9" t="n"/>
      <c r="C454" s="9" t="n"/>
      <c r="D454" s="15">
        <f>IFERROR(IF(ISBLANK(C454),"",VLOOKUP(C454,Members!$A$2:$B$101,2,FALSE)),"")</f>
        <v/>
      </c>
      <c r="E454" s="9" t="n"/>
      <c r="F454" s="13">
        <f>IF(ISBLANK(E454),"",E454+Settings!$B$7)</f>
        <v/>
      </c>
      <c r="G454" s="9" t="n"/>
      <c r="H454" s="15">
        <f>IF(ISBLANK(B454),"",IF(NOT(ISBLANK(G454)),"Returned",IF(TODAY()&gt;F454,"Overdue","Active")))</f>
        <v/>
      </c>
      <c r="I454" s="9" t="n"/>
    </row>
    <row r="455">
      <c r="A455" s="13">
        <f>IF(ISBLANK(B455),"",ROW()-1)</f>
        <v/>
      </c>
      <c r="B455" s="9" t="n"/>
      <c r="C455" s="9" t="n"/>
      <c r="D455" s="15">
        <f>IFERROR(IF(ISBLANK(C455),"",VLOOKUP(C455,Members!$A$2:$B$101,2,FALSE)),"")</f>
        <v/>
      </c>
      <c r="E455" s="9" t="n"/>
      <c r="F455" s="13">
        <f>IF(ISBLANK(E455),"",E455+Settings!$B$7)</f>
        <v/>
      </c>
      <c r="G455" s="9" t="n"/>
      <c r="H455" s="15">
        <f>IF(ISBLANK(B455),"",IF(NOT(ISBLANK(G455)),"Returned",IF(TODAY()&gt;F455,"Overdue","Active")))</f>
        <v/>
      </c>
      <c r="I455" s="9" t="n"/>
    </row>
    <row r="456">
      <c r="A456" s="13">
        <f>IF(ISBLANK(B456),"",ROW()-1)</f>
        <v/>
      </c>
      <c r="B456" s="9" t="n"/>
      <c r="C456" s="9" t="n"/>
      <c r="D456" s="15">
        <f>IFERROR(IF(ISBLANK(C456),"",VLOOKUP(C456,Members!$A$2:$B$101,2,FALSE)),"")</f>
        <v/>
      </c>
      <c r="E456" s="9" t="n"/>
      <c r="F456" s="13">
        <f>IF(ISBLANK(E456),"",E456+Settings!$B$7)</f>
        <v/>
      </c>
      <c r="G456" s="9" t="n"/>
      <c r="H456" s="15">
        <f>IF(ISBLANK(B456),"",IF(NOT(ISBLANK(G456)),"Returned",IF(TODAY()&gt;F456,"Overdue","Active")))</f>
        <v/>
      </c>
      <c r="I456" s="9" t="n"/>
    </row>
    <row r="457">
      <c r="A457" s="13">
        <f>IF(ISBLANK(B457),"",ROW()-1)</f>
        <v/>
      </c>
      <c r="B457" s="9" t="n"/>
      <c r="C457" s="9" t="n"/>
      <c r="D457" s="15">
        <f>IFERROR(IF(ISBLANK(C457),"",VLOOKUP(C457,Members!$A$2:$B$101,2,FALSE)),"")</f>
        <v/>
      </c>
      <c r="E457" s="9" t="n"/>
      <c r="F457" s="13">
        <f>IF(ISBLANK(E457),"",E457+Settings!$B$7)</f>
        <v/>
      </c>
      <c r="G457" s="9" t="n"/>
      <c r="H457" s="15">
        <f>IF(ISBLANK(B457),"",IF(NOT(ISBLANK(G457)),"Returned",IF(TODAY()&gt;F457,"Overdue","Active")))</f>
        <v/>
      </c>
      <c r="I457" s="9" t="n"/>
    </row>
    <row r="458">
      <c r="A458" s="13">
        <f>IF(ISBLANK(B458),"",ROW()-1)</f>
        <v/>
      </c>
      <c r="B458" s="9" t="n"/>
      <c r="C458" s="9" t="n"/>
      <c r="D458" s="15">
        <f>IFERROR(IF(ISBLANK(C458),"",VLOOKUP(C458,Members!$A$2:$B$101,2,FALSE)),"")</f>
        <v/>
      </c>
      <c r="E458" s="9" t="n"/>
      <c r="F458" s="13">
        <f>IF(ISBLANK(E458),"",E458+Settings!$B$7)</f>
        <v/>
      </c>
      <c r="G458" s="9" t="n"/>
      <c r="H458" s="15">
        <f>IF(ISBLANK(B458),"",IF(NOT(ISBLANK(G458)),"Returned",IF(TODAY()&gt;F458,"Overdue","Active")))</f>
        <v/>
      </c>
      <c r="I458" s="9" t="n"/>
    </row>
    <row r="459">
      <c r="A459" s="13">
        <f>IF(ISBLANK(B459),"",ROW()-1)</f>
        <v/>
      </c>
      <c r="B459" s="9" t="n"/>
      <c r="C459" s="9" t="n"/>
      <c r="D459" s="15">
        <f>IFERROR(IF(ISBLANK(C459),"",VLOOKUP(C459,Members!$A$2:$B$101,2,FALSE)),"")</f>
        <v/>
      </c>
      <c r="E459" s="9" t="n"/>
      <c r="F459" s="13">
        <f>IF(ISBLANK(E459),"",E459+Settings!$B$7)</f>
        <v/>
      </c>
      <c r="G459" s="9" t="n"/>
      <c r="H459" s="15">
        <f>IF(ISBLANK(B459),"",IF(NOT(ISBLANK(G459)),"Returned",IF(TODAY()&gt;F459,"Overdue","Active")))</f>
        <v/>
      </c>
      <c r="I459" s="9" t="n"/>
    </row>
    <row r="460">
      <c r="A460" s="13">
        <f>IF(ISBLANK(B460),"",ROW()-1)</f>
        <v/>
      </c>
      <c r="B460" s="9" t="n"/>
      <c r="C460" s="9" t="n"/>
      <c r="D460" s="15">
        <f>IFERROR(IF(ISBLANK(C460),"",VLOOKUP(C460,Members!$A$2:$B$101,2,FALSE)),"")</f>
        <v/>
      </c>
      <c r="E460" s="9" t="n"/>
      <c r="F460" s="13">
        <f>IF(ISBLANK(E460),"",E460+Settings!$B$7)</f>
        <v/>
      </c>
      <c r="G460" s="9" t="n"/>
      <c r="H460" s="15">
        <f>IF(ISBLANK(B460),"",IF(NOT(ISBLANK(G460)),"Returned",IF(TODAY()&gt;F460,"Overdue","Active")))</f>
        <v/>
      </c>
      <c r="I460" s="9" t="n"/>
    </row>
    <row r="461">
      <c r="A461" s="13">
        <f>IF(ISBLANK(B461),"",ROW()-1)</f>
        <v/>
      </c>
      <c r="B461" s="9" t="n"/>
      <c r="C461" s="9" t="n"/>
      <c r="D461" s="15">
        <f>IFERROR(IF(ISBLANK(C461),"",VLOOKUP(C461,Members!$A$2:$B$101,2,FALSE)),"")</f>
        <v/>
      </c>
      <c r="E461" s="9" t="n"/>
      <c r="F461" s="13">
        <f>IF(ISBLANK(E461),"",E461+Settings!$B$7)</f>
        <v/>
      </c>
      <c r="G461" s="9" t="n"/>
      <c r="H461" s="15">
        <f>IF(ISBLANK(B461),"",IF(NOT(ISBLANK(G461)),"Returned",IF(TODAY()&gt;F461,"Overdue","Active")))</f>
        <v/>
      </c>
      <c r="I461" s="9" t="n"/>
    </row>
    <row r="462">
      <c r="A462" s="13">
        <f>IF(ISBLANK(B462),"",ROW()-1)</f>
        <v/>
      </c>
      <c r="B462" s="9" t="n"/>
      <c r="C462" s="9" t="n"/>
      <c r="D462" s="15">
        <f>IFERROR(IF(ISBLANK(C462),"",VLOOKUP(C462,Members!$A$2:$B$101,2,FALSE)),"")</f>
        <v/>
      </c>
      <c r="E462" s="9" t="n"/>
      <c r="F462" s="13">
        <f>IF(ISBLANK(E462),"",E462+Settings!$B$7)</f>
        <v/>
      </c>
      <c r="G462" s="9" t="n"/>
      <c r="H462" s="15">
        <f>IF(ISBLANK(B462),"",IF(NOT(ISBLANK(G462)),"Returned",IF(TODAY()&gt;F462,"Overdue","Active")))</f>
        <v/>
      </c>
      <c r="I462" s="9" t="n"/>
    </row>
    <row r="463">
      <c r="A463" s="13">
        <f>IF(ISBLANK(B463),"",ROW()-1)</f>
        <v/>
      </c>
      <c r="B463" s="9" t="n"/>
      <c r="C463" s="9" t="n"/>
      <c r="D463" s="15">
        <f>IFERROR(IF(ISBLANK(C463),"",VLOOKUP(C463,Members!$A$2:$B$101,2,FALSE)),"")</f>
        <v/>
      </c>
      <c r="E463" s="9" t="n"/>
      <c r="F463" s="13">
        <f>IF(ISBLANK(E463),"",E463+Settings!$B$7)</f>
        <v/>
      </c>
      <c r="G463" s="9" t="n"/>
      <c r="H463" s="15">
        <f>IF(ISBLANK(B463),"",IF(NOT(ISBLANK(G463)),"Returned",IF(TODAY()&gt;F463,"Overdue","Active")))</f>
        <v/>
      </c>
      <c r="I463" s="9" t="n"/>
    </row>
    <row r="464">
      <c r="A464" s="13">
        <f>IF(ISBLANK(B464),"",ROW()-1)</f>
        <v/>
      </c>
      <c r="B464" s="9" t="n"/>
      <c r="C464" s="9" t="n"/>
      <c r="D464" s="15">
        <f>IFERROR(IF(ISBLANK(C464),"",VLOOKUP(C464,Members!$A$2:$B$101,2,FALSE)),"")</f>
        <v/>
      </c>
      <c r="E464" s="9" t="n"/>
      <c r="F464" s="13">
        <f>IF(ISBLANK(E464),"",E464+Settings!$B$7)</f>
        <v/>
      </c>
      <c r="G464" s="9" t="n"/>
      <c r="H464" s="15">
        <f>IF(ISBLANK(B464),"",IF(NOT(ISBLANK(G464)),"Returned",IF(TODAY()&gt;F464,"Overdue","Active")))</f>
        <v/>
      </c>
      <c r="I464" s="9" t="n"/>
    </row>
    <row r="465">
      <c r="A465" s="13">
        <f>IF(ISBLANK(B465),"",ROW()-1)</f>
        <v/>
      </c>
      <c r="B465" s="9" t="n"/>
      <c r="C465" s="9" t="n"/>
      <c r="D465" s="15">
        <f>IFERROR(IF(ISBLANK(C465),"",VLOOKUP(C465,Members!$A$2:$B$101,2,FALSE)),"")</f>
        <v/>
      </c>
      <c r="E465" s="9" t="n"/>
      <c r="F465" s="13">
        <f>IF(ISBLANK(E465),"",E465+Settings!$B$7)</f>
        <v/>
      </c>
      <c r="G465" s="9" t="n"/>
      <c r="H465" s="15">
        <f>IF(ISBLANK(B465),"",IF(NOT(ISBLANK(G465)),"Returned",IF(TODAY()&gt;F465,"Overdue","Active")))</f>
        <v/>
      </c>
      <c r="I465" s="9" t="n"/>
    </row>
    <row r="466">
      <c r="A466" s="13">
        <f>IF(ISBLANK(B466),"",ROW()-1)</f>
        <v/>
      </c>
      <c r="B466" s="9" t="n"/>
      <c r="C466" s="9" t="n"/>
      <c r="D466" s="15">
        <f>IFERROR(IF(ISBLANK(C466),"",VLOOKUP(C466,Members!$A$2:$B$101,2,FALSE)),"")</f>
        <v/>
      </c>
      <c r="E466" s="9" t="n"/>
      <c r="F466" s="13">
        <f>IF(ISBLANK(E466),"",E466+Settings!$B$7)</f>
        <v/>
      </c>
      <c r="G466" s="9" t="n"/>
      <c r="H466" s="15">
        <f>IF(ISBLANK(B466),"",IF(NOT(ISBLANK(G466)),"Returned",IF(TODAY()&gt;F466,"Overdue","Active")))</f>
        <v/>
      </c>
      <c r="I466" s="9" t="n"/>
    </row>
    <row r="467">
      <c r="A467" s="13">
        <f>IF(ISBLANK(B467),"",ROW()-1)</f>
        <v/>
      </c>
      <c r="B467" s="9" t="n"/>
      <c r="C467" s="9" t="n"/>
      <c r="D467" s="15">
        <f>IFERROR(IF(ISBLANK(C467),"",VLOOKUP(C467,Members!$A$2:$B$101,2,FALSE)),"")</f>
        <v/>
      </c>
      <c r="E467" s="9" t="n"/>
      <c r="F467" s="13">
        <f>IF(ISBLANK(E467),"",E467+Settings!$B$7)</f>
        <v/>
      </c>
      <c r="G467" s="9" t="n"/>
      <c r="H467" s="15">
        <f>IF(ISBLANK(B467),"",IF(NOT(ISBLANK(G467)),"Returned",IF(TODAY()&gt;F467,"Overdue","Active")))</f>
        <v/>
      </c>
      <c r="I467" s="9" t="n"/>
    </row>
    <row r="468">
      <c r="A468" s="13">
        <f>IF(ISBLANK(B468),"",ROW()-1)</f>
        <v/>
      </c>
      <c r="B468" s="9" t="n"/>
      <c r="C468" s="9" t="n"/>
      <c r="D468" s="15">
        <f>IFERROR(IF(ISBLANK(C468),"",VLOOKUP(C468,Members!$A$2:$B$101,2,FALSE)),"")</f>
        <v/>
      </c>
      <c r="E468" s="9" t="n"/>
      <c r="F468" s="13">
        <f>IF(ISBLANK(E468),"",E468+Settings!$B$7)</f>
        <v/>
      </c>
      <c r="G468" s="9" t="n"/>
      <c r="H468" s="15">
        <f>IF(ISBLANK(B468),"",IF(NOT(ISBLANK(G468)),"Returned",IF(TODAY()&gt;F468,"Overdue","Active")))</f>
        <v/>
      </c>
      <c r="I468" s="9" t="n"/>
    </row>
    <row r="469">
      <c r="A469" s="13">
        <f>IF(ISBLANK(B469),"",ROW()-1)</f>
        <v/>
      </c>
      <c r="B469" s="9" t="n"/>
      <c r="C469" s="9" t="n"/>
      <c r="D469" s="15">
        <f>IFERROR(IF(ISBLANK(C469),"",VLOOKUP(C469,Members!$A$2:$B$101,2,FALSE)),"")</f>
        <v/>
      </c>
      <c r="E469" s="9" t="n"/>
      <c r="F469" s="13">
        <f>IF(ISBLANK(E469),"",E469+Settings!$B$7)</f>
        <v/>
      </c>
      <c r="G469" s="9" t="n"/>
      <c r="H469" s="15">
        <f>IF(ISBLANK(B469),"",IF(NOT(ISBLANK(G469)),"Returned",IF(TODAY()&gt;F469,"Overdue","Active")))</f>
        <v/>
      </c>
      <c r="I469" s="9" t="n"/>
    </row>
    <row r="470">
      <c r="A470" s="13">
        <f>IF(ISBLANK(B470),"",ROW()-1)</f>
        <v/>
      </c>
      <c r="B470" s="9" t="n"/>
      <c r="C470" s="9" t="n"/>
      <c r="D470" s="15">
        <f>IFERROR(IF(ISBLANK(C470),"",VLOOKUP(C470,Members!$A$2:$B$101,2,FALSE)),"")</f>
        <v/>
      </c>
      <c r="E470" s="9" t="n"/>
      <c r="F470" s="13">
        <f>IF(ISBLANK(E470),"",E470+Settings!$B$7)</f>
        <v/>
      </c>
      <c r="G470" s="9" t="n"/>
      <c r="H470" s="15">
        <f>IF(ISBLANK(B470),"",IF(NOT(ISBLANK(G470)),"Returned",IF(TODAY()&gt;F470,"Overdue","Active")))</f>
        <v/>
      </c>
      <c r="I470" s="9" t="n"/>
    </row>
    <row r="471">
      <c r="A471" s="13">
        <f>IF(ISBLANK(B471),"",ROW()-1)</f>
        <v/>
      </c>
      <c r="B471" s="9" t="n"/>
      <c r="C471" s="9" t="n"/>
      <c r="D471" s="15">
        <f>IFERROR(IF(ISBLANK(C471),"",VLOOKUP(C471,Members!$A$2:$B$101,2,FALSE)),"")</f>
        <v/>
      </c>
      <c r="E471" s="9" t="n"/>
      <c r="F471" s="13">
        <f>IF(ISBLANK(E471),"",E471+Settings!$B$7)</f>
        <v/>
      </c>
      <c r="G471" s="9" t="n"/>
      <c r="H471" s="15">
        <f>IF(ISBLANK(B471),"",IF(NOT(ISBLANK(G471)),"Returned",IF(TODAY()&gt;F471,"Overdue","Active")))</f>
        <v/>
      </c>
      <c r="I471" s="9" t="n"/>
    </row>
    <row r="472">
      <c r="A472" s="13">
        <f>IF(ISBLANK(B472),"",ROW()-1)</f>
        <v/>
      </c>
      <c r="B472" s="9" t="n"/>
      <c r="C472" s="9" t="n"/>
      <c r="D472" s="15">
        <f>IFERROR(IF(ISBLANK(C472),"",VLOOKUP(C472,Members!$A$2:$B$101,2,FALSE)),"")</f>
        <v/>
      </c>
      <c r="E472" s="9" t="n"/>
      <c r="F472" s="13">
        <f>IF(ISBLANK(E472),"",E472+Settings!$B$7)</f>
        <v/>
      </c>
      <c r="G472" s="9" t="n"/>
      <c r="H472" s="15">
        <f>IF(ISBLANK(B472),"",IF(NOT(ISBLANK(G472)),"Returned",IF(TODAY()&gt;F472,"Overdue","Active")))</f>
        <v/>
      </c>
      <c r="I472" s="9" t="n"/>
    </row>
    <row r="473">
      <c r="A473" s="13">
        <f>IF(ISBLANK(B473),"",ROW()-1)</f>
        <v/>
      </c>
      <c r="B473" s="9" t="n"/>
      <c r="C473" s="9" t="n"/>
      <c r="D473" s="15">
        <f>IFERROR(IF(ISBLANK(C473),"",VLOOKUP(C473,Members!$A$2:$B$101,2,FALSE)),"")</f>
        <v/>
      </c>
      <c r="E473" s="9" t="n"/>
      <c r="F473" s="13">
        <f>IF(ISBLANK(E473),"",E473+Settings!$B$7)</f>
        <v/>
      </c>
      <c r="G473" s="9" t="n"/>
      <c r="H473" s="15">
        <f>IF(ISBLANK(B473),"",IF(NOT(ISBLANK(G473)),"Returned",IF(TODAY()&gt;F473,"Overdue","Active")))</f>
        <v/>
      </c>
      <c r="I473" s="9" t="n"/>
    </row>
    <row r="474">
      <c r="A474" s="13">
        <f>IF(ISBLANK(B474),"",ROW()-1)</f>
        <v/>
      </c>
      <c r="B474" s="9" t="n"/>
      <c r="C474" s="9" t="n"/>
      <c r="D474" s="15">
        <f>IFERROR(IF(ISBLANK(C474),"",VLOOKUP(C474,Members!$A$2:$B$101,2,FALSE)),"")</f>
        <v/>
      </c>
      <c r="E474" s="9" t="n"/>
      <c r="F474" s="13">
        <f>IF(ISBLANK(E474),"",E474+Settings!$B$7)</f>
        <v/>
      </c>
      <c r="G474" s="9" t="n"/>
      <c r="H474" s="15">
        <f>IF(ISBLANK(B474),"",IF(NOT(ISBLANK(G474)),"Returned",IF(TODAY()&gt;F474,"Overdue","Active")))</f>
        <v/>
      </c>
      <c r="I474" s="9" t="n"/>
    </row>
    <row r="475">
      <c r="A475" s="13">
        <f>IF(ISBLANK(B475),"",ROW()-1)</f>
        <v/>
      </c>
      <c r="B475" s="9" t="n"/>
      <c r="C475" s="9" t="n"/>
      <c r="D475" s="15">
        <f>IFERROR(IF(ISBLANK(C475),"",VLOOKUP(C475,Members!$A$2:$B$101,2,FALSE)),"")</f>
        <v/>
      </c>
      <c r="E475" s="9" t="n"/>
      <c r="F475" s="13">
        <f>IF(ISBLANK(E475),"",E475+Settings!$B$7)</f>
        <v/>
      </c>
      <c r="G475" s="9" t="n"/>
      <c r="H475" s="15">
        <f>IF(ISBLANK(B475),"",IF(NOT(ISBLANK(G475)),"Returned",IF(TODAY()&gt;F475,"Overdue","Active")))</f>
        <v/>
      </c>
      <c r="I475" s="9" t="n"/>
    </row>
    <row r="476">
      <c r="A476" s="13">
        <f>IF(ISBLANK(B476),"",ROW()-1)</f>
        <v/>
      </c>
      <c r="B476" s="9" t="n"/>
      <c r="C476" s="9" t="n"/>
      <c r="D476" s="15">
        <f>IFERROR(IF(ISBLANK(C476),"",VLOOKUP(C476,Members!$A$2:$B$101,2,FALSE)),"")</f>
        <v/>
      </c>
      <c r="E476" s="9" t="n"/>
      <c r="F476" s="13">
        <f>IF(ISBLANK(E476),"",E476+Settings!$B$7)</f>
        <v/>
      </c>
      <c r="G476" s="9" t="n"/>
      <c r="H476" s="15">
        <f>IF(ISBLANK(B476),"",IF(NOT(ISBLANK(G476)),"Returned",IF(TODAY()&gt;F476,"Overdue","Active")))</f>
        <v/>
      </c>
      <c r="I476" s="9" t="n"/>
    </row>
    <row r="477">
      <c r="A477" s="13">
        <f>IF(ISBLANK(B477),"",ROW()-1)</f>
        <v/>
      </c>
      <c r="B477" s="9" t="n"/>
      <c r="C477" s="9" t="n"/>
      <c r="D477" s="15">
        <f>IFERROR(IF(ISBLANK(C477),"",VLOOKUP(C477,Members!$A$2:$B$101,2,FALSE)),"")</f>
        <v/>
      </c>
      <c r="E477" s="9" t="n"/>
      <c r="F477" s="13">
        <f>IF(ISBLANK(E477),"",E477+Settings!$B$7)</f>
        <v/>
      </c>
      <c r="G477" s="9" t="n"/>
      <c r="H477" s="15">
        <f>IF(ISBLANK(B477),"",IF(NOT(ISBLANK(G477)),"Returned",IF(TODAY()&gt;F477,"Overdue","Active")))</f>
        <v/>
      </c>
      <c r="I477" s="9" t="n"/>
    </row>
    <row r="478">
      <c r="A478" s="13">
        <f>IF(ISBLANK(B478),"",ROW()-1)</f>
        <v/>
      </c>
      <c r="B478" s="9" t="n"/>
      <c r="C478" s="9" t="n"/>
      <c r="D478" s="15">
        <f>IFERROR(IF(ISBLANK(C478),"",VLOOKUP(C478,Members!$A$2:$B$101,2,FALSE)),"")</f>
        <v/>
      </c>
      <c r="E478" s="9" t="n"/>
      <c r="F478" s="13">
        <f>IF(ISBLANK(E478),"",E478+Settings!$B$7)</f>
        <v/>
      </c>
      <c r="G478" s="9" t="n"/>
      <c r="H478" s="15">
        <f>IF(ISBLANK(B478),"",IF(NOT(ISBLANK(G478)),"Returned",IF(TODAY()&gt;F478,"Overdue","Active")))</f>
        <v/>
      </c>
      <c r="I478" s="9" t="n"/>
    </row>
    <row r="479">
      <c r="A479" s="13">
        <f>IF(ISBLANK(B479),"",ROW()-1)</f>
        <v/>
      </c>
      <c r="B479" s="9" t="n"/>
      <c r="C479" s="9" t="n"/>
      <c r="D479" s="15">
        <f>IFERROR(IF(ISBLANK(C479),"",VLOOKUP(C479,Members!$A$2:$B$101,2,FALSE)),"")</f>
        <v/>
      </c>
      <c r="E479" s="9" t="n"/>
      <c r="F479" s="13">
        <f>IF(ISBLANK(E479),"",E479+Settings!$B$7)</f>
        <v/>
      </c>
      <c r="G479" s="9" t="n"/>
      <c r="H479" s="15">
        <f>IF(ISBLANK(B479),"",IF(NOT(ISBLANK(G479)),"Returned",IF(TODAY()&gt;F479,"Overdue","Active")))</f>
        <v/>
      </c>
      <c r="I479" s="9" t="n"/>
    </row>
    <row r="480">
      <c r="A480" s="13">
        <f>IF(ISBLANK(B480),"",ROW()-1)</f>
        <v/>
      </c>
      <c r="B480" s="9" t="n"/>
      <c r="C480" s="9" t="n"/>
      <c r="D480" s="15">
        <f>IFERROR(IF(ISBLANK(C480),"",VLOOKUP(C480,Members!$A$2:$B$101,2,FALSE)),"")</f>
        <v/>
      </c>
      <c r="E480" s="9" t="n"/>
      <c r="F480" s="13">
        <f>IF(ISBLANK(E480),"",E480+Settings!$B$7)</f>
        <v/>
      </c>
      <c r="G480" s="9" t="n"/>
      <c r="H480" s="15">
        <f>IF(ISBLANK(B480),"",IF(NOT(ISBLANK(G480)),"Returned",IF(TODAY()&gt;F480,"Overdue","Active")))</f>
        <v/>
      </c>
      <c r="I480" s="9" t="n"/>
    </row>
    <row r="481">
      <c r="A481" s="13">
        <f>IF(ISBLANK(B481),"",ROW()-1)</f>
        <v/>
      </c>
      <c r="B481" s="9" t="n"/>
      <c r="C481" s="9" t="n"/>
      <c r="D481" s="15">
        <f>IFERROR(IF(ISBLANK(C481),"",VLOOKUP(C481,Members!$A$2:$B$101,2,FALSE)),"")</f>
        <v/>
      </c>
      <c r="E481" s="9" t="n"/>
      <c r="F481" s="13">
        <f>IF(ISBLANK(E481),"",E481+Settings!$B$7)</f>
        <v/>
      </c>
      <c r="G481" s="9" t="n"/>
      <c r="H481" s="15">
        <f>IF(ISBLANK(B481),"",IF(NOT(ISBLANK(G481)),"Returned",IF(TODAY()&gt;F481,"Overdue","Active")))</f>
        <v/>
      </c>
      <c r="I481" s="9" t="n"/>
    </row>
    <row r="482">
      <c r="A482" s="13">
        <f>IF(ISBLANK(B482),"",ROW()-1)</f>
        <v/>
      </c>
      <c r="B482" s="9" t="n"/>
      <c r="C482" s="9" t="n"/>
      <c r="D482" s="15">
        <f>IFERROR(IF(ISBLANK(C482),"",VLOOKUP(C482,Members!$A$2:$B$101,2,FALSE)),"")</f>
        <v/>
      </c>
      <c r="E482" s="9" t="n"/>
      <c r="F482" s="13">
        <f>IF(ISBLANK(E482),"",E482+Settings!$B$7)</f>
        <v/>
      </c>
      <c r="G482" s="9" t="n"/>
      <c r="H482" s="15">
        <f>IF(ISBLANK(B482),"",IF(NOT(ISBLANK(G482)),"Returned",IF(TODAY()&gt;F482,"Overdue","Active")))</f>
        <v/>
      </c>
      <c r="I482" s="9" t="n"/>
    </row>
    <row r="483">
      <c r="A483" s="13">
        <f>IF(ISBLANK(B483),"",ROW()-1)</f>
        <v/>
      </c>
      <c r="B483" s="9" t="n"/>
      <c r="C483" s="9" t="n"/>
      <c r="D483" s="15">
        <f>IFERROR(IF(ISBLANK(C483),"",VLOOKUP(C483,Members!$A$2:$B$101,2,FALSE)),"")</f>
        <v/>
      </c>
      <c r="E483" s="9" t="n"/>
      <c r="F483" s="13">
        <f>IF(ISBLANK(E483),"",E483+Settings!$B$7)</f>
        <v/>
      </c>
      <c r="G483" s="9" t="n"/>
      <c r="H483" s="15">
        <f>IF(ISBLANK(B483),"",IF(NOT(ISBLANK(G483)),"Returned",IF(TODAY()&gt;F483,"Overdue","Active")))</f>
        <v/>
      </c>
      <c r="I483" s="9" t="n"/>
    </row>
    <row r="484">
      <c r="A484" s="13">
        <f>IF(ISBLANK(B484),"",ROW()-1)</f>
        <v/>
      </c>
      <c r="B484" s="9" t="n"/>
      <c r="C484" s="9" t="n"/>
      <c r="D484" s="15">
        <f>IFERROR(IF(ISBLANK(C484),"",VLOOKUP(C484,Members!$A$2:$B$101,2,FALSE)),"")</f>
        <v/>
      </c>
      <c r="E484" s="9" t="n"/>
      <c r="F484" s="13">
        <f>IF(ISBLANK(E484),"",E484+Settings!$B$7)</f>
        <v/>
      </c>
      <c r="G484" s="9" t="n"/>
      <c r="H484" s="15">
        <f>IF(ISBLANK(B484),"",IF(NOT(ISBLANK(G484)),"Returned",IF(TODAY()&gt;F484,"Overdue","Active")))</f>
        <v/>
      </c>
      <c r="I484" s="9" t="n"/>
    </row>
    <row r="485">
      <c r="A485" s="13">
        <f>IF(ISBLANK(B485),"",ROW()-1)</f>
        <v/>
      </c>
      <c r="B485" s="9" t="n"/>
      <c r="C485" s="9" t="n"/>
      <c r="D485" s="15">
        <f>IFERROR(IF(ISBLANK(C485),"",VLOOKUP(C485,Members!$A$2:$B$101,2,FALSE)),"")</f>
        <v/>
      </c>
      <c r="E485" s="9" t="n"/>
      <c r="F485" s="13">
        <f>IF(ISBLANK(E485),"",E485+Settings!$B$7)</f>
        <v/>
      </c>
      <c r="G485" s="9" t="n"/>
      <c r="H485" s="15">
        <f>IF(ISBLANK(B485),"",IF(NOT(ISBLANK(G485)),"Returned",IF(TODAY()&gt;F485,"Overdue","Active")))</f>
        <v/>
      </c>
      <c r="I485" s="9" t="n"/>
    </row>
    <row r="486">
      <c r="A486" s="13">
        <f>IF(ISBLANK(B486),"",ROW()-1)</f>
        <v/>
      </c>
      <c r="B486" s="9" t="n"/>
      <c r="C486" s="9" t="n"/>
      <c r="D486" s="15">
        <f>IFERROR(IF(ISBLANK(C486),"",VLOOKUP(C486,Members!$A$2:$B$101,2,FALSE)),"")</f>
        <v/>
      </c>
      <c r="E486" s="9" t="n"/>
      <c r="F486" s="13">
        <f>IF(ISBLANK(E486),"",E486+Settings!$B$7)</f>
        <v/>
      </c>
      <c r="G486" s="9" t="n"/>
      <c r="H486" s="15">
        <f>IF(ISBLANK(B486),"",IF(NOT(ISBLANK(G486)),"Returned",IF(TODAY()&gt;F486,"Overdue","Active")))</f>
        <v/>
      </c>
      <c r="I486" s="9" t="n"/>
    </row>
    <row r="487">
      <c r="A487" s="13">
        <f>IF(ISBLANK(B487),"",ROW()-1)</f>
        <v/>
      </c>
      <c r="B487" s="9" t="n"/>
      <c r="C487" s="9" t="n"/>
      <c r="D487" s="15">
        <f>IFERROR(IF(ISBLANK(C487),"",VLOOKUP(C487,Members!$A$2:$B$101,2,FALSE)),"")</f>
        <v/>
      </c>
      <c r="E487" s="9" t="n"/>
      <c r="F487" s="13">
        <f>IF(ISBLANK(E487),"",E487+Settings!$B$7)</f>
        <v/>
      </c>
      <c r="G487" s="9" t="n"/>
      <c r="H487" s="15">
        <f>IF(ISBLANK(B487),"",IF(NOT(ISBLANK(G487)),"Returned",IF(TODAY()&gt;F487,"Overdue","Active")))</f>
        <v/>
      </c>
      <c r="I487" s="9" t="n"/>
    </row>
    <row r="488">
      <c r="A488" s="13">
        <f>IF(ISBLANK(B488),"",ROW()-1)</f>
        <v/>
      </c>
      <c r="B488" s="9" t="n"/>
      <c r="C488" s="9" t="n"/>
      <c r="D488" s="15">
        <f>IFERROR(IF(ISBLANK(C488),"",VLOOKUP(C488,Members!$A$2:$B$101,2,FALSE)),"")</f>
        <v/>
      </c>
      <c r="E488" s="9" t="n"/>
      <c r="F488" s="13">
        <f>IF(ISBLANK(E488),"",E488+Settings!$B$7)</f>
        <v/>
      </c>
      <c r="G488" s="9" t="n"/>
      <c r="H488" s="15">
        <f>IF(ISBLANK(B488),"",IF(NOT(ISBLANK(G488)),"Returned",IF(TODAY()&gt;F488,"Overdue","Active")))</f>
        <v/>
      </c>
      <c r="I488" s="9" t="n"/>
    </row>
    <row r="489">
      <c r="A489" s="13">
        <f>IF(ISBLANK(B489),"",ROW()-1)</f>
        <v/>
      </c>
      <c r="B489" s="9" t="n"/>
      <c r="C489" s="9" t="n"/>
      <c r="D489" s="15">
        <f>IFERROR(IF(ISBLANK(C489),"",VLOOKUP(C489,Members!$A$2:$B$101,2,FALSE)),"")</f>
        <v/>
      </c>
      <c r="E489" s="9" t="n"/>
      <c r="F489" s="13">
        <f>IF(ISBLANK(E489),"",E489+Settings!$B$7)</f>
        <v/>
      </c>
      <c r="G489" s="9" t="n"/>
      <c r="H489" s="15">
        <f>IF(ISBLANK(B489),"",IF(NOT(ISBLANK(G489)),"Returned",IF(TODAY()&gt;F489,"Overdue","Active")))</f>
        <v/>
      </c>
      <c r="I489" s="9" t="n"/>
    </row>
    <row r="490">
      <c r="A490" s="13">
        <f>IF(ISBLANK(B490),"",ROW()-1)</f>
        <v/>
      </c>
      <c r="B490" s="9" t="n"/>
      <c r="C490" s="9" t="n"/>
      <c r="D490" s="15">
        <f>IFERROR(IF(ISBLANK(C490),"",VLOOKUP(C490,Members!$A$2:$B$101,2,FALSE)),"")</f>
        <v/>
      </c>
      <c r="E490" s="9" t="n"/>
      <c r="F490" s="13">
        <f>IF(ISBLANK(E490),"",E490+Settings!$B$7)</f>
        <v/>
      </c>
      <c r="G490" s="9" t="n"/>
      <c r="H490" s="15">
        <f>IF(ISBLANK(B490),"",IF(NOT(ISBLANK(G490)),"Returned",IF(TODAY()&gt;F490,"Overdue","Active")))</f>
        <v/>
      </c>
      <c r="I490" s="9" t="n"/>
    </row>
    <row r="491">
      <c r="A491" s="13">
        <f>IF(ISBLANK(B491),"",ROW()-1)</f>
        <v/>
      </c>
      <c r="B491" s="9" t="n"/>
      <c r="C491" s="9" t="n"/>
      <c r="D491" s="15">
        <f>IFERROR(IF(ISBLANK(C491),"",VLOOKUP(C491,Members!$A$2:$B$101,2,FALSE)),"")</f>
        <v/>
      </c>
      <c r="E491" s="9" t="n"/>
      <c r="F491" s="13">
        <f>IF(ISBLANK(E491),"",E491+Settings!$B$7)</f>
        <v/>
      </c>
      <c r="G491" s="9" t="n"/>
      <c r="H491" s="15">
        <f>IF(ISBLANK(B491),"",IF(NOT(ISBLANK(G491)),"Returned",IF(TODAY()&gt;F491,"Overdue","Active")))</f>
        <v/>
      </c>
      <c r="I491" s="9" t="n"/>
    </row>
    <row r="492">
      <c r="A492" s="13">
        <f>IF(ISBLANK(B492),"",ROW()-1)</f>
        <v/>
      </c>
      <c r="B492" s="9" t="n"/>
      <c r="C492" s="9" t="n"/>
      <c r="D492" s="15">
        <f>IFERROR(IF(ISBLANK(C492),"",VLOOKUP(C492,Members!$A$2:$B$101,2,FALSE)),"")</f>
        <v/>
      </c>
      <c r="E492" s="9" t="n"/>
      <c r="F492" s="13">
        <f>IF(ISBLANK(E492),"",E492+Settings!$B$7)</f>
        <v/>
      </c>
      <c r="G492" s="9" t="n"/>
      <c r="H492" s="15">
        <f>IF(ISBLANK(B492),"",IF(NOT(ISBLANK(G492)),"Returned",IF(TODAY()&gt;F492,"Overdue","Active")))</f>
        <v/>
      </c>
      <c r="I492" s="9" t="n"/>
    </row>
    <row r="493">
      <c r="A493" s="13">
        <f>IF(ISBLANK(B493),"",ROW()-1)</f>
        <v/>
      </c>
      <c r="B493" s="9" t="n"/>
      <c r="C493" s="9" t="n"/>
      <c r="D493" s="15">
        <f>IFERROR(IF(ISBLANK(C493),"",VLOOKUP(C493,Members!$A$2:$B$101,2,FALSE)),"")</f>
        <v/>
      </c>
      <c r="E493" s="9" t="n"/>
      <c r="F493" s="13">
        <f>IF(ISBLANK(E493),"",E493+Settings!$B$7)</f>
        <v/>
      </c>
      <c r="G493" s="9" t="n"/>
      <c r="H493" s="15">
        <f>IF(ISBLANK(B493),"",IF(NOT(ISBLANK(G493)),"Returned",IF(TODAY()&gt;F493,"Overdue","Active")))</f>
        <v/>
      </c>
      <c r="I493" s="9" t="n"/>
    </row>
    <row r="494">
      <c r="A494" s="13">
        <f>IF(ISBLANK(B494),"",ROW()-1)</f>
        <v/>
      </c>
      <c r="B494" s="9" t="n"/>
      <c r="C494" s="9" t="n"/>
      <c r="D494" s="15">
        <f>IFERROR(IF(ISBLANK(C494),"",VLOOKUP(C494,Members!$A$2:$B$101,2,FALSE)),"")</f>
        <v/>
      </c>
      <c r="E494" s="9" t="n"/>
      <c r="F494" s="13">
        <f>IF(ISBLANK(E494),"",E494+Settings!$B$7)</f>
        <v/>
      </c>
      <c r="G494" s="9" t="n"/>
      <c r="H494" s="15">
        <f>IF(ISBLANK(B494),"",IF(NOT(ISBLANK(G494)),"Returned",IF(TODAY()&gt;F494,"Overdue","Active")))</f>
        <v/>
      </c>
      <c r="I494" s="9" t="n"/>
    </row>
    <row r="495">
      <c r="A495" s="13">
        <f>IF(ISBLANK(B495),"",ROW()-1)</f>
        <v/>
      </c>
      <c r="B495" s="9" t="n"/>
      <c r="C495" s="9" t="n"/>
      <c r="D495" s="15">
        <f>IFERROR(IF(ISBLANK(C495),"",VLOOKUP(C495,Members!$A$2:$B$101,2,FALSE)),"")</f>
        <v/>
      </c>
      <c r="E495" s="9" t="n"/>
      <c r="F495" s="13">
        <f>IF(ISBLANK(E495),"",E495+Settings!$B$7)</f>
        <v/>
      </c>
      <c r="G495" s="9" t="n"/>
      <c r="H495" s="15">
        <f>IF(ISBLANK(B495),"",IF(NOT(ISBLANK(G495)),"Returned",IF(TODAY()&gt;F495,"Overdue","Active")))</f>
        <v/>
      </c>
      <c r="I495" s="9" t="n"/>
    </row>
    <row r="496">
      <c r="A496" s="13">
        <f>IF(ISBLANK(B496),"",ROW()-1)</f>
        <v/>
      </c>
      <c r="B496" s="9" t="n"/>
      <c r="C496" s="9" t="n"/>
      <c r="D496" s="15">
        <f>IFERROR(IF(ISBLANK(C496),"",VLOOKUP(C496,Members!$A$2:$B$101,2,FALSE)),"")</f>
        <v/>
      </c>
      <c r="E496" s="9" t="n"/>
      <c r="F496" s="13">
        <f>IF(ISBLANK(E496),"",E496+Settings!$B$7)</f>
        <v/>
      </c>
      <c r="G496" s="9" t="n"/>
      <c r="H496" s="15">
        <f>IF(ISBLANK(B496),"",IF(NOT(ISBLANK(G496)),"Returned",IF(TODAY()&gt;F496,"Overdue","Active")))</f>
        <v/>
      </c>
      <c r="I496" s="9" t="n"/>
    </row>
    <row r="497">
      <c r="A497" s="13">
        <f>IF(ISBLANK(B497),"",ROW()-1)</f>
        <v/>
      </c>
      <c r="B497" s="9" t="n"/>
      <c r="C497" s="9" t="n"/>
      <c r="D497" s="15">
        <f>IFERROR(IF(ISBLANK(C497),"",VLOOKUP(C497,Members!$A$2:$B$101,2,FALSE)),"")</f>
        <v/>
      </c>
      <c r="E497" s="9" t="n"/>
      <c r="F497" s="13">
        <f>IF(ISBLANK(E497),"",E497+Settings!$B$7)</f>
        <v/>
      </c>
      <c r="G497" s="9" t="n"/>
      <c r="H497" s="15">
        <f>IF(ISBLANK(B497),"",IF(NOT(ISBLANK(G497)),"Returned",IF(TODAY()&gt;F497,"Overdue","Active")))</f>
        <v/>
      </c>
      <c r="I497" s="9" t="n"/>
    </row>
    <row r="498">
      <c r="A498" s="13">
        <f>IF(ISBLANK(B498),"",ROW()-1)</f>
        <v/>
      </c>
      <c r="B498" s="9" t="n"/>
      <c r="C498" s="9" t="n"/>
      <c r="D498" s="15">
        <f>IFERROR(IF(ISBLANK(C498),"",VLOOKUP(C498,Members!$A$2:$B$101,2,FALSE)),"")</f>
        <v/>
      </c>
      <c r="E498" s="9" t="n"/>
      <c r="F498" s="13">
        <f>IF(ISBLANK(E498),"",E498+Settings!$B$7)</f>
        <v/>
      </c>
      <c r="G498" s="9" t="n"/>
      <c r="H498" s="15">
        <f>IF(ISBLANK(B498),"",IF(NOT(ISBLANK(G498)),"Returned",IF(TODAY()&gt;F498,"Overdue","Active")))</f>
        <v/>
      </c>
      <c r="I498" s="9" t="n"/>
    </row>
    <row r="499">
      <c r="A499" s="13">
        <f>IF(ISBLANK(B499),"",ROW()-1)</f>
        <v/>
      </c>
      <c r="B499" s="9" t="n"/>
      <c r="C499" s="9" t="n"/>
      <c r="D499" s="15">
        <f>IFERROR(IF(ISBLANK(C499),"",VLOOKUP(C499,Members!$A$2:$B$101,2,FALSE)),"")</f>
        <v/>
      </c>
      <c r="E499" s="9" t="n"/>
      <c r="F499" s="13">
        <f>IF(ISBLANK(E499),"",E499+Settings!$B$7)</f>
        <v/>
      </c>
      <c r="G499" s="9" t="n"/>
      <c r="H499" s="15">
        <f>IF(ISBLANK(B499),"",IF(NOT(ISBLANK(G499)),"Returned",IF(TODAY()&gt;F499,"Overdue","Active")))</f>
        <v/>
      </c>
      <c r="I499" s="9" t="n"/>
    </row>
    <row r="500">
      <c r="A500" s="13">
        <f>IF(ISBLANK(B500),"",ROW()-1)</f>
        <v/>
      </c>
      <c r="B500" s="9" t="n"/>
      <c r="C500" s="9" t="n"/>
      <c r="D500" s="15">
        <f>IFERROR(IF(ISBLANK(C500),"",VLOOKUP(C500,Members!$A$2:$B$101,2,FALSE)),"")</f>
        <v/>
      </c>
      <c r="E500" s="9" t="n"/>
      <c r="F500" s="13">
        <f>IF(ISBLANK(E500),"",E500+Settings!$B$7)</f>
        <v/>
      </c>
      <c r="G500" s="9" t="n"/>
      <c r="H500" s="15">
        <f>IF(ISBLANK(B500),"",IF(NOT(ISBLANK(G500)),"Returned",IF(TODAY()&gt;F500,"Overdue","Active")))</f>
        <v/>
      </c>
      <c r="I500" s="9" t="n"/>
    </row>
    <row r="501">
      <c r="A501" s="13">
        <f>IF(ISBLANK(B501),"",ROW()-1)</f>
        <v/>
      </c>
      <c r="B501" s="9" t="n"/>
      <c r="C501" s="9" t="n"/>
      <c r="D501" s="15">
        <f>IFERROR(IF(ISBLANK(C501),"",VLOOKUP(C501,Members!$A$2:$B$101,2,FALSE)),"")</f>
        <v/>
      </c>
      <c r="E501" s="9" t="n"/>
      <c r="F501" s="13">
        <f>IF(ISBLANK(E501),"",E501+Settings!$B$7)</f>
        <v/>
      </c>
      <c r="G501" s="9" t="n"/>
      <c r="H501" s="15">
        <f>IF(ISBLANK(B501),"",IF(NOT(ISBLANK(G501)),"Returned",IF(TODAY()&gt;F501,"Overdue","Active")))</f>
        <v/>
      </c>
      <c r="I501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720"/>
  <autoFilter ref="A1:I5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  <col width="14" customWidth="1" min="5" max="5"/>
    <col width="12" customWidth="1" min="6" max="6"/>
    <col width="30" customWidth="1" min="7" max="7"/>
  </cols>
  <sheetData>
    <row r="1" ht="30" customHeight="1">
      <c r="A1" s="6" t="inlineStr">
        <is>
          <t>Member ID</t>
        </is>
      </c>
      <c r="B1" s="6" t="inlineStr">
        <is>
          <t>Name</t>
        </is>
      </c>
      <c r="C1" s="6" t="inlineStr">
        <is>
          <t>Contact</t>
        </is>
      </c>
      <c r="D1" s="6" t="inlineStr">
        <is>
          <t>Membership Type</t>
        </is>
      </c>
      <c r="E1" s="6" t="inlineStr">
        <is>
          <t>Join Date</t>
        </is>
      </c>
      <c r="F1" s="6" t="inlineStr">
        <is>
          <t>Status</t>
        </is>
      </c>
      <c r="G1" s="6" t="inlineStr">
        <is>
          <t>Notes</t>
        </is>
      </c>
    </row>
    <row r="2">
      <c r="A2" s="9" t="inlineStr">
        <is>
          <t>M001</t>
        </is>
      </c>
      <c r="B2" s="9" t="inlineStr">
        <is>
          <t>Sample Borrower</t>
        </is>
      </c>
      <c r="C2" s="9" t="n"/>
      <c r="D2" s="9" t="inlineStr">
        <is>
          <t>Public</t>
        </is>
      </c>
      <c r="E2" s="9" t="inlineStr">
        <is>
          <t>2024-01-01</t>
        </is>
      </c>
      <c r="F2" s="9" t="inlineStr">
        <is>
          <t>Active</t>
        </is>
      </c>
      <c r="G2" s="9" t="n"/>
    </row>
    <row r="3">
      <c r="A3" s="9" t="n"/>
      <c r="B3" s="9" t="n"/>
      <c r="C3" s="9" t="n"/>
      <c r="D3" s="9" t="n"/>
      <c r="E3" s="9" t="n"/>
      <c r="F3" s="9" t="n"/>
      <c r="G3" s="9" t="n"/>
    </row>
    <row r="4">
      <c r="A4" s="9" t="n"/>
      <c r="B4" s="9" t="n"/>
      <c r="C4" s="9" t="n"/>
      <c r="D4" s="9" t="n"/>
      <c r="E4" s="9" t="n"/>
      <c r="F4" s="9" t="n"/>
      <c r="G4" s="9" t="n"/>
    </row>
    <row r="5">
      <c r="A5" s="9" t="n"/>
      <c r="B5" s="9" t="n"/>
      <c r="C5" s="9" t="n"/>
      <c r="D5" s="9" t="n"/>
      <c r="E5" s="9" t="n"/>
      <c r="F5" s="9" t="n"/>
      <c r="G5" s="9" t="n"/>
    </row>
    <row r="6">
      <c r="A6" s="9" t="n"/>
      <c r="B6" s="9" t="n"/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>
      <c r="A69" s="9" t="n"/>
      <c r="B69" s="9" t="n"/>
      <c r="C69" s="9" t="n"/>
      <c r="D69" s="9" t="n"/>
      <c r="E69" s="9" t="n"/>
      <c r="F69" s="9" t="n"/>
      <c r="G69" s="9" t="n"/>
    </row>
    <row r="70">
      <c r="A70" s="9" t="n"/>
      <c r="B70" s="9" t="n"/>
      <c r="C70" s="9" t="n"/>
      <c r="D70" s="9" t="n"/>
      <c r="E70" s="9" t="n"/>
      <c r="F70" s="9" t="n"/>
      <c r="G70" s="9" t="n"/>
    </row>
    <row r="71">
      <c r="A71" s="9" t="n"/>
      <c r="B71" s="9" t="n"/>
      <c r="C71" s="9" t="n"/>
      <c r="D71" s="9" t="n"/>
      <c r="E71" s="9" t="n"/>
      <c r="F71" s="9" t="n"/>
      <c r="G71" s="9" t="n"/>
    </row>
    <row r="72">
      <c r="A72" s="9" t="n"/>
      <c r="B72" s="9" t="n"/>
      <c r="C72" s="9" t="n"/>
      <c r="D72" s="9" t="n"/>
      <c r="E72" s="9" t="n"/>
      <c r="F72" s="9" t="n"/>
      <c r="G72" s="9" t="n"/>
    </row>
    <row r="73">
      <c r="A73" s="9" t="n"/>
      <c r="B73" s="9" t="n"/>
      <c r="C73" s="9" t="n"/>
      <c r="D73" s="9" t="n"/>
      <c r="E73" s="9" t="n"/>
      <c r="F73" s="9" t="n"/>
      <c r="G73" s="9" t="n"/>
    </row>
    <row r="74">
      <c r="A74" s="9" t="n"/>
      <c r="B74" s="9" t="n"/>
      <c r="C74" s="9" t="n"/>
      <c r="D74" s="9" t="n"/>
      <c r="E74" s="9" t="n"/>
      <c r="F74" s="9" t="n"/>
      <c r="G74" s="9" t="n"/>
    </row>
    <row r="75">
      <c r="A75" s="9" t="n"/>
      <c r="B75" s="9" t="n"/>
      <c r="C75" s="9" t="n"/>
      <c r="D75" s="9" t="n"/>
      <c r="E75" s="9" t="n"/>
      <c r="F75" s="9" t="n"/>
      <c r="G75" s="9" t="n"/>
    </row>
    <row r="76">
      <c r="A76" s="9" t="n"/>
      <c r="B76" s="9" t="n"/>
      <c r="C76" s="9" t="n"/>
      <c r="D76" s="9" t="n"/>
      <c r="E76" s="9" t="n"/>
      <c r="F76" s="9" t="n"/>
      <c r="G76" s="9" t="n"/>
    </row>
    <row r="77">
      <c r="A77" s="9" t="n"/>
      <c r="B77" s="9" t="n"/>
      <c r="C77" s="9" t="n"/>
      <c r="D77" s="9" t="n"/>
      <c r="E77" s="9" t="n"/>
      <c r="F77" s="9" t="n"/>
      <c r="G77" s="9" t="n"/>
    </row>
    <row r="78">
      <c r="A78" s="9" t="n"/>
      <c r="B78" s="9" t="n"/>
      <c r="C78" s="9" t="n"/>
      <c r="D78" s="9" t="n"/>
      <c r="E78" s="9" t="n"/>
      <c r="F78" s="9" t="n"/>
      <c r="G78" s="9" t="n"/>
    </row>
    <row r="79">
      <c r="A79" s="9" t="n"/>
      <c r="B79" s="9" t="n"/>
      <c r="C79" s="9" t="n"/>
      <c r="D79" s="9" t="n"/>
      <c r="E79" s="9" t="n"/>
      <c r="F79" s="9" t="n"/>
      <c r="G79" s="9" t="n"/>
    </row>
    <row r="80">
      <c r="A80" s="9" t="n"/>
      <c r="B80" s="9" t="n"/>
      <c r="C80" s="9" t="n"/>
      <c r="D80" s="9" t="n"/>
      <c r="E80" s="9" t="n"/>
      <c r="F80" s="9" t="n"/>
      <c r="G80" s="9" t="n"/>
    </row>
    <row r="81">
      <c r="A81" s="9" t="n"/>
      <c r="B81" s="9" t="n"/>
      <c r="C81" s="9" t="n"/>
      <c r="D81" s="9" t="n"/>
      <c r="E81" s="9" t="n"/>
      <c r="F81" s="9" t="n"/>
      <c r="G81" s="9" t="n"/>
    </row>
    <row r="82">
      <c r="A82" s="9" t="n"/>
      <c r="B82" s="9" t="n"/>
      <c r="C82" s="9" t="n"/>
      <c r="D82" s="9" t="n"/>
      <c r="E82" s="9" t="n"/>
      <c r="F82" s="9" t="n"/>
      <c r="G82" s="9" t="n"/>
    </row>
    <row r="83">
      <c r="A83" s="9" t="n"/>
      <c r="B83" s="9" t="n"/>
      <c r="C83" s="9" t="n"/>
      <c r="D83" s="9" t="n"/>
      <c r="E83" s="9" t="n"/>
      <c r="F83" s="9" t="n"/>
      <c r="G83" s="9" t="n"/>
    </row>
    <row r="84">
      <c r="A84" s="9" t="n"/>
      <c r="B84" s="9" t="n"/>
      <c r="C84" s="9" t="n"/>
      <c r="D84" s="9" t="n"/>
      <c r="E84" s="9" t="n"/>
      <c r="F84" s="9" t="n"/>
      <c r="G84" s="9" t="n"/>
    </row>
    <row r="85">
      <c r="A85" s="9" t="n"/>
      <c r="B85" s="9" t="n"/>
      <c r="C85" s="9" t="n"/>
      <c r="D85" s="9" t="n"/>
      <c r="E85" s="9" t="n"/>
      <c r="F85" s="9" t="n"/>
      <c r="G85" s="9" t="n"/>
    </row>
    <row r="86">
      <c r="A86" s="9" t="n"/>
      <c r="B86" s="9" t="n"/>
      <c r="C86" s="9" t="n"/>
      <c r="D86" s="9" t="n"/>
      <c r="E86" s="9" t="n"/>
      <c r="F86" s="9" t="n"/>
      <c r="G86" s="9" t="n"/>
    </row>
    <row r="87">
      <c r="A87" s="9" t="n"/>
      <c r="B87" s="9" t="n"/>
      <c r="C87" s="9" t="n"/>
      <c r="D87" s="9" t="n"/>
      <c r="E87" s="9" t="n"/>
      <c r="F87" s="9" t="n"/>
      <c r="G87" s="9" t="n"/>
    </row>
    <row r="88">
      <c r="A88" s="9" t="n"/>
      <c r="B88" s="9" t="n"/>
      <c r="C88" s="9" t="n"/>
      <c r="D88" s="9" t="n"/>
      <c r="E88" s="9" t="n"/>
      <c r="F88" s="9" t="n"/>
      <c r="G88" s="9" t="n"/>
    </row>
    <row r="89">
      <c r="A89" s="9" t="n"/>
      <c r="B89" s="9" t="n"/>
      <c r="C89" s="9" t="n"/>
      <c r="D89" s="9" t="n"/>
      <c r="E89" s="9" t="n"/>
      <c r="F89" s="9" t="n"/>
      <c r="G89" s="9" t="n"/>
    </row>
    <row r="90">
      <c r="A90" s="9" t="n"/>
      <c r="B90" s="9" t="n"/>
      <c r="C90" s="9" t="n"/>
      <c r="D90" s="9" t="n"/>
      <c r="E90" s="9" t="n"/>
      <c r="F90" s="9" t="n"/>
      <c r="G90" s="9" t="n"/>
    </row>
    <row r="91">
      <c r="A91" s="9" t="n"/>
      <c r="B91" s="9" t="n"/>
      <c r="C91" s="9" t="n"/>
      <c r="D91" s="9" t="n"/>
      <c r="E91" s="9" t="n"/>
      <c r="F91" s="9" t="n"/>
      <c r="G91" s="9" t="n"/>
    </row>
    <row r="92">
      <c r="A92" s="9" t="n"/>
      <c r="B92" s="9" t="n"/>
      <c r="C92" s="9" t="n"/>
      <c r="D92" s="9" t="n"/>
      <c r="E92" s="9" t="n"/>
      <c r="F92" s="9" t="n"/>
      <c r="G92" s="9" t="n"/>
    </row>
    <row r="93">
      <c r="A93" s="9" t="n"/>
      <c r="B93" s="9" t="n"/>
      <c r="C93" s="9" t="n"/>
      <c r="D93" s="9" t="n"/>
      <c r="E93" s="9" t="n"/>
      <c r="F93" s="9" t="n"/>
      <c r="G93" s="9" t="n"/>
    </row>
    <row r="94">
      <c r="A94" s="9" t="n"/>
      <c r="B94" s="9" t="n"/>
      <c r="C94" s="9" t="n"/>
      <c r="D94" s="9" t="n"/>
      <c r="E94" s="9" t="n"/>
      <c r="F94" s="9" t="n"/>
      <c r="G94" s="9" t="n"/>
    </row>
    <row r="95">
      <c r="A95" s="9" t="n"/>
      <c r="B95" s="9" t="n"/>
      <c r="C95" s="9" t="n"/>
      <c r="D95" s="9" t="n"/>
      <c r="E95" s="9" t="n"/>
      <c r="F95" s="9" t="n"/>
      <c r="G95" s="9" t="n"/>
    </row>
    <row r="96">
      <c r="A96" s="9" t="n"/>
      <c r="B96" s="9" t="n"/>
      <c r="C96" s="9" t="n"/>
      <c r="D96" s="9" t="n"/>
      <c r="E96" s="9" t="n"/>
      <c r="F96" s="9" t="n"/>
      <c r="G96" s="9" t="n"/>
    </row>
    <row r="97">
      <c r="A97" s="9" t="n"/>
      <c r="B97" s="9" t="n"/>
      <c r="C97" s="9" t="n"/>
      <c r="D97" s="9" t="n"/>
      <c r="E97" s="9" t="n"/>
      <c r="F97" s="9" t="n"/>
      <c r="G97" s="9" t="n"/>
    </row>
    <row r="98">
      <c r="A98" s="9" t="n"/>
      <c r="B98" s="9" t="n"/>
      <c r="C98" s="9" t="n"/>
      <c r="D98" s="9" t="n"/>
      <c r="E98" s="9" t="n"/>
      <c r="F98" s="9" t="n"/>
      <c r="G98" s="9" t="n"/>
    </row>
    <row r="99">
      <c r="A99" s="9" t="n"/>
      <c r="B99" s="9" t="n"/>
      <c r="C99" s="9" t="n"/>
      <c r="D99" s="9" t="n"/>
      <c r="E99" s="9" t="n"/>
      <c r="F99" s="9" t="n"/>
      <c r="G99" s="9" t="n"/>
    </row>
    <row r="100">
      <c r="A100" s="9" t="n"/>
      <c r="B100" s="9" t="n"/>
      <c r="C100" s="9" t="n"/>
      <c r="D100" s="9" t="n"/>
      <c r="E100" s="9" t="n"/>
      <c r="F100" s="9" t="n"/>
      <c r="G100" s="9" t="n"/>
    </row>
    <row r="101">
      <c r="A101" s="9" t="n"/>
      <c r="B101" s="9" t="n"/>
      <c r="C101" s="9" t="n"/>
      <c r="D101" s="9" t="n"/>
      <c r="E101" s="9" t="n"/>
      <c r="F101" s="9" t="n"/>
      <c r="G101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720"/>
  <dataValidations count="2">
    <dataValidation sqref="D2:D101" showDropDown="0" showInputMessage="0" showErrorMessage="0" allowBlank="1" type="list">
      <formula1>=MembershipList</formula1>
    </dataValidation>
    <dataValidation sqref="F2:F101" showDropDown="0" showInputMessage="0" showErrorMessage="0" allowBlank="1" type="list">
      <formula1>=MemberStatusList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12" customWidth="1" min="4" max="4"/>
    <col width="24" customWidth="1" min="5" max="5"/>
    <col width="20" customWidth="1" min="6" max="6"/>
    <col width="18" customWidth="1" min="7" max="7"/>
  </cols>
  <sheetData>
    <row r="1" ht="30" customHeight="1">
      <c r="A1" s="6" t="inlineStr">
        <is>
          <t>Item ID</t>
        </is>
      </c>
      <c r="B1" s="6" t="inlineStr">
        <is>
          <t>Call Number</t>
        </is>
      </c>
      <c r="C1" s="6" t="inlineStr">
        <is>
          <t>Title</t>
        </is>
      </c>
      <c r="D1" s="6" t="inlineStr">
        <is>
          <t>Volume/Issue</t>
        </is>
      </c>
      <c r="E1" s="6" t="inlineStr">
        <is>
          <t>Creator</t>
        </is>
      </c>
      <c r="F1" s="6" t="inlineStr">
        <is>
          <t>Location</t>
        </is>
      </c>
      <c r="G1" s="6" t="inlineStr">
        <is>
          <t>Label Type</t>
        </is>
      </c>
    </row>
    <row r="2">
      <c r="A2" s="13">
        <f>Catalog!A2</f>
        <v/>
      </c>
      <c r="B2" s="13">
        <f>Catalog!C2</f>
        <v/>
      </c>
      <c r="C2" s="15">
        <f>Catalog!D2</f>
        <v/>
      </c>
      <c r="D2" s="15">
        <f>Catalog!N2</f>
        <v/>
      </c>
      <c r="E2" s="15">
        <f>Catalog!F2</f>
        <v/>
      </c>
      <c r="F2" s="15">
        <f>IF(Catalog!W2="","",Catalog!W2&amp;" "&amp;Catalog!X2)</f>
        <v/>
      </c>
      <c r="G2" s="9" t="n"/>
    </row>
    <row r="3">
      <c r="A3" s="13">
        <f>Catalog!A3</f>
        <v/>
      </c>
      <c r="B3" s="13">
        <f>Catalog!C3</f>
        <v/>
      </c>
      <c r="C3" s="15">
        <f>Catalog!D3</f>
        <v/>
      </c>
      <c r="D3" s="15">
        <f>Catalog!N3</f>
        <v/>
      </c>
      <c r="E3" s="15">
        <f>Catalog!F3</f>
        <v/>
      </c>
      <c r="F3" s="15">
        <f>IF(Catalog!W3="","",Catalog!W3&amp;" "&amp;Catalog!X3)</f>
        <v/>
      </c>
      <c r="G3" s="9" t="n"/>
    </row>
    <row r="4">
      <c r="A4" s="13">
        <f>Catalog!A4</f>
        <v/>
      </c>
      <c r="B4" s="13">
        <f>Catalog!C4</f>
        <v/>
      </c>
      <c r="C4" s="15">
        <f>Catalog!D4</f>
        <v/>
      </c>
      <c r="D4" s="15">
        <f>Catalog!N4</f>
        <v/>
      </c>
      <c r="E4" s="15">
        <f>Catalog!F4</f>
        <v/>
      </c>
      <c r="F4" s="15">
        <f>IF(Catalog!W4="","",Catalog!W4&amp;" "&amp;Catalog!X4)</f>
        <v/>
      </c>
      <c r="G4" s="9" t="n"/>
    </row>
    <row r="5">
      <c r="A5" s="13">
        <f>Catalog!A5</f>
        <v/>
      </c>
      <c r="B5" s="13">
        <f>Catalog!C5</f>
        <v/>
      </c>
      <c r="C5" s="15">
        <f>Catalog!D5</f>
        <v/>
      </c>
      <c r="D5" s="15">
        <f>Catalog!N5</f>
        <v/>
      </c>
      <c r="E5" s="15">
        <f>Catalog!F5</f>
        <v/>
      </c>
      <c r="F5" s="15">
        <f>IF(Catalog!W5="","",Catalog!W5&amp;" "&amp;Catalog!X5)</f>
        <v/>
      </c>
      <c r="G5" s="9" t="n"/>
    </row>
    <row r="6">
      <c r="A6" s="13">
        <f>Catalog!A6</f>
        <v/>
      </c>
      <c r="B6" s="13">
        <f>Catalog!C6</f>
        <v/>
      </c>
      <c r="C6" s="15">
        <f>Catalog!D6</f>
        <v/>
      </c>
      <c r="D6" s="15">
        <f>Catalog!N6</f>
        <v/>
      </c>
      <c r="E6" s="15">
        <f>Catalog!F6</f>
        <v/>
      </c>
      <c r="F6" s="15">
        <f>IF(Catalog!W6="","",Catalog!W6&amp;" "&amp;Catalog!X6)</f>
        <v/>
      </c>
      <c r="G6" s="9" t="n"/>
    </row>
    <row r="7">
      <c r="A7" s="13">
        <f>Catalog!A7</f>
        <v/>
      </c>
      <c r="B7" s="13">
        <f>Catalog!C7</f>
        <v/>
      </c>
      <c r="C7" s="15">
        <f>Catalog!D7</f>
        <v/>
      </c>
      <c r="D7" s="15">
        <f>Catalog!N7</f>
        <v/>
      </c>
      <c r="E7" s="15">
        <f>Catalog!F7</f>
        <v/>
      </c>
      <c r="F7" s="15">
        <f>IF(Catalog!W7="","",Catalog!W7&amp;" "&amp;Catalog!X7)</f>
        <v/>
      </c>
      <c r="G7" s="9" t="n"/>
    </row>
    <row r="8">
      <c r="A8" s="13">
        <f>Catalog!A8</f>
        <v/>
      </c>
      <c r="B8" s="13">
        <f>Catalog!C8</f>
        <v/>
      </c>
      <c r="C8" s="15">
        <f>Catalog!D8</f>
        <v/>
      </c>
      <c r="D8" s="15">
        <f>Catalog!N8</f>
        <v/>
      </c>
      <c r="E8" s="15">
        <f>Catalog!F8</f>
        <v/>
      </c>
      <c r="F8" s="15">
        <f>IF(Catalog!W8="","",Catalog!W8&amp;" "&amp;Catalog!X8)</f>
        <v/>
      </c>
      <c r="G8" s="9" t="n"/>
    </row>
    <row r="9">
      <c r="A9" s="13">
        <f>Catalog!A9</f>
        <v/>
      </c>
      <c r="B9" s="13">
        <f>Catalog!C9</f>
        <v/>
      </c>
      <c r="C9" s="15">
        <f>Catalog!D9</f>
        <v/>
      </c>
      <c r="D9" s="15">
        <f>Catalog!N9</f>
        <v/>
      </c>
      <c r="E9" s="15">
        <f>Catalog!F9</f>
        <v/>
      </c>
      <c r="F9" s="15">
        <f>IF(Catalog!W9="","",Catalog!W9&amp;" "&amp;Catalog!X9)</f>
        <v/>
      </c>
      <c r="G9" s="9" t="n"/>
    </row>
    <row r="10">
      <c r="A10" s="13">
        <f>Catalog!A10</f>
        <v/>
      </c>
      <c r="B10" s="13">
        <f>Catalog!C10</f>
        <v/>
      </c>
      <c r="C10" s="15">
        <f>Catalog!D10</f>
        <v/>
      </c>
      <c r="D10" s="15">
        <f>Catalog!N10</f>
        <v/>
      </c>
      <c r="E10" s="15">
        <f>Catalog!F10</f>
        <v/>
      </c>
      <c r="F10" s="15">
        <f>IF(Catalog!W10="","",Catalog!W10&amp;" "&amp;Catalog!X10)</f>
        <v/>
      </c>
      <c r="G10" s="9" t="n"/>
    </row>
    <row r="11">
      <c r="A11" s="13">
        <f>Catalog!A11</f>
        <v/>
      </c>
      <c r="B11" s="13">
        <f>Catalog!C11</f>
        <v/>
      </c>
      <c r="C11" s="15">
        <f>Catalog!D11</f>
        <v/>
      </c>
      <c r="D11" s="15">
        <f>Catalog!N11</f>
        <v/>
      </c>
      <c r="E11" s="15">
        <f>Catalog!F11</f>
        <v/>
      </c>
      <c r="F11" s="15">
        <f>IF(Catalog!W11="","",Catalog!W11&amp;" "&amp;Catalog!X11)</f>
        <v/>
      </c>
      <c r="G11" s="9" t="n"/>
    </row>
    <row r="12">
      <c r="A12" s="13">
        <f>Catalog!A12</f>
        <v/>
      </c>
      <c r="B12" s="13">
        <f>Catalog!C12</f>
        <v/>
      </c>
      <c r="C12" s="15">
        <f>Catalog!D12</f>
        <v/>
      </c>
      <c r="D12" s="15">
        <f>Catalog!N12</f>
        <v/>
      </c>
      <c r="E12" s="15">
        <f>Catalog!F12</f>
        <v/>
      </c>
      <c r="F12" s="15">
        <f>IF(Catalog!W12="","",Catalog!W12&amp;" "&amp;Catalog!X12)</f>
        <v/>
      </c>
      <c r="G12" s="9" t="n"/>
    </row>
    <row r="13">
      <c r="A13" s="13">
        <f>Catalog!A13</f>
        <v/>
      </c>
      <c r="B13" s="13">
        <f>Catalog!C13</f>
        <v/>
      </c>
      <c r="C13" s="15">
        <f>Catalog!D13</f>
        <v/>
      </c>
      <c r="D13" s="15">
        <f>Catalog!N13</f>
        <v/>
      </c>
      <c r="E13" s="15">
        <f>Catalog!F13</f>
        <v/>
      </c>
      <c r="F13" s="15">
        <f>IF(Catalog!W13="","",Catalog!W13&amp;" "&amp;Catalog!X13)</f>
        <v/>
      </c>
      <c r="G13" s="9" t="n"/>
    </row>
    <row r="14">
      <c r="A14" s="13">
        <f>Catalog!A14</f>
        <v/>
      </c>
      <c r="B14" s="13">
        <f>Catalog!C14</f>
        <v/>
      </c>
      <c r="C14" s="15">
        <f>Catalog!D14</f>
        <v/>
      </c>
      <c r="D14" s="15">
        <f>Catalog!N14</f>
        <v/>
      </c>
      <c r="E14" s="15">
        <f>Catalog!F14</f>
        <v/>
      </c>
      <c r="F14" s="15">
        <f>IF(Catalog!W14="","",Catalog!W14&amp;" "&amp;Catalog!X14)</f>
        <v/>
      </c>
      <c r="G14" s="9" t="n"/>
    </row>
    <row r="15">
      <c r="A15" s="13">
        <f>Catalog!A15</f>
        <v/>
      </c>
      <c r="B15" s="13">
        <f>Catalog!C15</f>
        <v/>
      </c>
      <c r="C15" s="15">
        <f>Catalog!D15</f>
        <v/>
      </c>
      <c r="D15" s="15">
        <f>Catalog!N15</f>
        <v/>
      </c>
      <c r="E15" s="15">
        <f>Catalog!F15</f>
        <v/>
      </c>
      <c r="F15" s="15">
        <f>IF(Catalog!W15="","",Catalog!W15&amp;" "&amp;Catalog!X15)</f>
        <v/>
      </c>
      <c r="G15" s="9" t="n"/>
    </row>
    <row r="16">
      <c r="A16" s="13">
        <f>Catalog!A16</f>
        <v/>
      </c>
      <c r="B16" s="13">
        <f>Catalog!C16</f>
        <v/>
      </c>
      <c r="C16" s="15">
        <f>Catalog!D16</f>
        <v/>
      </c>
      <c r="D16" s="15">
        <f>Catalog!N16</f>
        <v/>
      </c>
      <c r="E16" s="15">
        <f>Catalog!F16</f>
        <v/>
      </c>
      <c r="F16" s="15">
        <f>IF(Catalog!W16="","",Catalog!W16&amp;" "&amp;Catalog!X16)</f>
        <v/>
      </c>
      <c r="G16" s="9" t="n"/>
    </row>
    <row r="17">
      <c r="A17" s="13">
        <f>Catalog!A17</f>
        <v/>
      </c>
      <c r="B17" s="13">
        <f>Catalog!C17</f>
        <v/>
      </c>
      <c r="C17" s="15">
        <f>Catalog!D17</f>
        <v/>
      </c>
      <c r="D17" s="15">
        <f>Catalog!N17</f>
        <v/>
      </c>
      <c r="E17" s="15">
        <f>Catalog!F17</f>
        <v/>
      </c>
      <c r="F17" s="15">
        <f>IF(Catalog!W17="","",Catalog!W17&amp;" "&amp;Catalog!X17)</f>
        <v/>
      </c>
      <c r="G17" s="9" t="n"/>
    </row>
    <row r="18">
      <c r="A18" s="13">
        <f>Catalog!A18</f>
        <v/>
      </c>
      <c r="B18" s="13">
        <f>Catalog!C18</f>
        <v/>
      </c>
      <c r="C18" s="15">
        <f>Catalog!D18</f>
        <v/>
      </c>
      <c r="D18" s="15">
        <f>Catalog!N18</f>
        <v/>
      </c>
      <c r="E18" s="15">
        <f>Catalog!F18</f>
        <v/>
      </c>
      <c r="F18" s="15">
        <f>IF(Catalog!W18="","",Catalog!W18&amp;" "&amp;Catalog!X18)</f>
        <v/>
      </c>
      <c r="G18" s="9" t="n"/>
    </row>
    <row r="19">
      <c r="A19" s="13">
        <f>Catalog!A19</f>
        <v/>
      </c>
      <c r="B19" s="13">
        <f>Catalog!C19</f>
        <v/>
      </c>
      <c r="C19" s="15">
        <f>Catalog!D19</f>
        <v/>
      </c>
      <c r="D19" s="15">
        <f>Catalog!N19</f>
        <v/>
      </c>
      <c r="E19" s="15">
        <f>Catalog!F19</f>
        <v/>
      </c>
      <c r="F19" s="15">
        <f>IF(Catalog!W19="","",Catalog!W19&amp;" "&amp;Catalog!X19)</f>
        <v/>
      </c>
      <c r="G19" s="9" t="n"/>
    </row>
    <row r="20">
      <c r="A20" s="13">
        <f>Catalog!A20</f>
        <v/>
      </c>
      <c r="B20" s="13">
        <f>Catalog!C20</f>
        <v/>
      </c>
      <c r="C20" s="15">
        <f>Catalog!D20</f>
        <v/>
      </c>
      <c r="D20" s="15">
        <f>Catalog!N20</f>
        <v/>
      </c>
      <c r="E20" s="15">
        <f>Catalog!F20</f>
        <v/>
      </c>
      <c r="F20" s="15">
        <f>IF(Catalog!W20="","",Catalog!W20&amp;" "&amp;Catalog!X20)</f>
        <v/>
      </c>
      <c r="G20" s="9" t="n"/>
    </row>
    <row r="21">
      <c r="A21" s="13">
        <f>Catalog!A21</f>
        <v/>
      </c>
      <c r="B21" s="13">
        <f>Catalog!C21</f>
        <v/>
      </c>
      <c r="C21" s="15">
        <f>Catalog!D21</f>
        <v/>
      </c>
      <c r="D21" s="15">
        <f>Catalog!N21</f>
        <v/>
      </c>
      <c r="E21" s="15">
        <f>Catalog!F21</f>
        <v/>
      </c>
      <c r="F21" s="15">
        <f>IF(Catalog!W21="","",Catalog!W21&amp;" "&amp;Catalog!X21)</f>
        <v/>
      </c>
      <c r="G21" s="9" t="n"/>
    </row>
    <row r="22">
      <c r="A22" s="13">
        <f>Catalog!A22</f>
        <v/>
      </c>
      <c r="B22" s="13">
        <f>Catalog!C22</f>
        <v/>
      </c>
      <c r="C22" s="15">
        <f>Catalog!D22</f>
        <v/>
      </c>
      <c r="D22" s="15">
        <f>Catalog!N22</f>
        <v/>
      </c>
      <c r="E22" s="15">
        <f>Catalog!F22</f>
        <v/>
      </c>
      <c r="F22" s="15">
        <f>IF(Catalog!W22="","",Catalog!W22&amp;" "&amp;Catalog!X22)</f>
        <v/>
      </c>
      <c r="G22" s="9" t="n"/>
    </row>
    <row r="23">
      <c r="A23" s="13">
        <f>Catalog!A23</f>
        <v/>
      </c>
      <c r="B23" s="13">
        <f>Catalog!C23</f>
        <v/>
      </c>
      <c r="C23" s="15">
        <f>Catalog!D23</f>
        <v/>
      </c>
      <c r="D23" s="15">
        <f>Catalog!N23</f>
        <v/>
      </c>
      <c r="E23" s="15">
        <f>Catalog!F23</f>
        <v/>
      </c>
      <c r="F23" s="15">
        <f>IF(Catalog!W23="","",Catalog!W23&amp;" "&amp;Catalog!X23)</f>
        <v/>
      </c>
      <c r="G23" s="9" t="n"/>
    </row>
    <row r="24">
      <c r="A24" s="13">
        <f>Catalog!A24</f>
        <v/>
      </c>
      <c r="B24" s="13">
        <f>Catalog!C24</f>
        <v/>
      </c>
      <c r="C24" s="15">
        <f>Catalog!D24</f>
        <v/>
      </c>
      <c r="D24" s="15">
        <f>Catalog!N24</f>
        <v/>
      </c>
      <c r="E24" s="15">
        <f>Catalog!F24</f>
        <v/>
      </c>
      <c r="F24" s="15">
        <f>IF(Catalog!W24="","",Catalog!W24&amp;" "&amp;Catalog!X24)</f>
        <v/>
      </c>
      <c r="G24" s="9" t="n"/>
    </row>
    <row r="25">
      <c r="A25" s="13">
        <f>Catalog!A25</f>
        <v/>
      </c>
      <c r="B25" s="13">
        <f>Catalog!C25</f>
        <v/>
      </c>
      <c r="C25" s="15">
        <f>Catalog!D25</f>
        <v/>
      </c>
      <c r="D25" s="15">
        <f>Catalog!N25</f>
        <v/>
      </c>
      <c r="E25" s="15">
        <f>Catalog!F25</f>
        <v/>
      </c>
      <c r="F25" s="15">
        <f>IF(Catalog!W25="","",Catalog!W25&amp;" "&amp;Catalog!X25)</f>
        <v/>
      </c>
      <c r="G25" s="9" t="n"/>
    </row>
    <row r="26">
      <c r="A26" s="13">
        <f>Catalog!A26</f>
        <v/>
      </c>
      <c r="B26" s="13">
        <f>Catalog!C26</f>
        <v/>
      </c>
      <c r="C26" s="15">
        <f>Catalog!D26</f>
        <v/>
      </c>
      <c r="D26" s="15">
        <f>Catalog!N26</f>
        <v/>
      </c>
      <c r="E26" s="15">
        <f>Catalog!F26</f>
        <v/>
      </c>
      <c r="F26" s="15">
        <f>IF(Catalog!W26="","",Catalog!W26&amp;" "&amp;Catalog!X26)</f>
        <v/>
      </c>
      <c r="G26" s="9" t="n"/>
    </row>
    <row r="27">
      <c r="A27" s="13">
        <f>Catalog!A27</f>
        <v/>
      </c>
      <c r="B27" s="13">
        <f>Catalog!C27</f>
        <v/>
      </c>
      <c r="C27" s="15">
        <f>Catalog!D27</f>
        <v/>
      </c>
      <c r="D27" s="15">
        <f>Catalog!N27</f>
        <v/>
      </c>
      <c r="E27" s="15">
        <f>Catalog!F27</f>
        <v/>
      </c>
      <c r="F27" s="15">
        <f>IF(Catalog!W27="","",Catalog!W27&amp;" "&amp;Catalog!X27)</f>
        <v/>
      </c>
      <c r="G27" s="9" t="n"/>
    </row>
    <row r="28">
      <c r="A28" s="13">
        <f>Catalog!A28</f>
        <v/>
      </c>
      <c r="B28" s="13">
        <f>Catalog!C28</f>
        <v/>
      </c>
      <c r="C28" s="15">
        <f>Catalog!D28</f>
        <v/>
      </c>
      <c r="D28" s="15">
        <f>Catalog!N28</f>
        <v/>
      </c>
      <c r="E28" s="15">
        <f>Catalog!F28</f>
        <v/>
      </c>
      <c r="F28" s="15">
        <f>IF(Catalog!W28="","",Catalog!W28&amp;" "&amp;Catalog!X28)</f>
        <v/>
      </c>
      <c r="G28" s="9" t="n"/>
    </row>
    <row r="29">
      <c r="A29" s="13">
        <f>Catalog!A29</f>
        <v/>
      </c>
      <c r="B29" s="13">
        <f>Catalog!C29</f>
        <v/>
      </c>
      <c r="C29" s="15">
        <f>Catalog!D29</f>
        <v/>
      </c>
      <c r="D29" s="15">
        <f>Catalog!N29</f>
        <v/>
      </c>
      <c r="E29" s="15">
        <f>Catalog!F29</f>
        <v/>
      </c>
      <c r="F29" s="15">
        <f>IF(Catalog!W29="","",Catalog!W29&amp;" "&amp;Catalog!X29)</f>
        <v/>
      </c>
      <c r="G29" s="9" t="n"/>
    </row>
    <row r="30">
      <c r="A30" s="13">
        <f>Catalog!A30</f>
        <v/>
      </c>
      <c r="B30" s="13">
        <f>Catalog!C30</f>
        <v/>
      </c>
      <c r="C30" s="15">
        <f>Catalog!D30</f>
        <v/>
      </c>
      <c r="D30" s="15">
        <f>Catalog!N30</f>
        <v/>
      </c>
      <c r="E30" s="15">
        <f>Catalog!F30</f>
        <v/>
      </c>
      <c r="F30" s="15">
        <f>IF(Catalog!W30="","",Catalog!W30&amp;" "&amp;Catalog!X30)</f>
        <v/>
      </c>
      <c r="G30" s="9" t="n"/>
    </row>
    <row r="31">
      <c r="A31" s="13">
        <f>Catalog!A31</f>
        <v/>
      </c>
      <c r="B31" s="13">
        <f>Catalog!C31</f>
        <v/>
      </c>
      <c r="C31" s="15">
        <f>Catalog!D31</f>
        <v/>
      </c>
      <c r="D31" s="15">
        <f>Catalog!N31</f>
        <v/>
      </c>
      <c r="E31" s="15">
        <f>Catalog!F31</f>
        <v/>
      </c>
      <c r="F31" s="15">
        <f>IF(Catalog!W31="","",Catalog!W31&amp;" "&amp;Catalog!X31)</f>
        <v/>
      </c>
      <c r="G31" s="9" t="n"/>
    </row>
    <row r="32">
      <c r="A32" s="13">
        <f>Catalog!A32</f>
        <v/>
      </c>
      <c r="B32" s="13">
        <f>Catalog!C32</f>
        <v/>
      </c>
      <c r="C32" s="15">
        <f>Catalog!D32</f>
        <v/>
      </c>
      <c r="D32" s="15">
        <f>Catalog!N32</f>
        <v/>
      </c>
      <c r="E32" s="15">
        <f>Catalog!F32</f>
        <v/>
      </c>
      <c r="F32" s="15">
        <f>IF(Catalog!W32="","",Catalog!W32&amp;" "&amp;Catalog!X32)</f>
        <v/>
      </c>
      <c r="G32" s="9" t="n"/>
    </row>
    <row r="33">
      <c r="A33" s="13">
        <f>Catalog!A33</f>
        <v/>
      </c>
      <c r="B33" s="13">
        <f>Catalog!C33</f>
        <v/>
      </c>
      <c r="C33" s="15">
        <f>Catalog!D33</f>
        <v/>
      </c>
      <c r="D33" s="15">
        <f>Catalog!N33</f>
        <v/>
      </c>
      <c r="E33" s="15">
        <f>Catalog!F33</f>
        <v/>
      </c>
      <c r="F33" s="15">
        <f>IF(Catalog!W33="","",Catalog!W33&amp;" "&amp;Catalog!X33)</f>
        <v/>
      </c>
      <c r="G33" s="9" t="n"/>
    </row>
    <row r="34">
      <c r="A34" s="13">
        <f>Catalog!A34</f>
        <v/>
      </c>
      <c r="B34" s="13">
        <f>Catalog!C34</f>
        <v/>
      </c>
      <c r="C34" s="15">
        <f>Catalog!D34</f>
        <v/>
      </c>
      <c r="D34" s="15">
        <f>Catalog!N34</f>
        <v/>
      </c>
      <c r="E34" s="15">
        <f>Catalog!F34</f>
        <v/>
      </c>
      <c r="F34" s="15">
        <f>IF(Catalog!W34="","",Catalog!W34&amp;" "&amp;Catalog!X34)</f>
        <v/>
      </c>
      <c r="G34" s="9" t="n"/>
    </row>
    <row r="35">
      <c r="A35" s="13">
        <f>Catalog!A35</f>
        <v/>
      </c>
      <c r="B35" s="13">
        <f>Catalog!C35</f>
        <v/>
      </c>
      <c r="C35" s="15">
        <f>Catalog!D35</f>
        <v/>
      </c>
      <c r="D35" s="15">
        <f>Catalog!N35</f>
        <v/>
      </c>
      <c r="E35" s="15">
        <f>Catalog!F35</f>
        <v/>
      </c>
      <c r="F35" s="15">
        <f>IF(Catalog!W35="","",Catalog!W35&amp;" "&amp;Catalog!X35)</f>
        <v/>
      </c>
      <c r="G35" s="9" t="n"/>
    </row>
    <row r="36">
      <c r="A36" s="13">
        <f>Catalog!A36</f>
        <v/>
      </c>
      <c r="B36" s="13">
        <f>Catalog!C36</f>
        <v/>
      </c>
      <c r="C36" s="15">
        <f>Catalog!D36</f>
        <v/>
      </c>
      <c r="D36" s="15">
        <f>Catalog!N36</f>
        <v/>
      </c>
      <c r="E36" s="15">
        <f>Catalog!F36</f>
        <v/>
      </c>
      <c r="F36" s="15">
        <f>IF(Catalog!W36="","",Catalog!W36&amp;" "&amp;Catalog!X36)</f>
        <v/>
      </c>
      <c r="G36" s="9" t="n"/>
    </row>
    <row r="37">
      <c r="A37" s="13">
        <f>Catalog!A37</f>
        <v/>
      </c>
      <c r="B37" s="13">
        <f>Catalog!C37</f>
        <v/>
      </c>
      <c r="C37" s="15">
        <f>Catalog!D37</f>
        <v/>
      </c>
      <c r="D37" s="15">
        <f>Catalog!N37</f>
        <v/>
      </c>
      <c r="E37" s="15">
        <f>Catalog!F37</f>
        <v/>
      </c>
      <c r="F37" s="15">
        <f>IF(Catalog!W37="","",Catalog!W37&amp;" "&amp;Catalog!X37)</f>
        <v/>
      </c>
      <c r="G37" s="9" t="n"/>
    </row>
    <row r="38">
      <c r="A38" s="13">
        <f>Catalog!A38</f>
        <v/>
      </c>
      <c r="B38" s="13">
        <f>Catalog!C38</f>
        <v/>
      </c>
      <c r="C38" s="15">
        <f>Catalog!D38</f>
        <v/>
      </c>
      <c r="D38" s="15">
        <f>Catalog!N38</f>
        <v/>
      </c>
      <c r="E38" s="15">
        <f>Catalog!F38</f>
        <v/>
      </c>
      <c r="F38" s="15">
        <f>IF(Catalog!W38="","",Catalog!W38&amp;" "&amp;Catalog!X38)</f>
        <v/>
      </c>
      <c r="G38" s="9" t="n"/>
    </row>
    <row r="39">
      <c r="A39" s="13">
        <f>Catalog!A39</f>
        <v/>
      </c>
      <c r="B39" s="13">
        <f>Catalog!C39</f>
        <v/>
      </c>
      <c r="C39" s="15">
        <f>Catalog!D39</f>
        <v/>
      </c>
      <c r="D39" s="15">
        <f>Catalog!N39</f>
        <v/>
      </c>
      <c r="E39" s="15">
        <f>Catalog!F39</f>
        <v/>
      </c>
      <c r="F39" s="15">
        <f>IF(Catalog!W39="","",Catalog!W39&amp;" "&amp;Catalog!X39)</f>
        <v/>
      </c>
      <c r="G39" s="9" t="n"/>
    </row>
    <row r="40">
      <c r="A40" s="13">
        <f>Catalog!A40</f>
        <v/>
      </c>
      <c r="B40" s="13">
        <f>Catalog!C40</f>
        <v/>
      </c>
      <c r="C40" s="15">
        <f>Catalog!D40</f>
        <v/>
      </c>
      <c r="D40" s="15">
        <f>Catalog!N40</f>
        <v/>
      </c>
      <c r="E40" s="15">
        <f>Catalog!F40</f>
        <v/>
      </c>
      <c r="F40" s="15">
        <f>IF(Catalog!W40="","",Catalog!W40&amp;" "&amp;Catalog!X40)</f>
        <v/>
      </c>
      <c r="G40" s="9" t="n"/>
    </row>
    <row r="41">
      <c r="A41" s="13">
        <f>Catalog!A41</f>
        <v/>
      </c>
      <c r="B41" s="13">
        <f>Catalog!C41</f>
        <v/>
      </c>
      <c r="C41" s="15">
        <f>Catalog!D41</f>
        <v/>
      </c>
      <c r="D41" s="15">
        <f>Catalog!N41</f>
        <v/>
      </c>
      <c r="E41" s="15">
        <f>Catalog!F41</f>
        <v/>
      </c>
      <c r="F41" s="15">
        <f>IF(Catalog!W41="","",Catalog!W41&amp;" "&amp;Catalog!X41)</f>
        <v/>
      </c>
      <c r="G41" s="9" t="n"/>
    </row>
    <row r="42">
      <c r="A42" s="13">
        <f>Catalog!A42</f>
        <v/>
      </c>
      <c r="B42" s="13">
        <f>Catalog!C42</f>
        <v/>
      </c>
      <c r="C42" s="15">
        <f>Catalog!D42</f>
        <v/>
      </c>
      <c r="D42" s="15">
        <f>Catalog!N42</f>
        <v/>
      </c>
      <c r="E42" s="15">
        <f>Catalog!F42</f>
        <v/>
      </c>
      <c r="F42" s="15">
        <f>IF(Catalog!W42="","",Catalog!W42&amp;" "&amp;Catalog!X42)</f>
        <v/>
      </c>
      <c r="G42" s="9" t="n"/>
    </row>
    <row r="43">
      <c r="A43" s="13">
        <f>Catalog!A43</f>
        <v/>
      </c>
      <c r="B43" s="13">
        <f>Catalog!C43</f>
        <v/>
      </c>
      <c r="C43" s="15">
        <f>Catalog!D43</f>
        <v/>
      </c>
      <c r="D43" s="15">
        <f>Catalog!N43</f>
        <v/>
      </c>
      <c r="E43" s="15">
        <f>Catalog!F43</f>
        <v/>
      </c>
      <c r="F43" s="15">
        <f>IF(Catalog!W43="","",Catalog!W43&amp;" "&amp;Catalog!X43)</f>
        <v/>
      </c>
      <c r="G43" s="9" t="n"/>
    </row>
    <row r="44">
      <c r="A44" s="13">
        <f>Catalog!A44</f>
        <v/>
      </c>
      <c r="B44" s="13">
        <f>Catalog!C44</f>
        <v/>
      </c>
      <c r="C44" s="15">
        <f>Catalog!D44</f>
        <v/>
      </c>
      <c r="D44" s="15">
        <f>Catalog!N44</f>
        <v/>
      </c>
      <c r="E44" s="15">
        <f>Catalog!F44</f>
        <v/>
      </c>
      <c r="F44" s="15">
        <f>IF(Catalog!W44="","",Catalog!W44&amp;" "&amp;Catalog!X44)</f>
        <v/>
      </c>
      <c r="G44" s="9" t="n"/>
    </row>
    <row r="45">
      <c r="A45" s="13">
        <f>Catalog!A45</f>
        <v/>
      </c>
      <c r="B45" s="13">
        <f>Catalog!C45</f>
        <v/>
      </c>
      <c r="C45" s="15">
        <f>Catalog!D45</f>
        <v/>
      </c>
      <c r="D45" s="15">
        <f>Catalog!N45</f>
        <v/>
      </c>
      <c r="E45" s="15">
        <f>Catalog!F45</f>
        <v/>
      </c>
      <c r="F45" s="15">
        <f>IF(Catalog!W45="","",Catalog!W45&amp;" "&amp;Catalog!X45)</f>
        <v/>
      </c>
      <c r="G45" s="9" t="n"/>
    </row>
    <row r="46">
      <c r="A46" s="13">
        <f>Catalog!A46</f>
        <v/>
      </c>
      <c r="B46" s="13">
        <f>Catalog!C46</f>
        <v/>
      </c>
      <c r="C46" s="15">
        <f>Catalog!D46</f>
        <v/>
      </c>
      <c r="D46" s="15">
        <f>Catalog!N46</f>
        <v/>
      </c>
      <c r="E46" s="15">
        <f>Catalog!F46</f>
        <v/>
      </c>
      <c r="F46" s="15">
        <f>IF(Catalog!W46="","",Catalog!W46&amp;" "&amp;Catalog!X46)</f>
        <v/>
      </c>
      <c r="G46" s="9" t="n"/>
    </row>
    <row r="47">
      <c r="A47" s="13">
        <f>Catalog!A47</f>
        <v/>
      </c>
      <c r="B47" s="13">
        <f>Catalog!C47</f>
        <v/>
      </c>
      <c r="C47" s="15">
        <f>Catalog!D47</f>
        <v/>
      </c>
      <c r="D47" s="15">
        <f>Catalog!N47</f>
        <v/>
      </c>
      <c r="E47" s="15">
        <f>Catalog!F47</f>
        <v/>
      </c>
      <c r="F47" s="15">
        <f>IF(Catalog!W47="","",Catalog!W47&amp;" "&amp;Catalog!X47)</f>
        <v/>
      </c>
      <c r="G47" s="9" t="n"/>
    </row>
    <row r="48">
      <c r="A48" s="13">
        <f>Catalog!A48</f>
        <v/>
      </c>
      <c r="B48" s="13">
        <f>Catalog!C48</f>
        <v/>
      </c>
      <c r="C48" s="15">
        <f>Catalog!D48</f>
        <v/>
      </c>
      <c r="D48" s="15">
        <f>Catalog!N48</f>
        <v/>
      </c>
      <c r="E48" s="15">
        <f>Catalog!F48</f>
        <v/>
      </c>
      <c r="F48" s="15">
        <f>IF(Catalog!W48="","",Catalog!W48&amp;" "&amp;Catalog!X48)</f>
        <v/>
      </c>
      <c r="G48" s="9" t="n"/>
    </row>
    <row r="49">
      <c r="A49" s="13">
        <f>Catalog!A49</f>
        <v/>
      </c>
      <c r="B49" s="13">
        <f>Catalog!C49</f>
        <v/>
      </c>
      <c r="C49" s="15">
        <f>Catalog!D49</f>
        <v/>
      </c>
      <c r="D49" s="15">
        <f>Catalog!N49</f>
        <v/>
      </c>
      <c r="E49" s="15">
        <f>Catalog!F49</f>
        <v/>
      </c>
      <c r="F49" s="15">
        <f>IF(Catalog!W49="","",Catalog!W49&amp;" "&amp;Catalog!X49)</f>
        <v/>
      </c>
      <c r="G49" s="9" t="n"/>
    </row>
    <row r="50">
      <c r="A50" s="13">
        <f>Catalog!A50</f>
        <v/>
      </c>
      <c r="B50" s="13">
        <f>Catalog!C50</f>
        <v/>
      </c>
      <c r="C50" s="15">
        <f>Catalog!D50</f>
        <v/>
      </c>
      <c r="D50" s="15">
        <f>Catalog!N50</f>
        <v/>
      </c>
      <c r="E50" s="15">
        <f>Catalog!F50</f>
        <v/>
      </c>
      <c r="F50" s="15">
        <f>IF(Catalog!W50="","",Catalog!W50&amp;" "&amp;Catalog!X50)</f>
        <v/>
      </c>
      <c r="G50" s="9" t="n"/>
    </row>
    <row r="51">
      <c r="A51" s="13">
        <f>Catalog!A51</f>
        <v/>
      </c>
      <c r="B51" s="13">
        <f>Catalog!C51</f>
        <v/>
      </c>
      <c r="C51" s="15">
        <f>Catalog!D51</f>
        <v/>
      </c>
      <c r="D51" s="15">
        <f>Catalog!N51</f>
        <v/>
      </c>
      <c r="E51" s="15">
        <f>Catalog!F51</f>
        <v/>
      </c>
      <c r="F51" s="15">
        <f>IF(Catalog!W51="","",Catalog!W51&amp;" "&amp;Catalog!X51)</f>
        <v/>
      </c>
      <c r="G51" s="9" t="n"/>
    </row>
    <row r="52">
      <c r="A52" s="13">
        <f>Catalog!A52</f>
        <v/>
      </c>
      <c r="B52" s="13">
        <f>Catalog!C52</f>
        <v/>
      </c>
      <c r="C52" s="15">
        <f>Catalog!D52</f>
        <v/>
      </c>
      <c r="D52" s="15">
        <f>Catalog!N52</f>
        <v/>
      </c>
      <c r="E52" s="15">
        <f>Catalog!F52</f>
        <v/>
      </c>
      <c r="F52" s="15">
        <f>IF(Catalog!W52="","",Catalog!W52&amp;" "&amp;Catalog!X52)</f>
        <v/>
      </c>
      <c r="G52" s="9" t="n"/>
    </row>
    <row r="53">
      <c r="A53" s="13">
        <f>Catalog!A53</f>
        <v/>
      </c>
      <c r="B53" s="13">
        <f>Catalog!C53</f>
        <v/>
      </c>
      <c r="C53" s="15">
        <f>Catalog!D53</f>
        <v/>
      </c>
      <c r="D53" s="15">
        <f>Catalog!N53</f>
        <v/>
      </c>
      <c r="E53" s="15">
        <f>Catalog!F53</f>
        <v/>
      </c>
      <c r="F53" s="15">
        <f>IF(Catalog!W53="","",Catalog!W53&amp;" "&amp;Catalog!X53)</f>
        <v/>
      </c>
      <c r="G53" s="9" t="n"/>
    </row>
    <row r="54">
      <c r="A54" s="13">
        <f>Catalog!A54</f>
        <v/>
      </c>
      <c r="B54" s="13">
        <f>Catalog!C54</f>
        <v/>
      </c>
      <c r="C54" s="15">
        <f>Catalog!D54</f>
        <v/>
      </c>
      <c r="D54" s="15">
        <f>Catalog!N54</f>
        <v/>
      </c>
      <c r="E54" s="15">
        <f>Catalog!F54</f>
        <v/>
      </c>
      <c r="F54" s="15">
        <f>IF(Catalog!W54="","",Catalog!W54&amp;" "&amp;Catalog!X54)</f>
        <v/>
      </c>
      <c r="G54" s="9" t="n"/>
    </row>
    <row r="55">
      <c r="A55" s="13">
        <f>Catalog!A55</f>
        <v/>
      </c>
      <c r="B55" s="13">
        <f>Catalog!C55</f>
        <v/>
      </c>
      <c r="C55" s="15">
        <f>Catalog!D55</f>
        <v/>
      </c>
      <c r="D55" s="15">
        <f>Catalog!N55</f>
        <v/>
      </c>
      <c r="E55" s="15">
        <f>Catalog!F55</f>
        <v/>
      </c>
      <c r="F55" s="15">
        <f>IF(Catalog!W55="","",Catalog!W55&amp;" "&amp;Catalog!X55)</f>
        <v/>
      </c>
      <c r="G55" s="9" t="n"/>
    </row>
    <row r="56">
      <c r="A56" s="13">
        <f>Catalog!A56</f>
        <v/>
      </c>
      <c r="B56" s="13">
        <f>Catalog!C56</f>
        <v/>
      </c>
      <c r="C56" s="15">
        <f>Catalog!D56</f>
        <v/>
      </c>
      <c r="D56" s="15">
        <f>Catalog!N56</f>
        <v/>
      </c>
      <c r="E56" s="15">
        <f>Catalog!F56</f>
        <v/>
      </c>
      <c r="F56" s="15">
        <f>IF(Catalog!W56="","",Catalog!W56&amp;" "&amp;Catalog!X56)</f>
        <v/>
      </c>
      <c r="G56" s="9" t="n"/>
    </row>
    <row r="57">
      <c r="A57" s="13">
        <f>Catalog!A57</f>
        <v/>
      </c>
      <c r="B57" s="13">
        <f>Catalog!C57</f>
        <v/>
      </c>
      <c r="C57" s="15">
        <f>Catalog!D57</f>
        <v/>
      </c>
      <c r="D57" s="15">
        <f>Catalog!N57</f>
        <v/>
      </c>
      <c r="E57" s="15">
        <f>Catalog!F57</f>
        <v/>
      </c>
      <c r="F57" s="15">
        <f>IF(Catalog!W57="","",Catalog!W57&amp;" "&amp;Catalog!X57)</f>
        <v/>
      </c>
      <c r="G57" s="9" t="n"/>
    </row>
    <row r="58">
      <c r="A58" s="13">
        <f>Catalog!A58</f>
        <v/>
      </c>
      <c r="B58" s="13">
        <f>Catalog!C58</f>
        <v/>
      </c>
      <c r="C58" s="15">
        <f>Catalog!D58</f>
        <v/>
      </c>
      <c r="D58" s="15">
        <f>Catalog!N58</f>
        <v/>
      </c>
      <c r="E58" s="15">
        <f>Catalog!F58</f>
        <v/>
      </c>
      <c r="F58" s="15">
        <f>IF(Catalog!W58="","",Catalog!W58&amp;" "&amp;Catalog!X58)</f>
        <v/>
      </c>
      <c r="G58" s="9" t="n"/>
    </row>
    <row r="59">
      <c r="A59" s="13">
        <f>Catalog!A59</f>
        <v/>
      </c>
      <c r="B59" s="13">
        <f>Catalog!C59</f>
        <v/>
      </c>
      <c r="C59" s="15">
        <f>Catalog!D59</f>
        <v/>
      </c>
      <c r="D59" s="15">
        <f>Catalog!N59</f>
        <v/>
      </c>
      <c r="E59" s="15">
        <f>Catalog!F59</f>
        <v/>
      </c>
      <c r="F59" s="15">
        <f>IF(Catalog!W59="","",Catalog!W59&amp;" "&amp;Catalog!X59)</f>
        <v/>
      </c>
      <c r="G59" s="9" t="n"/>
    </row>
    <row r="60">
      <c r="A60" s="13">
        <f>Catalog!A60</f>
        <v/>
      </c>
      <c r="B60" s="13">
        <f>Catalog!C60</f>
        <v/>
      </c>
      <c r="C60" s="15">
        <f>Catalog!D60</f>
        <v/>
      </c>
      <c r="D60" s="15">
        <f>Catalog!N60</f>
        <v/>
      </c>
      <c r="E60" s="15">
        <f>Catalog!F60</f>
        <v/>
      </c>
      <c r="F60" s="15">
        <f>IF(Catalog!W60="","",Catalog!W60&amp;" "&amp;Catalog!X60)</f>
        <v/>
      </c>
      <c r="G60" s="9" t="n"/>
    </row>
    <row r="61">
      <c r="A61" s="13">
        <f>Catalog!A61</f>
        <v/>
      </c>
      <c r="B61" s="13">
        <f>Catalog!C61</f>
        <v/>
      </c>
      <c r="C61" s="15">
        <f>Catalog!D61</f>
        <v/>
      </c>
      <c r="D61" s="15">
        <f>Catalog!N61</f>
        <v/>
      </c>
      <c r="E61" s="15">
        <f>Catalog!F61</f>
        <v/>
      </c>
      <c r="F61" s="15">
        <f>IF(Catalog!W61="","",Catalog!W61&amp;" "&amp;Catalog!X61)</f>
        <v/>
      </c>
      <c r="G61" s="9" t="n"/>
    </row>
    <row r="62">
      <c r="A62" s="13">
        <f>Catalog!A62</f>
        <v/>
      </c>
      <c r="B62" s="13">
        <f>Catalog!C62</f>
        <v/>
      </c>
      <c r="C62" s="15">
        <f>Catalog!D62</f>
        <v/>
      </c>
      <c r="D62" s="15">
        <f>Catalog!N62</f>
        <v/>
      </c>
      <c r="E62" s="15">
        <f>Catalog!F62</f>
        <v/>
      </c>
      <c r="F62" s="15">
        <f>IF(Catalog!W62="","",Catalog!W62&amp;" "&amp;Catalog!X62)</f>
        <v/>
      </c>
      <c r="G62" s="9" t="n"/>
    </row>
    <row r="63">
      <c r="A63" s="13">
        <f>Catalog!A63</f>
        <v/>
      </c>
      <c r="B63" s="13">
        <f>Catalog!C63</f>
        <v/>
      </c>
      <c r="C63" s="15">
        <f>Catalog!D63</f>
        <v/>
      </c>
      <c r="D63" s="15">
        <f>Catalog!N63</f>
        <v/>
      </c>
      <c r="E63" s="15">
        <f>Catalog!F63</f>
        <v/>
      </c>
      <c r="F63" s="15">
        <f>IF(Catalog!W63="","",Catalog!W63&amp;" "&amp;Catalog!X63)</f>
        <v/>
      </c>
      <c r="G63" s="9" t="n"/>
    </row>
    <row r="64">
      <c r="A64" s="13">
        <f>Catalog!A64</f>
        <v/>
      </c>
      <c r="B64" s="13">
        <f>Catalog!C64</f>
        <v/>
      </c>
      <c r="C64" s="15">
        <f>Catalog!D64</f>
        <v/>
      </c>
      <c r="D64" s="15">
        <f>Catalog!N64</f>
        <v/>
      </c>
      <c r="E64" s="15">
        <f>Catalog!F64</f>
        <v/>
      </c>
      <c r="F64" s="15">
        <f>IF(Catalog!W64="","",Catalog!W64&amp;" "&amp;Catalog!X64)</f>
        <v/>
      </c>
      <c r="G64" s="9" t="n"/>
    </row>
    <row r="65">
      <c r="A65" s="13">
        <f>Catalog!A65</f>
        <v/>
      </c>
      <c r="B65" s="13">
        <f>Catalog!C65</f>
        <v/>
      </c>
      <c r="C65" s="15">
        <f>Catalog!D65</f>
        <v/>
      </c>
      <c r="D65" s="15">
        <f>Catalog!N65</f>
        <v/>
      </c>
      <c r="E65" s="15">
        <f>Catalog!F65</f>
        <v/>
      </c>
      <c r="F65" s="15">
        <f>IF(Catalog!W65="","",Catalog!W65&amp;" "&amp;Catalog!X65)</f>
        <v/>
      </c>
      <c r="G65" s="9" t="n"/>
    </row>
    <row r="66">
      <c r="A66" s="13">
        <f>Catalog!A66</f>
        <v/>
      </c>
      <c r="B66" s="13">
        <f>Catalog!C66</f>
        <v/>
      </c>
      <c r="C66" s="15">
        <f>Catalog!D66</f>
        <v/>
      </c>
      <c r="D66" s="15">
        <f>Catalog!N66</f>
        <v/>
      </c>
      <c r="E66" s="15">
        <f>Catalog!F66</f>
        <v/>
      </c>
      <c r="F66" s="15">
        <f>IF(Catalog!W66="","",Catalog!W66&amp;" "&amp;Catalog!X66)</f>
        <v/>
      </c>
      <c r="G66" s="9" t="n"/>
    </row>
    <row r="67">
      <c r="A67" s="13">
        <f>Catalog!A67</f>
        <v/>
      </c>
      <c r="B67" s="13">
        <f>Catalog!C67</f>
        <v/>
      </c>
      <c r="C67" s="15">
        <f>Catalog!D67</f>
        <v/>
      </c>
      <c r="D67" s="15">
        <f>Catalog!N67</f>
        <v/>
      </c>
      <c r="E67" s="15">
        <f>Catalog!F67</f>
        <v/>
      </c>
      <c r="F67" s="15">
        <f>IF(Catalog!W67="","",Catalog!W67&amp;" "&amp;Catalog!X67)</f>
        <v/>
      </c>
      <c r="G67" s="9" t="n"/>
    </row>
    <row r="68">
      <c r="A68" s="13">
        <f>Catalog!A68</f>
        <v/>
      </c>
      <c r="B68" s="13">
        <f>Catalog!C68</f>
        <v/>
      </c>
      <c r="C68" s="15">
        <f>Catalog!D68</f>
        <v/>
      </c>
      <c r="D68" s="15">
        <f>Catalog!N68</f>
        <v/>
      </c>
      <c r="E68" s="15">
        <f>Catalog!F68</f>
        <v/>
      </c>
      <c r="F68" s="15">
        <f>IF(Catalog!W68="","",Catalog!W68&amp;" "&amp;Catalog!X68)</f>
        <v/>
      </c>
      <c r="G68" s="9" t="n"/>
    </row>
    <row r="69">
      <c r="A69" s="13">
        <f>Catalog!A69</f>
        <v/>
      </c>
      <c r="B69" s="13">
        <f>Catalog!C69</f>
        <v/>
      </c>
      <c r="C69" s="15">
        <f>Catalog!D69</f>
        <v/>
      </c>
      <c r="D69" s="15">
        <f>Catalog!N69</f>
        <v/>
      </c>
      <c r="E69" s="15">
        <f>Catalog!F69</f>
        <v/>
      </c>
      <c r="F69" s="15">
        <f>IF(Catalog!W69="","",Catalog!W69&amp;" "&amp;Catalog!X69)</f>
        <v/>
      </c>
      <c r="G69" s="9" t="n"/>
    </row>
    <row r="70">
      <c r="A70" s="13">
        <f>Catalog!A70</f>
        <v/>
      </c>
      <c r="B70" s="13">
        <f>Catalog!C70</f>
        <v/>
      </c>
      <c r="C70" s="15">
        <f>Catalog!D70</f>
        <v/>
      </c>
      <c r="D70" s="15">
        <f>Catalog!N70</f>
        <v/>
      </c>
      <c r="E70" s="15">
        <f>Catalog!F70</f>
        <v/>
      </c>
      <c r="F70" s="15">
        <f>IF(Catalog!W70="","",Catalog!W70&amp;" "&amp;Catalog!X70)</f>
        <v/>
      </c>
      <c r="G70" s="9" t="n"/>
    </row>
    <row r="71">
      <c r="A71" s="13">
        <f>Catalog!A71</f>
        <v/>
      </c>
      <c r="B71" s="13">
        <f>Catalog!C71</f>
        <v/>
      </c>
      <c r="C71" s="15">
        <f>Catalog!D71</f>
        <v/>
      </c>
      <c r="D71" s="15">
        <f>Catalog!N71</f>
        <v/>
      </c>
      <c r="E71" s="15">
        <f>Catalog!F71</f>
        <v/>
      </c>
      <c r="F71" s="15">
        <f>IF(Catalog!W71="","",Catalog!W71&amp;" "&amp;Catalog!X71)</f>
        <v/>
      </c>
      <c r="G71" s="9" t="n"/>
    </row>
    <row r="72">
      <c r="A72" s="13">
        <f>Catalog!A72</f>
        <v/>
      </c>
      <c r="B72" s="13">
        <f>Catalog!C72</f>
        <v/>
      </c>
      <c r="C72" s="15">
        <f>Catalog!D72</f>
        <v/>
      </c>
      <c r="D72" s="15">
        <f>Catalog!N72</f>
        <v/>
      </c>
      <c r="E72" s="15">
        <f>Catalog!F72</f>
        <v/>
      </c>
      <c r="F72" s="15">
        <f>IF(Catalog!W72="","",Catalog!W72&amp;" "&amp;Catalog!X72)</f>
        <v/>
      </c>
      <c r="G72" s="9" t="n"/>
    </row>
    <row r="73">
      <c r="A73" s="13">
        <f>Catalog!A73</f>
        <v/>
      </c>
      <c r="B73" s="13">
        <f>Catalog!C73</f>
        <v/>
      </c>
      <c r="C73" s="15">
        <f>Catalog!D73</f>
        <v/>
      </c>
      <c r="D73" s="15">
        <f>Catalog!N73</f>
        <v/>
      </c>
      <c r="E73" s="15">
        <f>Catalog!F73</f>
        <v/>
      </c>
      <c r="F73" s="15">
        <f>IF(Catalog!W73="","",Catalog!W73&amp;" "&amp;Catalog!X73)</f>
        <v/>
      </c>
      <c r="G73" s="9" t="n"/>
    </row>
    <row r="74">
      <c r="A74" s="13">
        <f>Catalog!A74</f>
        <v/>
      </c>
      <c r="B74" s="13">
        <f>Catalog!C74</f>
        <v/>
      </c>
      <c r="C74" s="15">
        <f>Catalog!D74</f>
        <v/>
      </c>
      <c r="D74" s="15">
        <f>Catalog!N74</f>
        <v/>
      </c>
      <c r="E74" s="15">
        <f>Catalog!F74</f>
        <v/>
      </c>
      <c r="F74" s="15">
        <f>IF(Catalog!W74="","",Catalog!W74&amp;" "&amp;Catalog!X74)</f>
        <v/>
      </c>
      <c r="G74" s="9" t="n"/>
    </row>
    <row r="75">
      <c r="A75" s="13">
        <f>Catalog!A75</f>
        <v/>
      </c>
      <c r="B75" s="13">
        <f>Catalog!C75</f>
        <v/>
      </c>
      <c r="C75" s="15">
        <f>Catalog!D75</f>
        <v/>
      </c>
      <c r="D75" s="15">
        <f>Catalog!N75</f>
        <v/>
      </c>
      <c r="E75" s="15">
        <f>Catalog!F75</f>
        <v/>
      </c>
      <c r="F75" s="15">
        <f>IF(Catalog!W75="","",Catalog!W75&amp;" "&amp;Catalog!X75)</f>
        <v/>
      </c>
      <c r="G75" s="9" t="n"/>
    </row>
    <row r="76">
      <c r="A76" s="13">
        <f>Catalog!A76</f>
        <v/>
      </c>
      <c r="B76" s="13">
        <f>Catalog!C76</f>
        <v/>
      </c>
      <c r="C76" s="15">
        <f>Catalog!D76</f>
        <v/>
      </c>
      <c r="D76" s="15">
        <f>Catalog!N76</f>
        <v/>
      </c>
      <c r="E76" s="15">
        <f>Catalog!F76</f>
        <v/>
      </c>
      <c r="F76" s="15">
        <f>IF(Catalog!W76="","",Catalog!W76&amp;" "&amp;Catalog!X76)</f>
        <v/>
      </c>
      <c r="G76" s="9" t="n"/>
    </row>
    <row r="77">
      <c r="A77" s="13">
        <f>Catalog!A77</f>
        <v/>
      </c>
      <c r="B77" s="13">
        <f>Catalog!C77</f>
        <v/>
      </c>
      <c r="C77" s="15">
        <f>Catalog!D77</f>
        <v/>
      </c>
      <c r="D77" s="15">
        <f>Catalog!N77</f>
        <v/>
      </c>
      <c r="E77" s="15">
        <f>Catalog!F77</f>
        <v/>
      </c>
      <c r="F77" s="15">
        <f>IF(Catalog!W77="","",Catalog!W77&amp;" "&amp;Catalog!X77)</f>
        <v/>
      </c>
      <c r="G77" s="9" t="n"/>
    </row>
    <row r="78">
      <c r="A78" s="13">
        <f>Catalog!A78</f>
        <v/>
      </c>
      <c r="B78" s="13">
        <f>Catalog!C78</f>
        <v/>
      </c>
      <c r="C78" s="15">
        <f>Catalog!D78</f>
        <v/>
      </c>
      <c r="D78" s="15">
        <f>Catalog!N78</f>
        <v/>
      </c>
      <c r="E78" s="15">
        <f>Catalog!F78</f>
        <v/>
      </c>
      <c r="F78" s="15">
        <f>IF(Catalog!W78="","",Catalog!W78&amp;" "&amp;Catalog!X78)</f>
        <v/>
      </c>
      <c r="G78" s="9" t="n"/>
    </row>
    <row r="79">
      <c r="A79" s="13">
        <f>Catalog!A79</f>
        <v/>
      </c>
      <c r="B79" s="13">
        <f>Catalog!C79</f>
        <v/>
      </c>
      <c r="C79" s="15">
        <f>Catalog!D79</f>
        <v/>
      </c>
      <c r="D79" s="15">
        <f>Catalog!N79</f>
        <v/>
      </c>
      <c r="E79" s="15">
        <f>Catalog!F79</f>
        <v/>
      </c>
      <c r="F79" s="15">
        <f>IF(Catalog!W79="","",Catalog!W79&amp;" "&amp;Catalog!X79)</f>
        <v/>
      </c>
      <c r="G79" s="9" t="n"/>
    </row>
    <row r="80">
      <c r="A80" s="13">
        <f>Catalog!A80</f>
        <v/>
      </c>
      <c r="B80" s="13">
        <f>Catalog!C80</f>
        <v/>
      </c>
      <c r="C80" s="15">
        <f>Catalog!D80</f>
        <v/>
      </c>
      <c r="D80" s="15">
        <f>Catalog!N80</f>
        <v/>
      </c>
      <c r="E80" s="15">
        <f>Catalog!F80</f>
        <v/>
      </c>
      <c r="F80" s="15">
        <f>IF(Catalog!W80="","",Catalog!W80&amp;" "&amp;Catalog!X80)</f>
        <v/>
      </c>
      <c r="G80" s="9" t="n"/>
    </row>
    <row r="81">
      <c r="A81" s="13">
        <f>Catalog!A81</f>
        <v/>
      </c>
      <c r="B81" s="13">
        <f>Catalog!C81</f>
        <v/>
      </c>
      <c r="C81" s="15">
        <f>Catalog!D81</f>
        <v/>
      </c>
      <c r="D81" s="15">
        <f>Catalog!N81</f>
        <v/>
      </c>
      <c r="E81" s="15">
        <f>Catalog!F81</f>
        <v/>
      </c>
      <c r="F81" s="15">
        <f>IF(Catalog!W81="","",Catalog!W81&amp;" "&amp;Catalog!X81)</f>
        <v/>
      </c>
      <c r="G81" s="9" t="n"/>
    </row>
    <row r="82">
      <c r="A82" s="13">
        <f>Catalog!A82</f>
        <v/>
      </c>
      <c r="B82" s="13">
        <f>Catalog!C82</f>
        <v/>
      </c>
      <c r="C82" s="15">
        <f>Catalog!D82</f>
        <v/>
      </c>
      <c r="D82" s="15">
        <f>Catalog!N82</f>
        <v/>
      </c>
      <c r="E82" s="15">
        <f>Catalog!F82</f>
        <v/>
      </c>
      <c r="F82" s="15">
        <f>IF(Catalog!W82="","",Catalog!W82&amp;" "&amp;Catalog!X82)</f>
        <v/>
      </c>
      <c r="G82" s="9" t="n"/>
    </row>
    <row r="83">
      <c r="A83" s="13">
        <f>Catalog!A83</f>
        <v/>
      </c>
      <c r="B83" s="13">
        <f>Catalog!C83</f>
        <v/>
      </c>
      <c r="C83" s="15">
        <f>Catalog!D83</f>
        <v/>
      </c>
      <c r="D83" s="15">
        <f>Catalog!N83</f>
        <v/>
      </c>
      <c r="E83" s="15">
        <f>Catalog!F83</f>
        <v/>
      </c>
      <c r="F83" s="15">
        <f>IF(Catalog!W83="","",Catalog!W83&amp;" "&amp;Catalog!X83)</f>
        <v/>
      </c>
      <c r="G83" s="9" t="n"/>
    </row>
    <row r="84">
      <c r="A84" s="13">
        <f>Catalog!A84</f>
        <v/>
      </c>
      <c r="B84" s="13">
        <f>Catalog!C84</f>
        <v/>
      </c>
      <c r="C84" s="15">
        <f>Catalog!D84</f>
        <v/>
      </c>
      <c r="D84" s="15">
        <f>Catalog!N84</f>
        <v/>
      </c>
      <c r="E84" s="15">
        <f>Catalog!F84</f>
        <v/>
      </c>
      <c r="F84" s="15">
        <f>IF(Catalog!W84="","",Catalog!W84&amp;" "&amp;Catalog!X84)</f>
        <v/>
      </c>
      <c r="G84" s="9" t="n"/>
    </row>
    <row r="85">
      <c r="A85" s="13">
        <f>Catalog!A85</f>
        <v/>
      </c>
      <c r="B85" s="13">
        <f>Catalog!C85</f>
        <v/>
      </c>
      <c r="C85" s="15">
        <f>Catalog!D85</f>
        <v/>
      </c>
      <c r="D85" s="15">
        <f>Catalog!N85</f>
        <v/>
      </c>
      <c r="E85" s="15">
        <f>Catalog!F85</f>
        <v/>
      </c>
      <c r="F85" s="15">
        <f>IF(Catalog!W85="","",Catalog!W85&amp;" "&amp;Catalog!X85)</f>
        <v/>
      </c>
      <c r="G85" s="9" t="n"/>
    </row>
    <row r="86">
      <c r="A86" s="13">
        <f>Catalog!A86</f>
        <v/>
      </c>
      <c r="B86" s="13">
        <f>Catalog!C86</f>
        <v/>
      </c>
      <c r="C86" s="15">
        <f>Catalog!D86</f>
        <v/>
      </c>
      <c r="D86" s="15">
        <f>Catalog!N86</f>
        <v/>
      </c>
      <c r="E86" s="15">
        <f>Catalog!F86</f>
        <v/>
      </c>
      <c r="F86" s="15">
        <f>IF(Catalog!W86="","",Catalog!W86&amp;" "&amp;Catalog!X86)</f>
        <v/>
      </c>
      <c r="G86" s="9" t="n"/>
    </row>
    <row r="87">
      <c r="A87" s="13">
        <f>Catalog!A87</f>
        <v/>
      </c>
      <c r="B87" s="13">
        <f>Catalog!C87</f>
        <v/>
      </c>
      <c r="C87" s="15">
        <f>Catalog!D87</f>
        <v/>
      </c>
      <c r="D87" s="15">
        <f>Catalog!N87</f>
        <v/>
      </c>
      <c r="E87" s="15">
        <f>Catalog!F87</f>
        <v/>
      </c>
      <c r="F87" s="15">
        <f>IF(Catalog!W87="","",Catalog!W87&amp;" "&amp;Catalog!X87)</f>
        <v/>
      </c>
      <c r="G87" s="9" t="n"/>
    </row>
    <row r="88">
      <c r="A88" s="13">
        <f>Catalog!A88</f>
        <v/>
      </c>
      <c r="B88" s="13">
        <f>Catalog!C88</f>
        <v/>
      </c>
      <c r="C88" s="15">
        <f>Catalog!D88</f>
        <v/>
      </c>
      <c r="D88" s="15">
        <f>Catalog!N88</f>
        <v/>
      </c>
      <c r="E88" s="15">
        <f>Catalog!F88</f>
        <v/>
      </c>
      <c r="F88" s="15">
        <f>IF(Catalog!W88="","",Catalog!W88&amp;" "&amp;Catalog!X88)</f>
        <v/>
      </c>
      <c r="G88" s="9" t="n"/>
    </row>
    <row r="89">
      <c r="A89" s="13">
        <f>Catalog!A89</f>
        <v/>
      </c>
      <c r="B89" s="13">
        <f>Catalog!C89</f>
        <v/>
      </c>
      <c r="C89" s="15">
        <f>Catalog!D89</f>
        <v/>
      </c>
      <c r="D89" s="15">
        <f>Catalog!N89</f>
        <v/>
      </c>
      <c r="E89" s="15">
        <f>Catalog!F89</f>
        <v/>
      </c>
      <c r="F89" s="15">
        <f>IF(Catalog!W89="","",Catalog!W89&amp;" "&amp;Catalog!X89)</f>
        <v/>
      </c>
      <c r="G89" s="9" t="n"/>
    </row>
    <row r="90">
      <c r="A90" s="13">
        <f>Catalog!A90</f>
        <v/>
      </c>
      <c r="B90" s="13">
        <f>Catalog!C90</f>
        <v/>
      </c>
      <c r="C90" s="15">
        <f>Catalog!D90</f>
        <v/>
      </c>
      <c r="D90" s="15">
        <f>Catalog!N90</f>
        <v/>
      </c>
      <c r="E90" s="15">
        <f>Catalog!F90</f>
        <v/>
      </c>
      <c r="F90" s="15">
        <f>IF(Catalog!W90="","",Catalog!W90&amp;" "&amp;Catalog!X90)</f>
        <v/>
      </c>
      <c r="G90" s="9" t="n"/>
    </row>
    <row r="91">
      <c r="A91" s="13">
        <f>Catalog!A91</f>
        <v/>
      </c>
      <c r="B91" s="13">
        <f>Catalog!C91</f>
        <v/>
      </c>
      <c r="C91" s="15">
        <f>Catalog!D91</f>
        <v/>
      </c>
      <c r="D91" s="15">
        <f>Catalog!N91</f>
        <v/>
      </c>
      <c r="E91" s="15">
        <f>Catalog!F91</f>
        <v/>
      </c>
      <c r="F91" s="15">
        <f>IF(Catalog!W91="","",Catalog!W91&amp;" "&amp;Catalog!X91)</f>
        <v/>
      </c>
      <c r="G91" s="9" t="n"/>
    </row>
    <row r="92">
      <c r="A92" s="13">
        <f>Catalog!A92</f>
        <v/>
      </c>
      <c r="B92" s="13">
        <f>Catalog!C92</f>
        <v/>
      </c>
      <c r="C92" s="15">
        <f>Catalog!D92</f>
        <v/>
      </c>
      <c r="D92" s="15">
        <f>Catalog!N92</f>
        <v/>
      </c>
      <c r="E92" s="15">
        <f>Catalog!F92</f>
        <v/>
      </c>
      <c r="F92" s="15">
        <f>IF(Catalog!W92="","",Catalog!W92&amp;" "&amp;Catalog!X92)</f>
        <v/>
      </c>
      <c r="G92" s="9" t="n"/>
    </row>
    <row r="93">
      <c r="A93" s="13">
        <f>Catalog!A93</f>
        <v/>
      </c>
      <c r="B93" s="13">
        <f>Catalog!C93</f>
        <v/>
      </c>
      <c r="C93" s="15">
        <f>Catalog!D93</f>
        <v/>
      </c>
      <c r="D93" s="15">
        <f>Catalog!N93</f>
        <v/>
      </c>
      <c r="E93" s="15">
        <f>Catalog!F93</f>
        <v/>
      </c>
      <c r="F93" s="15">
        <f>IF(Catalog!W93="","",Catalog!W93&amp;" "&amp;Catalog!X93)</f>
        <v/>
      </c>
      <c r="G93" s="9" t="n"/>
    </row>
    <row r="94">
      <c r="A94" s="13">
        <f>Catalog!A94</f>
        <v/>
      </c>
      <c r="B94" s="13">
        <f>Catalog!C94</f>
        <v/>
      </c>
      <c r="C94" s="15">
        <f>Catalog!D94</f>
        <v/>
      </c>
      <c r="D94" s="15">
        <f>Catalog!N94</f>
        <v/>
      </c>
      <c r="E94" s="15">
        <f>Catalog!F94</f>
        <v/>
      </c>
      <c r="F94" s="15">
        <f>IF(Catalog!W94="","",Catalog!W94&amp;" "&amp;Catalog!X94)</f>
        <v/>
      </c>
      <c r="G94" s="9" t="n"/>
    </row>
    <row r="95">
      <c r="A95" s="13">
        <f>Catalog!A95</f>
        <v/>
      </c>
      <c r="B95" s="13">
        <f>Catalog!C95</f>
        <v/>
      </c>
      <c r="C95" s="15">
        <f>Catalog!D95</f>
        <v/>
      </c>
      <c r="D95" s="15">
        <f>Catalog!N95</f>
        <v/>
      </c>
      <c r="E95" s="15">
        <f>Catalog!F95</f>
        <v/>
      </c>
      <c r="F95" s="15">
        <f>IF(Catalog!W95="","",Catalog!W95&amp;" "&amp;Catalog!X95)</f>
        <v/>
      </c>
      <c r="G95" s="9" t="n"/>
    </row>
    <row r="96">
      <c r="A96" s="13">
        <f>Catalog!A96</f>
        <v/>
      </c>
      <c r="B96" s="13">
        <f>Catalog!C96</f>
        <v/>
      </c>
      <c r="C96" s="15">
        <f>Catalog!D96</f>
        <v/>
      </c>
      <c r="D96" s="15">
        <f>Catalog!N96</f>
        <v/>
      </c>
      <c r="E96" s="15">
        <f>Catalog!F96</f>
        <v/>
      </c>
      <c r="F96" s="15">
        <f>IF(Catalog!W96="","",Catalog!W96&amp;" "&amp;Catalog!X96)</f>
        <v/>
      </c>
      <c r="G96" s="9" t="n"/>
    </row>
    <row r="97">
      <c r="A97" s="13">
        <f>Catalog!A97</f>
        <v/>
      </c>
      <c r="B97" s="13">
        <f>Catalog!C97</f>
        <v/>
      </c>
      <c r="C97" s="15">
        <f>Catalog!D97</f>
        <v/>
      </c>
      <c r="D97" s="15">
        <f>Catalog!N97</f>
        <v/>
      </c>
      <c r="E97" s="15">
        <f>Catalog!F97</f>
        <v/>
      </c>
      <c r="F97" s="15">
        <f>IF(Catalog!W97="","",Catalog!W97&amp;" "&amp;Catalog!X97)</f>
        <v/>
      </c>
      <c r="G97" s="9" t="n"/>
    </row>
    <row r="98">
      <c r="A98" s="13">
        <f>Catalog!A98</f>
        <v/>
      </c>
      <c r="B98" s="13">
        <f>Catalog!C98</f>
        <v/>
      </c>
      <c r="C98" s="15">
        <f>Catalog!D98</f>
        <v/>
      </c>
      <c r="D98" s="15">
        <f>Catalog!N98</f>
        <v/>
      </c>
      <c r="E98" s="15">
        <f>Catalog!F98</f>
        <v/>
      </c>
      <c r="F98" s="15">
        <f>IF(Catalog!W98="","",Catalog!W98&amp;" "&amp;Catalog!X98)</f>
        <v/>
      </c>
      <c r="G98" s="9" t="n"/>
    </row>
    <row r="99">
      <c r="A99" s="13">
        <f>Catalog!A99</f>
        <v/>
      </c>
      <c r="B99" s="13">
        <f>Catalog!C99</f>
        <v/>
      </c>
      <c r="C99" s="15">
        <f>Catalog!D99</f>
        <v/>
      </c>
      <c r="D99" s="15">
        <f>Catalog!N99</f>
        <v/>
      </c>
      <c r="E99" s="15">
        <f>Catalog!F99</f>
        <v/>
      </c>
      <c r="F99" s="15">
        <f>IF(Catalog!W99="","",Catalog!W99&amp;" "&amp;Catalog!X99)</f>
        <v/>
      </c>
      <c r="G99" s="9" t="n"/>
    </row>
    <row r="100">
      <c r="A100" s="13">
        <f>Catalog!A100</f>
        <v/>
      </c>
      <c r="B100" s="13">
        <f>Catalog!C100</f>
        <v/>
      </c>
      <c r="C100" s="15">
        <f>Catalog!D100</f>
        <v/>
      </c>
      <c r="D100" s="15">
        <f>Catalog!N100</f>
        <v/>
      </c>
      <c r="E100" s="15">
        <f>Catalog!F100</f>
        <v/>
      </c>
      <c r="F100" s="15">
        <f>IF(Catalog!W100="","",Catalog!W100&amp;" "&amp;Catalog!X100)</f>
        <v/>
      </c>
      <c r="G100" s="9" t="n"/>
    </row>
    <row r="101">
      <c r="A101" s="13">
        <f>Catalog!A101</f>
        <v/>
      </c>
      <c r="B101" s="13">
        <f>Catalog!C101</f>
        <v/>
      </c>
      <c r="C101" s="15">
        <f>Catalog!D101</f>
        <v/>
      </c>
      <c r="D101" s="15">
        <f>Catalog!N101</f>
        <v/>
      </c>
      <c r="E101" s="15">
        <f>Catalog!F101</f>
        <v/>
      </c>
      <c r="F101" s="15">
        <f>IF(Catalog!W101="","",Catalog!W101&amp;" "&amp;Catalog!X101)</f>
        <v/>
      </c>
      <c r="G101" s="9" t="n"/>
    </row>
    <row r="102">
      <c r="A102" s="13">
        <f>Catalog!A102</f>
        <v/>
      </c>
      <c r="B102" s="13">
        <f>Catalog!C102</f>
        <v/>
      </c>
      <c r="C102" s="15">
        <f>Catalog!D102</f>
        <v/>
      </c>
      <c r="D102" s="15">
        <f>Catalog!N102</f>
        <v/>
      </c>
      <c r="E102" s="15">
        <f>Catalog!F102</f>
        <v/>
      </c>
      <c r="F102" s="15">
        <f>IF(Catalog!W102="","",Catalog!W102&amp;" "&amp;Catalog!X102)</f>
        <v/>
      </c>
      <c r="G102" s="9" t="n"/>
    </row>
    <row r="103">
      <c r="A103" s="13">
        <f>Catalog!A103</f>
        <v/>
      </c>
      <c r="B103" s="13">
        <f>Catalog!C103</f>
        <v/>
      </c>
      <c r="C103" s="15">
        <f>Catalog!D103</f>
        <v/>
      </c>
      <c r="D103" s="15">
        <f>Catalog!N103</f>
        <v/>
      </c>
      <c r="E103" s="15">
        <f>Catalog!F103</f>
        <v/>
      </c>
      <c r="F103" s="15">
        <f>IF(Catalog!W103="","",Catalog!W103&amp;" "&amp;Catalog!X103)</f>
        <v/>
      </c>
      <c r="G103" s="9" t="n"/>
    </row>
    <row r="104">
      <c r="A104" s="13">
        <f>Catalog!A104</f>
        <v/>
      </c>
      <c r="B104" s="13">
        <f>Catalog!C104</f>
        <v/>
      </c>
      <c r="C104" s="15">
        <f>Catalog!D104</f>
        <v/>
      </c>
      <c r="D104" s="15">
        <f>Catalog!N104</f>
        <v/>
      </c>
      <c r="E104" s="15">
        <f>Catalog!F104</f>
        <v/>
      </c>
      <c r="F104" s="15">
        <f>IF(Catalog!W104="","",Catalog!W104&amp;" "&amp;Catalog!X104)</f>
        <v/>
      </c>
      <c r="G104" s="9" t="n"/>
    </row>
    <row r="105">
      <c r="A105" s="13">
        <f>Catalog!A105</f>
        <v/>
      </c>
      <c r="B105" s="13">
        <f>Catalog!C105</f>
        <v/>
      </c>
      <c r="C105" s="15">
        <f>Catalog!D105</f>
        <v/>
      </c>
      <c r="D105" s="15">
        <f>Catalog!N105</f>
        <v/>
      </c>
      <c r="E105" s="15">
        <f>Catalog!F105</f>
        <v/>
      </c>
      <c r="F105" s="15">
        <f>IF(Catalog!W105="","",Catalog!W105&amp;" "&amp;Catalog!X105)</f>
        <v/>
      </c>
      <c r="G105" s="9" t="n"/>
    </row>
    <row r="106">
      <c r="A106" s="13">
        <f>Catalog!A106</f>
        <v/>
      </c>
      <c r="B106" s="13">
        <f>Catalog!C106</f>
        <v/>
      </c>
      <c r="C106" s="15">
        <f>Catalog!D106</f>
        <v/>
      </c>
      <c r="D106" s="15">
        <f>Catalog!N106</f>
        <v/>
      </c>
      <c r="E106" s="15">
        <f>Catalog!F106</f>
        <v/>
      </c>
      <c r="F106" s="15">
        <f>IF(Catalog!W106="","",Catalog!W106&amp;" "&amp;Catalog!X106)</f>
        <v/>
      </c>
      <c r="G106" s="9" t="n"/>
    </row>
    <row r="107">
      <c r="A107" s="13">
        <f>Catalog!A107</f>
        <v/>
      </c>
      <c r="B107" s="13">
        <f>Catalog!C107</f>
        <v/>
      </c>
      <c r="C107" s="15">
        <f>Catalog!D107</f>
        <v/>
      </c>
      <c r="D107" s="15">
        <f>Catalog!N107</f>
        <v/>
      </c>
      <c r="E107" s="15">
        <f>Catalog!F107</f>
        <v/>
      </c>
      <c r="F107" s="15">
        <f>IF(Catalog!W107="","",Catalog!W107&amp;" "&amp;Catalog!X107)</f>
        <v/>
      </c>
      <c r="G107" s="9" t="n"/>
    </row>
    <row r="108">
      <c r="A108" s="13">
        <f>Catalog!A108</f>
        <v/>
      </c>
      <c r="B108" s="13">
        <f>Catalog!C108</f>
        <v/>
      </c>
      <c r="C108" s="15">
        <f>Catalog!D108</f>
        <v/>
      </c>
      <c r="D108" s="15">
        <f>Catalog!N108</f>
        <v/>
      </c>
      <c r="E108" s="15">
        <f>Catalog!F108</f>
        <v/>
      </c>
      <c r="F108" s="15">
        <f>IF(Catalog!W108="","",Catalog!W108&amp;" "&amp;Catalog!X108)</f>
        <v/>
      </c>
      <c r="G108" s="9" t="n"/>
    </row>
    <row r="109">
      <c r="A109" s="13">
        <f>Catalog!A109</f>
        <v/>
      </c>
      <c r="B109" s="13">
        <f>Catalog!C109</f>
        <v/>
      </c>
      <c r="C109" s="15">
        <f>Catalog!D109</f>
        <v/>
      </c>
      <c r="D109" s="15">
        <f>Catalog!N109</f>
        <v/>
      </c>
      <c r="E109" s="15">
        <f>Catalog!F109</f>
        <v/>
      </c>
      <c r="F109" s="15">
        <f>IF(Catalog!W109="","",Catalog!W109&amp;" "&amp;Catalog!X109)</f>
        <v/>
      </c>
      <c r="G109" s="9" t="n"/>
    </row>
    <row r="110">
      <c r="A110" s="13">
        <f>Catalog!A110</f>
        <v/>
      </c>
      <c r="B110" s="13">
        <f>Catalog!C110</f>
        <v/>
      </c>
      <c r="C110" s="15">
        <f>Catalog!D110</f>
        <v/>
      </c>
      <c r="D110" s="15">
        <f>Catalog!N110</f>
        <v/>
      </c>
      <c r="E110" s="15">
        <f>Catalog!F110</f>
        <v/>
      </c>
      <c r="F110" s="15">
        <f>IF(Catalog!W110="","",Catalog!W110&amp;" "&amp;Catalog!X110)</f>
        <v/>
      </c>
      <c r="G110" s="9" t="n"/>
    </row>
    <row r="111">
      <c r="A111" s="13">
        <f>Catalog!A111</f>
        <v/>
      </c>
      <c r="B111" s="13">
        <f>Catalog!C111</f>
        <v/>
      </c>
      <c r="C111" s="15">
        <f>Catalog!D111</f>
        <v/>
      </c>
      <c r="D111" s="15">
        <f>Catalog!N111</f>
        <v/>
      </c>
      <c r="E111" s="15">
        <f>Catalog!F111</f>
        <v/>
      </c>
      <c r="F111" s="15">
        <f>IF(Catalog!W111="","",Catalog!W111&amp;" "&amp;Catalog!X111)</f>
        <v/>
      </c>
      <c r="G111" s="9" t="n"/>
    </row>
    <row r="112">
      <c r="A112" s="13">
        <f>Catalog!A112</f>
        <v/>
      </c>
      <c r="B112" s="13">
        <f>Catalog!C112</f>
        <v/>
      </c>
      <c r="C112" s="15">
        <f>Catalog!D112</f>
        <v/>
      </c>
      <c r="D112" s="15">
        <f>Catalog!N112</f>
        <v/>
      </c>
      <c r="E112" s="15">
        <f>Catalog!F112</f>
        <v/>
      </c>
      <c r="F112" s="15">
        <f>IF(Catalog!W112="","",Catalog!W112&amp;" "&amp;Catalog!X112)</f>
        <v/>
      </c>
      <c r="G112" s="9" t="n"/>
    </row>
    <row r="113">
      <c r="A113" s="13">
        <f>Catalog!A113</f>
        <v/>
      </c>
      <c r="B113" s="13">
        <f>Catalog!C113</f>
        <v/>
      </c>
      <c r="C113" s="15">
        <f>Catalog!D113</f>
        <v/>
      </c>
      <c r="D113" s="15">
        <f>Catalog!N113</f>
        <v/>
      </c>
      <c r="E113" s="15">
        <f>Catalog!F113</f>
        <v/>
      </c>
      <c r="F113" s="15">
        <f>IF(Catalog!W113="","",Catalog!W113&amp;" "&amp;Catalog!X113)</f>
        <v/>
      </c>
      <c r="G113" s="9" t="n"/>
    </row>
    <row r="114">
      <c r="A114" s="13">
        <f>Catalog!A114</f>
        <v/>
      </c>
      <c r="B114" s="13">
        <f>Catalog!C114</f>
        <v/>
      </c>
      <c r="C114" s="15">
        <f>Catalog!D114</f>
        <v/>
      </c>
      <c r="D114" s="15">
        <f>Catalog!N114</f>
        <v/>
      </c>
      <c r="E114" s="15">
        <f>Catalog!F114</f>
        <v/>
      </c>
      <c r="F114" s="15">
        <f>IF(Catalog!W114="","",Catalog!W114&amp;" "&amp;Catalog!X114)</f>
        <v/>
      </c>
      <c r="G114" s="9" t="n"/>
    </row>
    <row r="115">
      <c r="A115" s="13">
        <f>Catalog!A115</f>
        <v/>
      </c>
      <c r="B115" s="13">
        <f>Catalog!C115</f>
        <v/>
      </c>
      <c r="C115" s="15">
        <f>Catalog!D115</f>
        <v/>
      </c>
      <c r="D115" s="15">
        <f>Catalog!N115</f>
        <v/>
      </c>
      <c r="E115" s="15">
        <f>Catalog!F115</f>
        <v/>
      </c>
      <c r="F115" s="15">
        <f>IF(Catalog!W115="","",Catalog!W115&amp;" "&amp;Catalog!X115)</f>
        <v/>
      </c>
      <c r="G115" s="9" t="n"/>
    </row>
    <row r="116">
      <c r="A116" s="13">
        <f>Catalog!A116</f>
        <v/>
      </c>
      <c r="B116" s="13">
        <f>Catalog!C116</f>
        <v/>
      </c>
      <c r="C116" s="15">
        <f>Catalog!D116</f>
        <v/>
      </c>
      <c r="D116" s="15">
        <f>Catalog!N116</f>
        <v/>
      </c>
      <c r="E116" s="15">
        <f>Catalog!F116</f>
        <v/>
      </c>
      <c r="F116" s="15">
        <f>IF(Catalog!W116="","",Catalog!W116&amp;" "&amp;Catalog!X116)</f>
        <v/>
      </c>
      <c r="G116" s="9" t="n"/>
    </row>
    <row r="117">
      <c r="A117" s="13">
        <f>Catalog!A117</f>
        <v/>
      </c>
      <c r="B117" s="13">
        <f>Catalog!C117</f>
        <v/>
      </c>
      <c r="C117" s="15">
        <f>Catalog!D117</f>
        <v/>
      </c>
      <c r="D117" s="15">
        <f>Catalog!N117</f>
        <v/>
      </c>
      <c r="E117" s="15">
        <f>Catalog!F117</f>
        <v/>
      </c>
      <c r="F117" s="15">
        <f>IF(Catalog!W117="","",Catalog!W117&amp;" "&amp;Catalog!X117)</f>
        <v/>
      </c>
      <c r="G117" s="9" t="n"/>
    </row>
    <row r="118">
      <c r="A118" s="13">
        <f>Catalog!A118</f>
        <v/>
      </c>
      <c r="B118" s="13">
        <f>Catalog!C118</f>
        <v/>
      </c>
      <c r="C118" s="15">
        <f>Catalog!D118</f>
        <v/>
      </c>
      <c r="D118" s="15">
        <f>Catalog!N118</f>
        <v/>
      </c>
      <c r="E118" s="15">
        <f>Catalog!F118</f>
        <v/>
      </c>
      <c r="F118" s="15">
        <f>IF(Catalog!W118="","",Catalog!W118&amp;" "&amp;Catalog!X118)</f>
        <v/>
      </c>
      <c r="G118" s="9" t="n"/>
    </row>
    <row r="119">
      <c r="A119" s="13">
        <f>Catalog!A119</f>
        <v/>
      </c>
      <c r="B119" s="13">
        <f>Catalog!C119</f>
        <v/>
      </c>
      <c r="C119" s="15">
        <f>Catalog!D119</f>
        <v/>
      </c>
      <c r="D119" s="15">
        <f>Catalog!N119</f>
        <v/>
      </c>
      <c r="E119" s="15">
        <f>Catalog!F119</f>
        <v/>
      </c>
      <c r="F119" s="15">
        <f>IF(Catalog!W119="","",Catalog!W119&amp;" "&amp;Catalog!X119)</f>
        <v/>
      </c>
      <c r="G119" s="9" t="n"/>
    </row>
    <row r="120">
      <c r="A120" s="13">
        <f>Catalog!A120</f>
        <v/>
      </c>
      <c r="B120" s="13">
        <f>Catalog!C120</f>
        <v/>
      </c>
      <c r="C120" s="15">
        <f>Catalog!D120</f>
        <v/>
      </c>
      <c r="D120" s="15">
        <f>Catalog!N120</f>
        <v/>
      </c>
      <c r="E120" s="15">
        <f>Catalog!F120</f>
        <v/>
      </c>
      <c r="F120" s="15">
        <f>IF(Catalog!W120="","",Catalog!W120&amp;" "&amp;Catalog!X120)</f>
        <v/>
      </c>
      <c r="G120" s="9" t="n"/>
    </row>
    <row r="121">
      <c r="A121" s="13">
        <f>Catalog!A121</f>
        <v/>
      </c>
      <c r="B121" s="13">
        <f>Catalog!C121</f>
        <v/>
      </c>
      <c r="C121" s="15">
        <f>Catalog!D121</f>
        <v/>
      </c>
      <c r="D121" s="15">
        <f>Catalog!N121</f>
        <v/>
      </c>
      <c r="E121" s="15">
        <f>Catalog!F121</f>
        <v/>
      </c>
      <c r="F121" s="15">
        <f>IF(Catalog!W121="","",Catalog!W121&amp;" "&amp;Catalog!X121)</f>
        <v/>
      </c>
      <c r="G121" s="9" t="n"/>
    </row>
    <row r="122">
      <c r="A122" s="13">
        <f>Catalog!A122</f>
        <v/>
      </c>
      <c r="B122" s="13">
        <f>Catalog!C122</f>
        <v/>
      </c>
      <c r="C122" s="15">
        <f>Catalog!D122</f>
        <v/>
      </c>
      <c r="D122" s="15">
        <f>Catalog!N122</f>
        <v/>
      </c>
      <c r="E122" s="15">
        <f>Catalog!F122</f>
        <v/>
      </c>
      <c r="F122" s="15">
        <f>IF(Catalog!W122="","",Catalog!W122&amp;" "&amp;Catalog!X122)</f>
        <v/>
      </c>
      <c r="G122" s="9" t="n"/>
    </row>
    <row r="123">
      <c r="A123" s="13">
        <f>Catalog!A123</f>
        <v/>
      </c>
      <c r="B123" s="13">
        <f>Catalog!C123</f>
        <v/>
      </c>
      <c r="C123" s="15">
        <f>Catalog!D123</f>
        <v/>
      </c>
      <c r="D123" s="15">
        <f>Catalog!N123</f>
        <v/>
      </c>
      <c r="E123" s="15">
        <f>Catalog!F123</f>
        <v/>
      </c>
      <c r="F123" s="15">
        <f>IF(Catalog!W123="","",Catalog!W123&amp;" "&amp;Catalog!X123)</f>
        <v/>
      </c>
      <c r="G123" s="9" t="n"/>
    </row>
    <row r="124">
      <c r="A124" s="13">
        <f>Catalog!A124</f>
        <v/>
      </c>
      <c r="B124" s="13">
        <f>Catalog!C124</f>
        <v/>
      </c>
      <c r="C124" s="15">
        <f>Catalog!D124</f>
        <v/>
      </c>
      <c r="D124" s="15">
        <f>Catalog!N124</f>
        <v/>
      </c>
      <c r="E124" s="15">
        <f>Catalog!F124</f>
        <v/>
      </c>
      <c r="F124" s="15">
        <f>IF(Catalog!W124="","",Catalog!W124&amp;" "&amp;Catalog!X124)</f>
        <v/>
      </c>
      <c r="G124" s="9" t="n"/>
    </row>
    <row r="125">
      <c r="A125" s="13">
        <f>Catalog!A125</f>
        <v/>
      </c>
      <c r="B125" s="13">
        <f>Catalog!C125</f>
        <v/>
      </c>
      <c r="C125" s="15">
        <f>Catalog!D125</f>
        <v/>
      </c>
      <c r="D125" s="15">
        <f>Catalog!N125</f>
        <v/>
      </c>
      <c r="E125" s="15">
        <f>Catalog!F125</f>
        <v/>
      </c>
      <c r="F125" s="15">
        <f>IF(Catalog!W125="","",Catalog!W125&amp;" "&amp;Catalog!X125)</f>
        <v/>
      </c>
      <c r="G125" s="9" t="n"/>
    </row>
    <row r="126">
      <c r="A126" s="13">
        <f>Catalog!A126</f>
        <v/>
      </c>
      <c r="B126" s="13">
        <f>Catalog!C126</f>
        <v/>
      </c>
      <c r="C126" s="15">
        <f>Catalog!D126</f>
        <v/>
      </c>
      <c r="D126" s="15">
        <f>Catalog!N126</f>
        <v/>
      </c>
      <c r="E126" s="15">
        <f>Catalog!F126</f>
        <v/>
      </c>
      <c r="F126" s="15">
        <f>IF(Catalog!W126="","",Catalog!W126&amp;" "&amp;Catalog!X126)</f>
        <v/>
      </c>
      <c r="G126" s="9" t="n"/>
    </row>
    <row r="127">
      <c r="A127" s="13">
        <f>Catalog!A127</f>
        <v/>
      </c>
      <c r="B127" s="13">
        <f>Catalog!C127</f>
        <v/>
      </c>
      <c r="C127" s="15">
        <f>Catalog!D127</f>
        <v/>
      </c>
      <c r="D127" s="15">
        <f>Catalog!N127</f>
        <v/>
      </c>
      <c r="E127" s="15">
        <f>Catalog!F127</f>
        <v/>
      </c>
      <c r="F127" s="15">
        <f>IF(Catalog!W127="","",Catalog!W127&amp;" "&amp;Catalog!X127)</f>
        <v/>
      </c>
      <c r="G127" s="9" t="n"/>
    </row>
    <row r="128">
      <c r="A128" s="13">
        <f>Catalog!A128</f>
        <v/>
      </c>
      <c r="B128" s="13">
        <f>Catalog!C128</f>
        <v/>
      </c>
      <c r="C128" s="15">
        <f>Catalog!D128</f>
        <v/>
      </c>
      <c r="D128" s="15">
        <f>Catalog!N128</f>
        <v/>
      </c>
      <c r="E128" s="15">
        <f>Catalog!F128</f>
        <v/>
      </c>
      <c r="F128" s="15">
        <f>IF(Catalog!W128="","",Catalog!W128&amp;" "&amp;Catalog!X128)</f>
        <v/>
      </c>
      <c r="G128" s="9" t="n"/>
    </row>
    <row r="129">
      <c r="A129" s="13">
        <f>Catalog!A129</f>
        <v/>
      </c>
      <c r="B129" s="13">
        <f>Catalog!C129</f>
        <v/>
      </c>
      <c r="C129" s="15">
        <f>Catalog!D129</f>
        <v/>
      </c>
      <c r="D129" s="15">
        <f>Catalog!N129</f>
        <v/>
      </c>
      <c r="E129" s="15">
        <f>Catalog!F129</f>
        <v/>
      </c>
      <c r="F129" s="15">
        <f>IF(Catalog!W129="","",Catalog!W129&amp;" "&amp;Catalog!X129)</f>
        <v/>
      </c>
      <c r="G129" s="9" t="n"/>
    </row>
    <row r="130">
      <c r="A130" s="13">
        <f>Catalog!A130</f>
        <v/>
      </c>
      <c r="B130" s="13">
        <f>Catalog!C130</f>
        <v/>
      </c>
      <c r="C130" s="15">
        <f>Catalog!D130</f>
        <v/>
      </c>
      <c r="D130" s="15">
        <f>Catalog!N130</f>
        <v/>
      </c>
      <c r="E130" s="15">
        <f>Catalog!F130</f>
        <v/>
      </c>
      <c r="F130" s="15">
        <f>IF(Catalog!W130="","",Catalog!W130&amp;" "&amp;Catalog!X130)</f>
        <v/>
      </c>
      <c r="G130" s="9" t="n"/>
    </row>
    <row r="131">
      <c r="A131" s="13">
        <f>Catalog!A131</f>
        <v/>
      </c>
      <c r="B131" s="13">
        <f>Catalog!C131</f>
        <v/>
      </c>
      <c r="C131" s="15">
        <f>Catalog!D131</f>
        <v/>
      </c>
      <c r="D131" s="15">
        <f>Catalog!N131</f>
        <v/>
      </c>
      <c r="E131" s="15">
        <f>Catalog!F131</f>
        <v/>
      </c>
      <c r="F131" s="15">
        <f>IF(Catalog!W131="","",Catalog!W131&amp;" "&amp;Catalog!X131)</f>
        <v/>
      </c>
      <c r="G131" s="9" t="n"/>
    </row>
    <row r="132">
      <c r="A132" s="13">
        <f>Catalog!A132</f>
        <v/>
      </c>
      <c r="B132" s="13">
        <f>Catalog!C132</f>
        <v/>
      </c>
      <c r="C132" s="15">
        <f>Catalog!D132</f>
        <v/>
      </c>
      <c r="D132" s="15">
        <f>Catalog!N132</f>
        <v/>
      </c>
      <c r="E132" s="15">
        <f>Catalog!F132</f>
        <v/>
      </c>
      <c r="F132" s="15">
        <f>IF(Catalog!W132="","",Catalog!W132&amp;" "&amp;Catalog!X132)</f>
        <v/>
      </c>
      <c r="G132" s="9" t="n"/>
    </row>
    <row r="133">
      <c r="A133" s="13">
        <f>Catalog!A133</f>
        <v/>
      </c>
      <c r="B133" s="13">
        <f>Catalog!C133</f>
        <v/>
      </c>
      <c r="C133" s="15">
        <f>Catalog!D133</f>
        <v/>
      </c>
      <c r="D133" s="15">
        <f>Catalog!N133</f>
        <v/>
      </c>
      <c r="E133" s="15">
        <f>Catalog!F133</f>
        <v/>
      </c>
      <c r="F133" s="15">
        <f>IF(Catalog!W133="","",Catalog!W133&amp;" "&amp;Catalog!X133)</f>
        <v/>
      </c>
      <c r="G133" s="9" t="n"/>
    </row>
    <row r="134">
      <c r="A134" s="13">
        <f>Catalog!A134</f>
        <v/>
      </c>
      <c r="B134" s="13">
        <f>Catalog!C134</f>
        <v/>
      </c>
      <c r="C134" s="15">
        <f>Catalog!D134</f>
        <v/>
      </c>
      <c r="D134" s="15">
        <f>Catalog!N134</f>
        <v/>
      </c>
      <c r="E134" s="15">
        <f>Catalog!F134</f>
        <v/>
      </c>
      <c r="F134" s="15">
        <f>IF(Catalog!W134="","",Catalog!W134&amp;" "&amp;Catalog!X134)</f>
        <v/>
      </c>
      <c r="G134" s="9" t="n"/>
    </row>
    <row r="135">
      <c r="A135" s="13">
        <f>Catalog!A135</f>
        <v/>
      </c>
      <c r="B135" s="13">
        <f>Catalog!C135</f>
        <v/>
      </c>
      <c r="C135" s="15">
        <f>Catalog!D135</f>
        <v/>
      </c>
      <c r="D135" s="15">
        <f>Catalog!N135</f>
        <v/>
      </c>
      <c r="E135" s="15">
        <f>Catalog!F135</f>
        <v/>
      </c>
      <c r="F135" s="15">
        <f>IF(Catalog!W135="","",Catalog!W135&amp;" "&amp;Catalog!X135)</f>
        <v/>
      </c>
      <c r="G135" s="9" t="n"/>
    </row>
    <row r="136">
      <c r="A136" s="13">
        <f>Catalog!A136</f>
        <v/>
      </c>
      <c r="B136" s="13">
        <f>Catalog!C136</f>
        <v/>
      </c>
      <c r="C136" s="15">
        <f>Catalog!D136</f>
        <v/>
      </c>
      <c r="D136" s="15">
        <f>Catalog!N136</f>
        <v/>
      </c>
      <c r="E136" s="15">
        <f>Catalog!F136</f>
        <v/>
      </c>
      <c r="F136" s="15">
        <f>IF(Catalog!W136="","",Catalog!W136&amp;" "&amp;Catalog!X136)</f>
        <v/>
      </c>
      <c r="G136" s="9" t="n"/>
    </row>
    <row r="137">
      <c r="A137" s="13">
        <f>Catalog!A137</f>
        <v/>
      </c>
      <c r="B137" s="13">
        <f>Catalog!C137</f>
        <v/>
      </c>
      <c r="C137" s="15">
        <f>Catalog!D137</f>
        <v/>
      </c>
      <c r="D137" s="15">
        <f>Catalog!N137</f>
        <v/>
      </c>
      <c r="E137" s="15">
        <f>Catalog!F137</f>
        <v/>
      </c>
      <c r="F137" s="15">
        <f>IF(Catalog!W137="","",Catalog!W137&amp;" "&amp;Catalog!X137)</f>
        <v/>
      </c>
      <c r="G137" s="9" t="n"/>
    </row>
    <row r="138">
      <c r="A138" s="13">
        <f>Catalog!A138</f>
        <v/>
      </c>
      <c r="B138" s="13">
        <f>Catalog!C138</f>
        <v/>
      </c>
      <c r="C138" s="15">
        <f>Catalog!D138</f>
        <v/>
      </c>
      <c r="D138" s="15">
        <f>Catalog!N138</f>
        <v/>
      </c>
      <c r="E138" s="15">
        <f>Catalog!F138</f>
        <v/>
      </c>
      <c r="F138" s="15">
        <f>IF(Catalog!W138="","",Catalog!W138&amp;" "&amp;Catalog!X138)</f>
        <v/>
      </c>
      <c r="G138" s="9" t="n"/>
    </row>
    <row r="139">
      <c r="A139" s="13">
        <f>Catalog!A139</f>
        <v/>
      </c>
      <c r="B139" s="13">
        <f>Catalog!C139</f>
        <v/>
      </c>
      <c r="C139" s="15">
        <f>Catalog!D139</f>
        <v/>
      </c>
      <c r="D139" s="15">
        <f>Catalog!N139</f>
        <v/>
      </c>
      <c r="E139" s="15">
        <f>Catalog!F139</f>
        <v/>
      </c>
      <c r="F139" s="15">
        <f>IF(Catalog!W139="","",Catalog!W139&amp;" "&amp;Catalog!X139)</f>
        <v/>
      </c>
      <c r="G139" s="9" t="n"/>
    </row>
    <row r="140">
      <c r="A140" s="13">
        <f>Catalog!A140</f>
        <v/>
      </c>
      <c r="B140" s="13">
        <f>Catalog!C140</f>
        <v/>
      </c>
      <c r="C140" s="15">
        <f>Catalog!D140</f>
        <v/>
      </c>
      <c r="D140" s="15">
        <f>Catalog!N140</f>
        <v/>
      </c>
      <c r="E140" s="15">
        <f>Catalog!F140</f>
        <v/>
      </c>
      <c r="F140" s="15">
        <f>IF(Catalog!W140="","",Catalog!W140&amp;" "&amp;Catalog!X140)</f>
        <v/>
      </c>
      <c r="G140" s="9" t="n"/>
    </row>
    <row r="141">
      <c r="A141" s="13">
        <f>Catalog!A141</f>
        <v/>
      </c>
      <c r="B141" s="13">
        <f>Catalog!C141</f>
        <v/>
      </c>
      <c r="C141" s="15">
        <f>Catalog!D141</f>
        <v/>
      </c>
      <c r="D141" s="15">
        <f>Catalog!N141</f>
        <v/>
      </c>
      <c r="E141" s="15">
        <f>Catalog!F141</f>
        <v/>
      </c>
      <c r="F141" s="15">
        <f>IF(Catalog!W141="","",Catalog!W141&amp;" "&amp;Catalog!X141)</f>
        <v/>
      </c>
      <c r="G141" s="9" t="n"/>
    </row>
    <row r="142">
      <c r="A142" s="13">
        <f>Catalog!A142</f>
        <v/>
      </c>
      <c r="B142" s="13">
        <f>Catalog!C142</f>
        <v/>
      </c>
      <c r="C142" s="15">
        <f>Catalog!D142</f>
        <v/>
      </c>
      <c r="D142" s="15">
        <f>Catalog!N142</f>
        <v/>
      </c>
      <c r="E142" s="15">
        <f>Catalog!F142</f>
        <v/>
      </c>
      <c r="F142" s="15">
        <f>IF(Catalog!W142="","",Catalog!W142&amp;" "&amp;Catalog!X142)</f>
        <v/>
      </c>
      <c r="G142" s="9" t="n"/>
    </row>
    <row r="143">
      <c r="A143" s="13">
        <f>Catalog!A143</f>
        <v/>
      </c>
      <c r="B143" s="13">
        <f>Catalog!C143</f>
        <v/>
      </c>
      <c r="C143" s="15">
        <f>Catalog!D143</f>
        <v/>
      </c>
      <c r="D143" s="15">
        <f>Catalog!N143</f>
        <v/>
      </c>
      <c r="E143" s="15">
        <f>Catalog!F143</f>
        <v/>
      </c>
      <c r="F143" s="15">
        <f>IF(Catalog!W143="","",Catalog!W143&amp;" "&amp;Catalog!X143)</f>
        <v/>
      </c>
      <c r="G143" s="9" t="n"/>
    </row>
    <row r="144">
      <c r="A144" s="13">
        <f>Catalog!A144</f>
        <v/>
      </c>
      <c r="B144" s="13">
        <f>Catalog!C144</f>
        <v/>
      </c>
      <c r="C144" s="15">
        <f>Catalog!D144</f>
        <v/>
      </c>
      <c r="D144" s="15">
        <f>Catalog!N144</f>
        <v/>
      </c>
      <c r="E144" s="15">
        <f>Catalog!F144</f>
        <v/>
      </c>
      <c r="F144" s="15">
        <f>IF(Catalog!W144="","",Catalog!W144&amp;" "&amp;Catalog!X144)</f>
        <v/>
      </c>
      <c r="G144" s="9" t="n"/>
    </row>
    <row r="145">
      <c r="A145" s="13">
        <f>Catalog!A145</f>
        <v/>
      </c>
      <c r="B145" s="13">
        <f>Catalog!C145</f>
        <v/>
      </c>
      <c r="C145" s="15">
        <f>Catalog!D145</f>
        <v/>
      </c>
      <c r="D145" s="15">
        <f>Catalog!N145</f>
        <v/>
      </c>
      <c r="E145" s="15">
        <f>Catalog!F145</f>
        <v/>
      </c>
      <c r="F145" s="15">
        <f>IF(Catalog!W145="","",Catalog!W145&amp;" "&amp;Catalog!X145)</f>
        <v/>
      </c>
      <c r="G145" s="9" t="n"/>
    </row>
    <row r="146">
      <c r="A146" s="13">
        <f>Catalog!A146</f>
        <v/>
      </c>
      <c r="B146" s="13">
        <f>Catalog!C146</f>
        <v/>
      </c>
      <c r="C146" s="15">
        <f>Catalog!D146</f>
        <v/>
      </c>
      <c r="D146" s="15">
        <f>Catalog!N146</f>
        <v/>
      </c>
      <c r="E146" s="15">
        <f>Catalog!F146</f>
        <v/>
      </c>
      <c r="F146" s="15">
        <f>IF(Catalog!W146="","",Catalog!W146&amp;" "&amp;Catalog!X146)</f>
        <v/>
      </c>
      <c r="G146" s="9" t="n"/>
    </row>
    <row r="147">
      <c r="A147" s="13">
        <f>Catalog!A147</f>
        <v/>
      </c>
      <c r="B147" s="13">
        <f>Catalog!C147</f>
        <v/>
      </c>
      <c r="C147" s="15">
        <f>Catalog!D147</f>
        <v/>
      </c>
      <c r="D147" s="15">
        <f>Catalog!N147</f>
        <v/>
      </c>
      <c r="E147" s="15">
        <f>Catalog!F147</f>
        <v/>
      </c>
      <c r="F147" s="15">
        <f>IF(Catalog!W147="","",Catalog!W147&amp;" "&amp;Catalog!X147)</f>
        <v/>
      </c>
      <c r="G147" s="9" t="n"/>
    </row>
    <row r="148">
      <c r="A148" s="13">
        <f>Catalog!A148</f>
        <v/>
      </c>
      <c r="B148" s="13">
        <f>Catalog!C148</f>
        <v/>
      </c>
      <c r="C148" s="15">
        <f>Catalog!D148</f>
        <v/>
      </c>
      <c r="D148" s="15">
        <f>Catalog!N148</f>
        <v/>
      </c>
      <c r="E148" s="15">
        <f>Catalog!F148</f>
        <v/>
      </c>
      <c r="F148" s="15">
        <f>IF(Catalog!W148="","",Catalog!W148&amp;" "&amp;Catalog!X148)</f>
        <v/>
      </c>
      <c r="G148" s="9" t="n"/>
    </row>
    <row r="149">
      <c r="A149" s="13">
        <f>Catalog!A149</f>
        <v/>
      </c>
      <c r="B149" s="13">
        <f>Catalog!C149</f>
        <v/>
      </c>
      <c r="C149" s="15">
        <f>Catalog!D149</f>
        <v/>
      </c>
      <c r="D149" s="15">
        <f>Catalog!N149</f>
        <v/>
      </c>
      <c r="E149" s="15">
        <f>Catalog!F149</f>
        <v/>
      </c>
      <c r="F149" s="15">
        <f>IF(Catalog!W149="","",Catalog!W149&amp;" "&amp;Catalog!X149)</f>
        <v/>
      </c>
      <c r="G149" s="9" t="n"/>
    </row>
    <row r="150">
      <c r="A150" s="13">
        <f>Catalog!A150</f>
        <v/>
      </c>
      <c r="B150" s="13">
        <f>Catalog!C150</f>
        <v/>
      </c>
      <c r="C150" s="15">
        <f>Catalog!D150</f>
        <v/>
      </c>
      <c r="D150" s="15">
        <f>Catalog!N150</f>
        <v/>
      </c>
      <c r="E150" s="15">
        <f>Catalog!F150</f>
        <v/>
      </c>
      <c r="F150" s="15">
        <f>IF(Catalog!W150="","",Catalog!W150&amp;" "&amp;Catalog!X150)</f>
        <v/>
      </c>
      <c r="G150" s="9" t="n"/>
    </row>
    <row r="151">
      <c r="A151" s="13">
        <f>Catalog!A151</f>
        <v/>
      </c>
      <c r="B151" s="13">
        <f>Catalog!C151</f>
        <v/>
      </c>
      <c r="C151" s="15">
        <f>Catalog!D151</f>
        <v/>
      </c>
      <c r="D151" s="15">
        <f>Catalog!N151</f>
        <v/>
      </c>
      <c r="E151" s="15">
        <f>Catalog!F151</f>
        <v/>
      </c>
      <c r="F151" s="15">
        <f>IF(Catalog!W151="","",Catalog!W151&amp;" "&amp;Catalog!X151)</f>
        <v/>
      </c>
      <c r="G151" s="9" t="n"/>
    </row>
    <row r="152">
      <c r="A152" s="13">
        <f>Catalog!A152</f>
        <v/>
      </c>
      <c r="B152" s="13">
        <f>Catalog!C152</f>
        <v/>
      </c>
      <c r="C152" s="15">
        <f>Catalog!D152</f>
        <v/>
      </c>
      <c r="D152" s="15">
        <f>Catalog!N152</f>
        <v/>
      </c>
      <c r="E152" s="15">
        <f>Catalog!F152</f>
        <v/>
      </c>
      <c r="F152" s="15">
        <f>IF(Catalog!W152="","",Catalog!W152&amp;" "&amp;Catalog!X152)</f>
        <v/>
      </c>
      <c r="G152" s="9" t="n"/>
    </row>
    <row r="153">
      <c r="A153" s="13">
        <f>Catalog!A153</f>
        <v/>
      </c>
      <c r="B153" s="13">
        <f>Catalog!C153</f>
        <v/>
      </c>
      <c r="C153" s="15">
        <f>Catalog!D153</f>
        <v/>
      </c>
      <c r="D153" s="15">
        <f>Catalog!N153</f>
        <v/>
      </c>
      <c r="E153" s="15">
        <f>Catalog!F153</f>
        <v/>
      </c>
      <c r="F153" s="15">
        <f>IF(Catalog!W153="","",Catalog!W153&amp;" "&amp;Catalog!X153)</f>
        <v/>
      </c>
      <c r="G153" s="9" t="n"/>
    </row>
    <row r="154">
      <c r="A154" s="13">
        <f>Catalog!A154</f>
        <v/>
      </c>
      <c r="B154" s="13">
        <f>Catalog!C154</f>
        <v/>
      </c>
      <c r="C154" s="15">
        <f>Catalog!D154</f>
        <v/>
      </c>
      <c r="D154" s="15">
        <f>Catalog!N154</f>
        <v/>
      </c>
      <c r="E154" s="15">
        <f>Catalog!F154</f>
        <v/>
      </c>
      <c r="F154" s="15">
        <f>IF(Catalog!W154="","",Catalog!W154&amp;" "&amp;Catalog!X154)</f>
        <v/>
      </c>
      <c r="G154" s="9" t="n"/>
    </row>
    <row r="155">
      <c r="A155" s="13">
        <f>Catalog!A155</f>
        <v/>
      </c>
      <c r="B155" s="13">
        <f>Catalog!C155</f>
        <v/>
      </c>
      <c r="C155" s="15">
        <f>Catalog!D155</f>
        <v/>
      </c>
      <c r="D155" s="15">
        <f>Catalog!N155</f>
        <v/>
      </c>
      <c r="E155" s="15">
        <f>Catalog!F155</f>
        <v/>
      </c>
      <c r="F155" s="15">
        <f>IF(Catalog!W155="","",Catalog!W155&amp;" "&amp;Catalog!X155)</f>
        <v/>
      </c>
      <c r="G155" s="9" t="n"/>
    </row>
    <row r="156">
      <c r="A156" s="13">
        <f>Catalog!A156</f>
        <v/>
      </c>
      <c r="B156" s="13">
        <f>Catalog!C156</f>
        <v/>
      </c>
      <c r="C156" s="15">
        <f>Catalog!D156</f>
        <v/>
      </c>
      <c r="D156" s="15">
        <f>Catalog!N156</f>
        <v/>
      </c>
      <c r="E156" s="15">
        <f>Catalog!F156</f>
        <v/>
      </c>
      <c r="F156" s="15">
        <f>IF(Catalog!W156="","",Catalog!W156&amp;" "&amp;Catalog!X156)</f>
        <v/>
      </c>
      <c r="G156" s="9" t="n"/>
    </row>
    <row r="157">
      <c r="A157" s="13">
        <f>Catalog!A157</f>
        <v/>
      </c>
      <c r="B157" s="13">
        <f>Catalog!C157</f>
        <v/>
      </c>
      <c r="C157" s="15">
        <f>Catalog!D157</f>
        <v/>
      </c>
      <c r="D157" s="15">
        <f>Catalog!N157</f>
        <v/>
      </c>
      <c r="E157" s="15">
        <f>Catalog!F157</f>
        <v/>
      </c>
      <c r="F157" s="15">
        <f>IF(Catalog!W157="","",Catalog!W157&amp;" "&amp;Catalog!X157)</f>
        <v/>
      </c>
      <c r="G157" s="9" t="n"/>
    </row>
    <row r="158">
      <c r="A158" s="13">
        <f>Catalog!A158</f>
        <v/>
      </c>
      <c r="B158" s="13">
        <f>Catalog!C158</f>
        <v/>
      </c>
      <c r="C158" s="15">
        <f>Catalog!D158</f>
        <v/>
      </c>
      <c r="D158" s="15">
        <f>Catalog!N158</f>
        <v/>
      </c>
      <c r="E158" s="15">
        <f>Catalog!F158</f>
        <v/>
      </c>
      <c r="F158" s="15">
        <f>IF(Catalog!W158="","",Catalog!W158&amp;" "&amp;Catalog!X158)</f>
        <v/>
      </c>
      <c r="G158" s="9" t="n"/>
    </row>
    <row r="159">
      <c r="A159" s="13">
        <f>Catalog!A159</f>
        <v/>
      </c>
      <c r="B159" s="13">
        <f>Catalog!C159</f>
        <v/>
      </c>
      <c r="C159" s="15">
        <f>Catalog!D159</f>
        <v/>
      </c>
      <c r="D159" s="15">
        <f>Catalog!N159</f>
        <v/>
      </c>
      <c r="E159" s="15">
        <f>Catalog!F159</f>
        <v/>
      </c>
      <c r="F159" s="15">
        <f>IF(Catalog!W159="","",Catalog!W159&amp;" "&amp;Catalog!X159)</f>
        <v/>
      </c>
      <c r="G159" s="9" t="n"/>
    </row>
    <row r="160">
      <c r="A160" s="13">
        <f>Catalog!A160</f>
        <v/>
      </c>
      <c r="B160" s="13">
        <f>Catalog!C160</f>
        <v/>
      </c>
      <c r="C160" s="15">
        <f>Catalog!D160</f>
        <v/>
      </c>
      <c r="D160" s="15">
        <f>Catalog!N160</f>
        <v/>
      </c>
      <c r="E160" s="15">
        <f>Catalog!F160</f>
        <v/>
      </c>
      <c r="F160" s="15">
        <f>IF(Catalog!W160="","",Catalog!W160&amp;" "&amp;Catalog!X160)</f>
        <v/>
      </c>
      <c r="G160" s="9" t="n"/>
    </row>
    <row r="161">
      <c r="A161" s="13">
        <f>Catalog!A161</f>
        <v/>
      </c>
      <c r="B161" s="13">
        <f>Catalog!C161</f>
        <v/>
      </c>
      <c r="C161" s="15">
        <f>Catalog!D161</f>
        <v/>
      </c>
      <c r="D161" s="15">
        <f>Catalog!N161</f>
        <v/>
      </c>
      <c r="E161" s="15">
        <f>Catalog!F161</f>
        <v/>
      </c>
      <c r="F161" s="15">
        <f>IF(Catalog!W161="","",Catalog!W161&amp;" "&amp;Catalog!X161)</f>
        <v/>
      </c>
      <c r="G161" s="9" t="n"/>
    </row>
    <row r="162">
      <c r="A162" s="13">
        <f>Catalog!A162</f>
        <v/>
      </c>
      <c r="B162" s="13">
        <f>Catalog!C162</f>
        <v/>
      </c>
      <c r="C162" s="15">
        <f>Catalog!D162</f>
        <v/>
      </c>
      <c r="D162" s="15">
        <f>Catalog!N162</f>
        <v/>
      </c>
      <c r="E162" s="15">
        <f>Catalog!F162</f>
        <v/>
      </c>
      <c r="F162" s="15">
        <f>IF(Catalog!W162="","",Catalog!W162&amp;" "&amp;Catalog!X162)</f>
        <v/>
      </c>
      <c r="G162" s="9" t="n"/>
    </row>
    <row r="163">
      <c r="A163" s="13">
        <f>Catalog!A163</f>
        <v/>
      </c>
      <c r="B163" s="13">
        <f>Catalog!C163</f>
        <v/>
      </c>
      <c r="C163" s="15">
        <f>Catalog!D163</f>
        <v/>
      </c>
      <c r="D163" s="15">
        <f>Catalog!N163</f>
        <v/>
      </c>
      <c r="E163" s="15">
        <f>Catalog!F163</f>
        <v/>
      </c>
      <c r="F163" s="15">
        <f>IF(Catalog!W163="","",Catalog!W163&amp;" "&amp;Catalog!X163)</f>
        <v/>
      </c>
      <c r="G163" s="9" t="n"/>
    </row>
    <row r="164">
      <c r="A164" s="13">
        <f>Catalog!A164</f>
        <v/>
      </c>
      <c r="B164" s="13">
        <f>Catalog!C164</f>
        <v/>
      </c>
      <c r="C164" s="15">
        <f>Catalog!D164</f>
        <v/>
      </c>
      <c r="D164" s="15">
        <f>Catalog!N164</f>
        <v/>
      </c>
      <c r="E164" s="15">
        <f>Catalog!F164</f>
        <v/>
      </c>
      <c r="F164" s="15">
        <f>IF(Catalog!W164="","",Catalog!W164&amp;" "&amp;Catalog!X164)</f>
        <v/>
      </c>
      <c r="G164" s="9" t="n"/>
    </row>
    <row r="165">
      <c r="A165" s="13">
        <f>Catalog!A165</f>
        <v/>
      </c>
      <c r="B165" s="13">
        <f>Catalog!C165</f>
        <v/>
      </c>
      <c r="C165" s="15">
        <f>Catalog!D165</f>
        <v/>
      </c>
      <c r="D165" s="15">
        <f>Catalog!N165</f>
        <v/>
      </c>
      <c r="E165" s="15">
        <f>Catalog!F165</f>
        <v/>
      </c>
      <c r="F165" s="15">
        <f>IF(Catalog!W165="","",Catalog!W165&amp;" "&amp;Catalog!X165)</f>
        <v/>
      </c>
      <c r="G165" s="9" t="n"/>
    </row>
    <row r="166">
      <c r="A166" s="13">
        <f>Catalog!A166</f>
        <v/>
      </c>
      <c r="B166" s="13">
        <f>Catalog!C166</f>
        <v/>
      </c>
      <c r="C166" s="15">
        <f>Catalog!D166</f>
        <v/>
      </c>
      <c r="D166" s="15">
        <f>Catalog!N166</f>
        <v/>
      </c>
      <c r="E166" s="15">
        <f>Catalog!F166</f>
        <v/>
      </c>
      <c r="F166" s="15">
        <f>IF(Catalog!W166="","",Catalog!W166&amp;" "&amp;Catalog!X166)</f>
        <v/>
      </c>
      <c r="G166" s="9" t="n"/>
    </row>
    <row r="167">
      <c r="A167" s="13">
        <f>Catalog!A167</f>
        <v/>
      </c>
      <c r="B167" s="13">
        <f>Catalog!C167</f>
        <v/>
      </c>
      <c r="C167" s="15">
        <f>Catalog!D167</f>
        <v/>
      </c>
      <c r="D167" s="15">
        <f>Catalog!N167</f>
        <v/>
      </c>
      <c r="E167" s="15">
        <f>Catalog!F167</f>
        <v/>
      </c>
      <c r="F167" s="15">
        <f>IF(Catalog!W167="","",Catalog!W167&amp;" "&amp;Catalog!X167)</f>
        <v/>
      </c>
      <c r="G167" s="9" t="n"/>
    </row>
    <row r="168">
      <c r="A168" s="13">
        <f>Catalog!A168</f>
        <v/>
      </c>
      <c r="B168" s="13">
        <f>Catalog!C168</f>
        <v/>
      </c>
      <c r="C168" s="15">
        <f>Catalog!D168</f>
        <v/>
      </c>
      <c r="D168" s="15">
        <f>Catalog!N168</f>
        <v/>
      </c>
      <c r="E168" s="15">
        <f>Catalog!F168</f>
        <v/>
      </c>
      <c r="F168" s="15">
        <f>IF(Catalog!W168="","",Catalog!W168&amp;" "&amp;Catalog!X168)</f>
        <v/>
      </c>
      <c r="G168" s="9" t="n"/>
    </row>
    <row r="169">
      <c r="A169" s="13">
        <f>Catalog!A169</f>
        <v/>
      </c>
      <c r="B169" s="13">
        <f>Catalog!C169</f>
        <v/>
      </c>
      <c r="C169" s="15">
        <f>Catalog!D169</f>
        <v/>
      </c>
      <c r="D169" s="15">
        <f>Catalog!N169</f>
        <v/>
      </c>
      <c r="E169" s="15">
        <f>Catalog!F169</f>
        <v/>
      </c>
      <c r="F169" s="15">
        <f>IF(Catalog!W169="","",Catalog!W169&amp;" "&amp;Catalog!X169)</f>
        <v/>
      </c>
      <c r="G169" s="9" t="n"/>
    </row>
    <row r="170">
      <c r="A170" s="13">
        <f>Catalog!A170</f>
        <v/>
      </c>
      <c r="B170" s="13">
        <f>Catalog!C170</f>
        <v/>
      </c>
      <c r="C170" s="15">
        <f>Catalog!D170</f>
        <v/>
      </c>
      <c r="D170" s="15">
        <f>Catalog!N170</f>
        <v/>
      </c>
      <c r="E170" s="15">
        <f>Catalog!F170</f>
        <v/>
      </c>
      <c r="F170" s="15">
        <f>IF(Catalog!W170="","",Catalog!W170&amp;" "&amp;Catalog!X170)</f>
        <v/>
      </c>
      <c r="G170" s="9" t="n"/>
    </row>
    <row r="171">
      <c r="A171" s="13">
        <f>Catalog!A171</f>
        <v/>
      </c>
      <c r="B171" s="13">
        <f>Catalog!C171</f>
        <v/>
      </c>
      <c r="C171" s="15">
        <f>Catalog!D171</f>
        <v/>
      </c>
      <c r="D171" s="15">
        <f>Catalog!N171</f>
        <v/>
      </c>
      <c r="E171" s="15">
        <f>Catalog!F171</f>
        <v/>
      </c>
      <c r="F171" s="15">
        <f>IF(Catalog!W171="","",Catalog!W171&amp;" "&amp;Catalog!X171)</f>
        <v/>
      </c>
      <c r="G171" s="9" t="n"/>
    </row>
    <row r="172">
      <c r="A172" s="13">
        <f>Catalog!A172</f>
        <v/>
      </c>
      <c r="B172" s="13">
        <f>Catalog!C172</f>
        <v/>
      </c>
      <c r="C172" s="15">
        <f>Catalog!D172</f>
        <v/>
      </c>
      <c r="D172" s="15">
        <f>Catalog!N172</f>
        <v/>
      </c>
      <c r="E172" s="15">
        <f>Catalog!F172</f>
        <v/>
      </c>
      <c r="F172" s="15">
        <f>IF(Catalog!W172="","",Catalog!W172&amp;" "&amp;Catalog!X172)</f>
        <v/>
      </c>
      <c r="G172" s="9" t="n"/>
    </row>
    <row r="173">
      <c r="A173" s="13">
        <f>Catalog!A173</f>
        <v/>
      </c>
      <c r="B173" s="13">
        <f>Catalog!C173</f>
        <v/>
      </c>
      <c r="C173" s="15">
        <f>Catalog!D173</f>
        <v/>
      </c>
      <c r="D173" s="15">
        <f>Catalog!N173</f>
        <v/>
      </c>
      <c r="E173" s="15">
        <f>Catalog!F173</f>
        <v/>
      </c>
      <c r="F173" s="15">
        <f>IF(Catalog!W173="","",Catalog!W173&amp;" "&amp;Catalog!X173)</f>
        <v/>
      </c>
      <c r="G173" s="9" t="n"/>
    </row>
    <row r="174">
      <c r="A174" s="13">
        <f>Catalog!A174</f>
        <v/>
      </c>
      <c r="B174" s="13">
        <f>Catalog!C174</f>
        <v/>
      </c>
      <c r="C174" s="15">
        <f>Catalog!D174</f>
        <v/>
      </c>
      <c r="D174" s="15">
        <f>Catalog!N174</f>
        <v/>
      </c>
      <c r="E174" s="15">
        <f>Catalog!F174</f>
        <v/>
      </c>
      <c r="F174" s="15">
        <f>IF(Catalog!W174="","",Catalog!W174&amp;" "&amp;Catalog!X174)</f>
        <v/>
      </c>
      <c r="G174" s="9" t="n"/>
    </row>
    <row r="175">
      <c r="A175" s="13">
        <f>Catalog!A175</f>
        <v/>
      </c>
      <c r="B175" s="13">
        <f>Catalog!C175</f>
        <v/>
      </c>
      <c r="C175" s="15">
        <f>Catalog!D175</f>
        <v/>
      </c>
      <c r="D175" s="15">
        <f>Catalog!N175</f>
        <v/>
      </c>
      <c r="E175" s="15">
        <f>Catalog!F175</f>
        <v/>
      </c>
      <c r="F175" s="15">
        <f>IF(Catalog!W175="","",Catalog!W175&amp;" "&amp;Catalog!X175)</f>
        <v/>
      </c>
      <c r="G175" s="9" t="n"/>
    </row>
    <row r="176">
      <c r="A176" s="13">
        <f>Catalog!A176</f>
        <v/>
      </c>
      <c r="B176" s="13">
        <f>Catalog!C176</f>
        <v/>
      </c>
      <c r="C176" s="15">
        <f>Catalog!D176</f>
        <v/>
      </c>
      <c r="D176" s="15">
        <f>Catalog!N176</f>
        <v/>
      </c>
      <c r="E176" s="15">
        <f>Catalog!F176</f>
        <v/>
      </c>
      <c r="F176" s="15">
        <f>IF(Catalog!W176="","",Catalog!W176&amp;" "&amp;Catalog!X176)</f>
        <v/>
      </c>
      <c r="G176" s="9" t="n"/>
    </row>
    <row r="177">
      <c r="A177" s="13">
        <f>Catalog!A177</f>
        <v/>
      </c>
      <c r="B177" s="13">
        <f>Catalog!C177</f>
        <v/>
      </c>
      <c r="C177" s="15">
        <f>Catalog!D177</f>
        <v/>
      </c>
      <c r="D177" s="15">
        <f>Catalog!N177</f>
        <v/>
      </c>
      <c r="E177" s="15">
        <f>Catalog!F177</f>
        <v/>
      </c>
      <c r="F177" s="15">
        <f>IF(Catalog!W177="","",Catalog!W177&amp;" "&amp;Catalog!X177)</f>
        <v/>
      </c>
      <c r="G177" s="9" t="n"/>
    </row>
    <row r="178">
      <c r="A178" s="13">
        <f>Catalog!A178</f>
        <v/>
      </c>
      <c r="B178" s="13">
        <f>Catalog!C178</f>
        <v/>
      </c>
      <c r="C178" s="15">
        <f>Catalog!D178</f>
        <v/>
      </c>
      <c r="D178" s="15">
        <f>Catalog!N178</f>
        <v/>
      </c>
      <c r="E178" s="15">
        <f>Catalog!F178</f>
        <v/>
      </c>
      <c r="F178" s="15">
        <f>IF(Catalog!W178="","",Catalog!W178&amp;" "&amp;Catalog!X178)</f>
        <v/>
      </c>
      <c r="G178" s="9" t="n"/>
    </row>
    <row r="179">
      <c r="A179" s="13">
        <f>Catalog!A179</f>
        <v/>
      </c>
      <c r="B179" s="13">
        <f>Catalog!C179</f>
        <v/>
      </c>
      <c r="C179" s="15">
        <f>Catalog!D179</f>
        <v/>
      </c>
      <c r="D179" s="15">
        <f>Catalog!N179</f>
        <v/>
      </c>
      <c r="E179" s="15">
        <f>Catalog!F179</f>
        <v/>
      </c>
      <c r="F179" s="15">
        <f>IF(Catalog!W179="","",Catalog!W179&amp;" "&amp;Catalog!X179)</f>
        <v/>
      </c>
      <c r="G179" s="9" t="n"/>
    </row>
    <row r="180">
      <c r="A180" s="13">
        <f>Catalog!A180</f>
        <v/>
      </c>
      <c r="B180" s="13">
        <f>Catalog!C180</f>
        <v/>
      </c>
      <c r="C180" s="15">
        <f>Catalog!D180</f>
        <v/>
      </c>
      <c r="D180" s="15">
        <f>Catalog!N180</f>
        <v/>
      </c>
      <c r="E180" s="15">
        <f>Catalog!F180</f>
        <v/>
      </c>
      <c r="F180" s="15">
        <f>IF(Catalog!W180="","",Catalog!W180&amp;" "&amp;Catalog!X180)</f>
        <v/>
      </c>
      <c r="G180" s="9" t="n"/>
    </row>
    <row r="181">
      <c r="A181" s="13">
        <f>Catalog!A181</f>
        <v/>
      </c>
      <c r="B181" s="13">
        <f>Catalog!C181</f>
        <v/>
      </c>
      <c r="C181" s="15">
        <f>Catalog!D181</f>
        <v/>
      </c>
      <c r="D181" s="15">
        <f>Catalog!N181</f>
        <v/>
      </c>
      <c r="E181" s="15">
        <f>Catalog!F181</f>
        <v/>
      </c>
      <c r="F181" s="15">
        <f>IF(Catalog!W181="","",Catalog!W181&amp;" "&amp;Catalog!X181)</f>
        <v/>
      </c>
      <c r="G181" s="9" t="n"/>
    </row>
    <row r="182">
      <c r="A182" s="13">
        <f>Catalog!A182</f>
        <v/>
      </c>
      <c r="B182" s="13">
        <f>Catalog!C182</f>
        <v/>
      </c>
      <c r="C182" s="15">
        <f>Catalog!D182</f>
        <v/>
      </c>
      <c r="D182" s="15">
        <f>Catalog!N182</f>
        <v/>
      </c>
      <c r="E182" s="15">
        <f>Catalog!F182</f>
        <v/>
      </c>
      <c r="F182" s="15">
        <f>IF(Catalog!W182="","",Catalog!W182&amp;" "&amp;Catalog!X182)</f>
        <v/>
      </c>
      <c r="G182" s="9" t="n"/>
    </row>
    <row r="183">
      <c r="A183" s="13">
        <f>Catalog!A183</f>
        <v/>
      </c>
      <c r="B183" s="13">
        <f>Catalog!C183</f>
        <v/>
      </c>
      <c r="C183" s="15">
        <f>Catalog!D183</f>
        <v/>
      </c>
      <c r="D183" s="15">
        <f>Catalog!N183</f>
        <v/>
      </c>
      <c r="E183" s="15">
        <f>Catalog!F183</f>
        <v/>
      </c>
      <c r="F183" s="15">
        <f>IF(Catalog!W183="","",Catalog!W183&amp;" "&amp;Catalog!X183)</f>
        <v/>
      </c>
      <c r="G183" s="9" t="n"/>
    </row>
    <row r="184">
      <c r="A184" s="13">
        <f>Catalog!A184</f>
        <v/>
      </c>
      <c r="B184" s="13">
        <f>Catalog!C184</f>
        <v/>
      </c>
      <c r="C184" s="15">
        <f>Catalog!D184</f>
        <v/>
      </c>
      <c r="D184" s="15">
        <f>Catalog!N184</f>
        <v/>
      </c>
      <c r="E184" s="15">
        <f>Catalog!F184</f>
        <v/>
      </c>
      <c r="F184" s="15">
        <f>IF(Catalog!W184="","",Catalog!W184&amp;" "&amp;Catalog!X184)</f>
        <v/>
      </c>
      <c r="G184" s="9" t="n"/>
    </row>
    <row r="185">
      <c r="A185" s="13">
        <f>Catalog!A185</f>
        <v/>
      </c>
      <c r="B185" s="13">
        <f>Catalog!C185</f>
        <v/>
      </c>
      <c r="C185" s="15">
        <f>Catalog!D185</f>
        <v/>
      </c>
      <c r="D185" s="15">
        <f>Catalog!N185</f>
        <v/>
      </c>
      <c r="E185" s="15">
        <f>Catalog!F185</f>
        <v/>
      </c>
      <c r="F185" s="15">
        <f>IF(Catalog!W185="","",Catalog!W185&amp;" "&amp;Catalog!X185)</f>
        <v/>
      </c>
      <c r="G185" s="9" t="n"/>
    </row>
    <row r="186">
      <c r="A186" s="13">
        <f>Catalog!A186</f>
        <v/>
      </c>
      <c r="B186" s="13">
        <f>Catalog!C186</f>
        <v/>
      </c>
      <c r="C186" s="15">
        <f>Catalog!D186</f>
        <v/>
      </c>
      <c r="D186" s="15">
        <f>Catalog!N186</f>
        <v/>
      </c>
      <c r="E186" s="15">
        <f>Catalog!F186</f>
        <v/>
      </c>
      <c r="F186" s="15">
        <f>IF(Catalog!W186="","",Catalog!W186&amp;" "&amp;Catalog!X186)</f>
        <v/>
      </c>
      <c r="G186" s="9" t="n"/>
    </row>
    <row r="187">
      <c r="A187" s="13">
        <f>Catalog!A187</f>
        <v/>
      </c>
      <c r="B187" s="13">
        <f>Catalog!C187</f>
        <v/>
      </c>
      <c r="C187" s="15">
        <f>Catalog!D187</f>
        <v/>
      </c>
      <c r="D187" s="15">
        <f>Catalog!N187</f>
        <v/>
      </c>
      <c r="E187" s="15">
        <f>Catalog!F187</f>
        <v/>
      </c>
      <c r="F187" s="15">
        <f>IF(Catalog!W187="","",Catalog!W187&amp;" "&amp;Catalog!X187)</f>
        <v/>
      </c>
      <c r="G187" s="9" t="n"/>
    </row>
    <row r="188">
      <c r="A188" s="13">
        <f>Catalog!A188</f>
        <v/>
      </c>
      <c r="B188" s="13">
        <f>Catalog!C188</f>
        <v/>
      </c>
      <c r="C188" s="15">
        <f>Catalog!D188</f>
        <v/>
      </c>
      <c r="D188" s="15">
        <f>Catalog!N188</f>
        <v/>
      </c>
      <c r="E188" s="15">
        <f>Catalog!F188</f>
        <v/>
      </c>
      <c r="F188" s="15">
        <f>IF(Catalog!W188="","",Catalog!W188&amp;" "&amp;Catalog!X188)</f>
        <v/>
      </c>
      <c r="G188" s="9" t="n"/>
    </row>
    <row r="189">
      <c r="A189" s="13">
        <f>Catalog!A189</f>
        <v/>
      </c>
      <c r="B189" s="13">
        <f>Catalog!C189</f>
        <v/>
      </c>
      <c r="C189" s="15">
        <f>Catalog!D189</f>
        <v/>
      </c>
      <c r="D189" s="15">
        <f>Catalog!N189</f>
        <v/>
      </c>
      <c r="E189" s="15">
        <f>Catalog!F189</f>
        <v/>
      </c>
      <c r="F189" s="15">
        <f>IF(Catalog!W189="","",Catalog!W189&amp;" "&amp;Catalog!X189)</f>
        <v/>
      </c>
      <c r="G189" s="9" t="n"/>
    </row>
    <row r="190">
      <c r="A190" s="13">
        <f>Catalog!A190</f>
        <v/>
      </c>
      <c r="B190" s="13">
        <f>Catalog!C190</f>
        <v/>
      </c>
      <c r="C190" s="15">
        <f>Catalog!D190</f>
        <v/>
      </c>
      <c r="D190" s="15">
        <f>Catalog!N190</f>
        <v/>
      </c>
      <c r="E190" s="15">
        <f>Catalog!F190</f>
        <v/>
      </c>
      <c r="F190" s="15">
        <f>IF(Catalog!W190="","",Catalog!W190&amp;" "&amp;Catalog!X190)</f>
        <v/>
      </c>
      <c r="G190" s="9" t="n"/>
    </row>
    <row r="191">
      <c r="A191" s="13">
        <f>Catalog!A191</f>
        <v/>
      </c>
      <c r="B191" s="13">
        <f>Catalog!C191</f>
        <v/>
      </c>
      <c r="C191" s="15">
        <f>Catalog!D191</f>
        <v/>
      </c>
      <c r="D191" s="15">
        <f>Catalog!N191</f>
        <v/>
      </c>
      <c r="E191" s="15">
        <f>Catalog!F191</f>
        <v/>
      </c>
      <c r="F191" s="15">
        <f>IF(Catalog!W191="","",Catalog!W191&amp;" "&amp;Catalog!X191)</f>
        <v/>
      </c>
      <c r="G191" s="9" t="n"/>
    </row>
    <row r="192">
      <c r="A192" s="13">
        <f>Catalog!A192</f>
        <v/>
      </c>
      <c r="B192" s="13">
        <f>Catalog!C192</f>
        <v/>
      </c>
      <c r="C192" s="15">
        <f>Catalog!D192</f>
        <v/>
      </c>
      <c r="D192" s="15">
        <f>Catalog!N192</f>
        <v/>
      </c>
      <c r="E192" s="15">
        <f>Catalog!F192</f>
        <v/>
      </c>
      <c r="F192" s="15">
        <f>IF(Catalog!W192="","",Catalog!W192&amp;" "&amp;Catalog!X192)</f>
        <v/>
      </c>
      <c r="G192" s="9" t="n"/>
    </row>
    <row r="193">
      <c r="A193" s="13">
        <f>Catalog!A193</f>
        <v/>
      </c>
      <c r="B193" s="13">
        <f>Catalog!C193</f>
        <v/>
      </c>
      <c r="C193" s="15">
        <f>Catalog!D193</f>
        <v/>
      </c>
      <c r="D193" s="15">
        <f>Catalog!N193</f>
        <v/>
      </c>
      <c r="E193" s="15">
        <f>Catalog!F193</f>
        <v/>
      </c>
      <c r="F193" s="15">
        <f>IF(Catalog!W193="","",Catalog!W193&amp;" "&amp;Catalog!X193)</f>
        <v/>
      </c>
      <c r="G193" s="9" t="n"/>
    </row>
    <row r="194">
      <c r="A194" s="13">
        <f>Catalog!A194</f>
        <v/>
      </c>
      <c r="B194" s="13">
        <f>Catalog!C194</f>
        <v/>
      </c>
      <c r="C194" s="15">
        <f>Catalog!D194</f>
        <v/>
      </c>
      <c r="D194" s="15">
        <f>Catalog!N194</f>
        <v/>
      </c>
      <c r="E194" s="15">
        <f>Catalog!F194</f>
        <v/>
      </c>
      <c r="F194" s="15">
        <f>IF(Catalog!W194="","",Catalog!W194&amp;" "&amp;Catalog!X194)</f>
        <v/>
      </c>
      <c r="G194" s="9" t="n"/>
    </row>
    <row r="195">
      <c r="A195" s="13">
        <f>Catalog!A195</f>
        <v/>
      </c>
      <c r="B195" s="13">
        <f>Catalog!C195</f>
        <v/>
      </c>
      <c r="C195" s="15">
        <f>Catalog!D195</f>
        <v/>
      </c>
      <c r="D195" s="15">
        <f>Catalog!N195</f>
        <v/>
      </c>
      <c r="E195" s="15">
        <f>Catalog!F195</f>
        <v/>
      </c>
      <c r="F195" s="15">
        <f>IF(Catalog!W195="","",Catalog!W195&amp;" "&amp;Catalog!X195)</f>
        <v/>
      </c>
      <c r="G195" s="9" t="n"/>
    </row>
    <row r="196">
      <c r="A196" s="13">
        <f>Catalog!A196</f>
        <v/>
      </c>
      <c r="B196" s="13">
        <f>Catalog!C196</f>
        <v/>
      </c>
      <c r="C196" s="15">
        <f>Catalog!D196</f>
        <v/>
      </c>
      <c r="D196" s="15">
        <f>Catalog!N196</f>
        <v/>
      </c>
      <c r="E196" s="15">
        <f>Catalog!F196</f>
        <v/>
      </c>
      <c r="F196" s="15">
        <f>IF(Catalog!W196="","",Catalog!W196&amp;" "&amp;Catalog!X196)</f>
        <v/>
      </c>
      <c r="G196" s="9" t="n"/>
    </row>
    <row r="197">
      <c r="A197" s="13">
        <f>Catalog!A197</f>
        <v/>
      </c>
      <c r="B197" s="13">
        <f>Catalog!C197</f>
        <v/>
      </c>
      <c r="C197" s="15">
        <f>Catalog!D197</f>
        <v/>
      </c>
      <c r="D197" s="15">
        <f>Catalog!N197</f>
        <v/>
      </c>
      <c r="E197" s="15">
        <f>Catalog!F197</f>
        <v/>
      </c>
      <c r="F197" s="15">
        <f>IF(Catalog!W197="","",Catalog!W197&amp;" "&amp;Catalog!X197)</f>
        <v/>
      </c>
      <c r="G197" s="9" t="n"/>
    </row>
    <row r="198">
      <c r="A198" s="13">
        <f>Catalog!A198</f>
        <v/>
      </c>
      <c r="B198" s="13">
        <f>Catalog!C198</f>
        <v/>
      </c>
      <c r="C198" s="15">
        <f>Catalog!D198</f>
        <v/>
      </c>
      <c r="D198" s="15">
        <f>Catalog!N198</f>
        <v/>
      </c>
      <c r="E198" s="15">
        <f>Catalog!F198</f>
        <v/>
      </c>
      <c r="F198" s="15">
        <f>IF(Catalog!W198="","",Catalog!W198&amp;" "&amp;Catalog!X198)</f>
        <v/>
      </c>
      <c r="G198" s="9" t="n"/>
    </row>
    <row r="199">
      <c r="A199" s="13">
        <f>Catalog!A199</f>
        <v/>
      </c>
      <c r="B199" s="13">
        <f>Catalog!C199</f>
        <v/>
      </c>
      <c r="C199" s="15">
        <f>Catalog!D199</f>
        <v/>
      </c>
      <c r="D199" s="15">
        <f>Catalog!N199</f>
        <v/>
      </c>
      <c r="E199" s="15">
        <f>Catalog!F199</f>
        <v/>
      </c>
      <c r="F199" s="15">
        <f>IF(Catalog!W199="","",Catalog!W199&amp;" "&amp;Catalog!X199)</f>
        <v/>
      </c>
      <c r="G199" s="9" t="n"/>
    </row>
    <row r="200">
      <c r="A200" s="13">
        <f>Catalog!A200</f>
        <v/>
      </c>
      <c r="B200" s="13">
        <f>Catalog!C200</f>
        <v/>
      </c>
      <c r="C200" s="15">
        <f>Catalog!D200</f>
        <v/>
      </c>
      <c r="D200" s="15">
        <f>Catalog!N200</f>
        <v/>
      </c>
      <c r="E200" s="15">
        <f>Catalog!F200</f>
        <v/>
      </c>
      <c r="F200" s="15">
        <f>IF(Catalog!W200="","",Catalog!W200&amp;" "&amp;Catalog!X200)</f>
        <v/>
      </c>
      <c r="G200" s="9" t="n"/>
    </row>
    <row r="201">
      <c r="A201" s="13">
        <f>Catalog!A201</f>
        <v/>
      </c>
      <c r="B201" s="13">
        <f>Catalog!C201</f>
        <v/>
      </c>
      <c r="C201" s="15">
        <f>Catalog!D201</f>
        <v/>
      </c>
      <c r="D201" s="15">
        <f>Catalog!N201</f>
        <v/>
      </c>
      <c r="E201" s="15">
        <f>Catalog!F201</f>
        <v/>
      </c>
      <c r="F201" s="15">
        <f>IF(Catalog!W201="","",Catalog!W201&amp;" "&amp;Catalog!X201)</f>
        <v/>
      </c>
      <c r="G201" s="9" t="n"/>
    </row>
    <row r="202">
      <c r="A202" s="13">
        <f>Catalog!A202</f>
        <v/>
      </c>
      <c r="B202" s="13">
        <f>Catalog!C202</f>
        <v/>
      </c>
      <c r="C202" s="15">
        <f>Catalog!D202</f>
        <v/>
      </c>
      <c r="D202" s="15">
        <f>Catalog!N202</f>
        <v/>
      </c>
      <c r="E202" s="15">
        <f>Catalog!F202</f>
        <v/>
      </c>
      <c r="F202" s="15">
        <f>IF(Catalog!W202="","",Catalog!W202&amp;" "&amp;Catalog!X202)</f>
        <v/>
      </c>
      <c r="G202" s="9" t="n"/>
    </row>
    <row r="203">
      <c r="A203" s="13">
        <f>Catalog!A203</f>
        <v/>
      </c>
      <c r="B203" s="13">
        <f>Catalog!C203</f>
        <v/>
      </c>
      <c r="C203" s="15">
        <f>Catalog!D203</f>
        <v/>
      </c>
      <c r="D203" s="15">
        <f>Catalog!N203</f>
        <v/>
      </c>
      <c r="E203" s="15">
        <f>Catalog!F203</f>
        <v/>
      </c>
      <c r="F203" s="15">
        <f>IF(Catalog!W203="","",Catalog!W203&amp;" "&amp;Catalog!X203)</f>
        <v/>
      </c>
      <c r="G203" s="9" t="n"/>
    </row>
    <row r="204">
      <c r="A204" s="13">
        <f>Catalog!A204</f>
        <v/>
      </c>
      <c r="B204" s="13">
        <f>Catalog!C204</f>
        <v/>
      </c>
      <c r="C204" s="15">
        <f>Catalog!D204</f>
        <v/>
      </c>
      <c r="D204" s="15">
        <f>Catalog!N204</f>
        <v/>
      </c>
      <c r="E204" s="15">
        <f>Catalog!F204</f>
        <v/>
      </c>
      <c r="F204" s="15">
        <f>IF(Catalog!W204="","",Catalog!W204&amp;" "&amp;Catalog!X204)</f>
        <v/>
      </c>
      <c r="G204" s="9" t="n"/>
    </row>
    <row r="205">
      <c r="A205" s="13">
        <f>Catalog!A205</f>
        <v/>
      </c>
      <c r="B205" s="13">
        <f>Catalog!C205</f>
        <v/>
      </c>
      <c r="C205" s="15">
        <f>Catalog!D205</f>
        <v/>
      </c>
      <c r="D205" s="15">
        <f>Catalog!N205</f>
        <v/>
      </c>
      <c r="E205" s="15">
        <f>Catalog!F205</f>
        <v/>
      </c>
      <c r="F205" s="15">
        <f>IF(Catalog!W205="","",Catalog!W205&amp;" "&amp;Catalog!X205)</f>
        <v/>
      </c>
      <c r="G205" s="9" t="n"/>
    </row>
    <row r="206">
      <c r="A206" s="13">
        <f>Catalog!A206</f>
        <v/>
      </c>
      <c r="B206" s="13">
        <f>Catalog!C206</f>
        <v/>
      </c>
      <c r="C206" s="15">
        <f>Catalog!D206</f>
        <v/>
      </c>
      <c r="D206" s="15">
        <f>Catalog!N206</f>
        <v/>
      </c>
      <c r="E206" s="15">
        <f>Catalog!F206</f>
        <v/>
      </c>
      <c r="F206" s="15">
        <f>IF(Catalog!W206="","",Catalog!W206&amp;" "&amp;Catalog!X206)</f>
        <v/>
      </c>
      <c r="G206" s="9" t="n"/>
    </row>
    <row r="207">
      <c r="A207" s="13">
        <f>Catalog!A207</f>
        <v/>
      </c>
      <c r="B207" s="13">
        <f>Catalog!C207</f>
        <v/>
      </c>
      <c r="C207" s="15">
        <f>Catalog!D207</f>
        <v/>
      </c>
      <c r="D207" s="15">
        <f>Catalog!N207</f>
        <v/>
      </c>
      <c r="E207" s="15">
        <f>Catalog!F207</f>
        <v/>
      </c>
      <c r="F207" s="15">
        <f>IF(Catalog!W207="","",Catalog!W207&amp;" "&amp;Catalog!X207)</f>
        <v/>
      </c>
      <c r="G207" s="9" t="n"/>
    </row>
    <row r="208">
      <c r="A208" s="13">
        <f>Catalog!A208</f>
        <v/>
      </c>
      <c r="B208" s="13">
        <f>Catalog!C208</f>
        <v/>
      </c>
      <c r="C208" s="15">
        <f>Catalog!D208</f>
        <v/>
      </c>
      <c r="D208" s="15">
        <f>Catalog!N208</f>
        <v/>
      </c>
      <c r="E208" s="15">
        <f>Catalog!F208</f>
        <v/>
      </c>
      <c r="F208" s="15">
        <f>IF(Catalog!W208="","",Catalog!W208&amp;" "&amp;Catalog!X208)</f>
        <v/>
      </c>
      <c r="G208" s="9" t="n"/>
    </row>
    <row r="209">
      <c r="A209" s="13">
        <f>Catalog!A209</f>
        <v/>
      </c>
      <c r="B209" s="13">
        <f>Catalog!C209</f>
        <v/>
      </c>
      <c r="C209" s="15">
        <f>Catalog!D209</f>
        <v/>
      </c>
      <c r="D209" s="15">
        <f>Catalog!N209</f>
        <v/>
      </c>
      <c r="E209" s="15">
        <f>Catalog!F209</f>
        <v/>
      </c>
      <c r="F209" s="15">
        <f>IF(Catalog!W209="","",Catalog!W209&amp;" "&amp;Catalog!X209)</f>
        <v/>
      </c>
      <c r="G209" s="9" t="n"/>
    </row>
    <row r="210">
      <c r="A210" s="13">
        <f>Catalog!A210</f>
        <v/>
      </c>
      <c r="B210" s="13">
        <f>Catalog!C210</f>
        <v/>
      </c>
      <c r="C210" s="15">
        <f>Catalog!D210</f>
        <v/>
      </c>
      <c r="D210" s="15">
        <f>Catalog!N210</f>
        <v/>
      </c>
      <c r="E210" s="15">
        <f>Catalog!F210</f>
        <v/>
      </c>
      <c r="F210" s="15">
        <f>IF(Catalog!W210="","",Catalog!W210&amp;" "&amp;Catalog!X210)</f>
        <v/>
      </c>
      <c r="G210" s="9" t="n"/>
    </row>
    <row r="211">
      <c r="A211" s="13">
        <f>Catalog!A211</f>
        <v/>
      </c>
      <c r="B211" s="13">
        <f>Catalog!C211</f>
        <v/>
      </c>
      <c r="C211" s="15">
        <f>Catalog!D211</f>
        <v/>
      </c>
      <c r="D211" s="15">
        <f>Catalog!N211</f>
        <v/>
      </c>
      <c r="E211" s="15">
        <f>Catalog!F211</f>
        <v/>
      </c>
      <c r="F211" s="15">
        <f>IF(Catalog!W211="","",Catalog!W211&amp;" "&amp;Catalog!X211)</f>
        <v/>
      </c>
      <c r="G211" s="9" t="n"/>
    </row>
    <row r="212">
      <c r="A212" s="13">
        <f>Catalog!A212</f>
        <v/>
      </c>
      <c r="B212" s="13">
        <f>Catalog!C212</f>
        <v/>
      </c>
      <c r="C212" s="15">
        <f>Catalog!D212</f>
        <v/>
      </c>
      <c r="D212" s="15">
        <f>Catalog!N212</f>
        <v/>
      </c>
      <c r="E212" s="15">
        <f>Catalog!F212</f>
        <v/>
      </c>
      <c r="F212" s="15">
        <f>IF(Catalog!W212="","",Catalog!W212&amp;" "&amp;Catalog!X212)</f>
        <v/>
      </c>
      <c r="G212" s="9" t="n"/>
    </row>
    <row r="213">
      <c r="A213" s="13">
        <f>Catalog!A213</f>
        <v/>
      </c>
      <c r="B213" s="13">
        <f>Catalog!C213</f>
        <v/>
      </c>
      <c r="C213" s="15">
        <f>Catalog!D213</f>
        <v/>
      </c>
      <c r="D213" s="15">
        <f>Catalog!N213</f>
        <v/>
      </c>
      <c r="E213" s="15">
        <f>Catalog!F213</f>
        <v/>
      </c>
      <c r="F213" s="15">
        <f>IF(Catalog!W213="","",Catalog!W213&amp;" "&amp;Catalog!X213)</f>
        <v/>
      </c>
      <c r="G213" s="9" t="n"/>
    </row>
    <row r="214">
      <c r="A214" s="13">
        <f>Catalog!A214</f>
        <v/>
      </c>
      <c r="B214" s="13">
        <f>Catalog!C214</f>
        <v/>
      </c>
      <c r="C214" s="15">
        <f>Catalog!D214</f>
        <v/>
      </c>
      <c r="D214" s="15">
        <f>Catalog!N214</f>
        <v/>
      </c>
      <c r="E214" s="15">
        <f>Catalog!F214</f>
        <v/>
      </c>
      <c r="F214" s="15">
        <f>IF(Catalog!W214="","",Catalog!W214&amp;" "&amp;Catalog!X214)</f>
        <v/>
      </c>
      <c r="G214" s="9" t="n"/>
    </row>
    <row r="215">
      <c r="A215" s="13">
        <f>Catalog!A215</f>
        <v/>
      </c>
      <c r="B215" s="13">
        <f>Catalog!C215</f>
        <v/>
      </c>
      <c r="C215" s="15">
        <f>Catalog!D215</f>
        <v/>
      </c>
      <c r="D215" s="15">
        <f>Catalog!N215</f>
        <v/>
      </c>
      <c r="E215" s="15">
        <f>Catalog!F215</f>
        <v/>
      </c>
      <c r="F215" s="15">
        <f>IF(Catalog!W215="","",Catalog!W215&amp;" "&amp;Catalog!X215)</f>
        <v/>
      </c>
      <c r="G215" s="9" t="n"/>
    </row>
    <row r="216">
      <c r="A216" s="13">
        <f>Catalog!A216</f>
        <v/>
      </c>
      <c r="B216" s="13">
        <f>Catalog!C216</f>
        <v/>
      </c>
      <c r="C216" s="15">
        <f>Catalog!D216</f>
        <v/>
      </c>
      <c r="D216" s="15">
        <f>Catalog!N216</f>
        <v/>
      </c>
      <c r="E216" s="15">
        <f>Catalog!F216</f>
        <v/>
      </c>
      <c r="F216" s="15">
        <f>IF(Catalog!W216="","",Catalog!W216&amp;" "&amp;Catalog!X216)</f>
        <v/>
      </c>
      <c r="G216" s="9" t="n"/>
    </row>
    <row r="217">
      <c r="A217" s="13">
        <f>Catalog!A217</f>
        <v/>
      </c>
      <c r="B217" s="13">
        <f>Catalog!C217</f>
        <v/>
      </c>
      <c r="C217" s="15">
        <f>Catalog!D217</f>
        <v/>
      </c>
      <c r="D217" s="15">
        <f>Catalog!N217</f>
        <v/>
      </c>
      <c r="E217" s="15">
        <f>Catalog!F217</f>
        <v/>
      </c>
      <c r="F217" s="15">
        <f>IF(Catalog!W217="","",Catalog!W217&amp;" "&amp;Catalog!X217)</f>
        <v/>
      </c>
      <c r="G217" s="9" t="n"/>
    </row>
    <row r="218">
      <c r="A218" s="13">
        <f>Catalog!A218</f>
        <v/>
      </c>
      <c r="B218" s="13">
        <f>Catalog!C218</f>
        <v/>
      </c>
      <c r="C218" s="15">
        <f>Catalog!D218</f>
        <v/>
      </c>
      <c r="D218" s="15">
        <f>Catalog!N218</f>
        <v/>
      </c>
      <c r="E218" s="15">
        <f>Catalog!F218</f>
        <v/>
      </c>
      <c r="F218" s="15">
        <f>IF(Catalog!W218="","",Catalog!W218&amp;" "&amp;Catalog!X218)</f>
        <v/>
      </c>
      <c r="G218" s="9" t="n"/>
    </row>
    <row r="219">
      <c r="A219" s="13">
        <f>Catalog!A219</f>
        <v/>
      </c>
      <c r="B219" s="13">
        <f>Catalog!C219</f>
        <v/>
      </c>
      <c r="C219" s="15">
        <f>Catalog!D219</f>
        <v/>
      </c>
      <c r="D219" s="15">
        <f>Catalog!N219</f>
        <v/>
      </c>
      <c r="E219" s="15">
        <f>Catalog!F219</f>
        <v/>
      </c>
      <c r="F219" s="15">
        <f>IF(Catalog!W219="","",Catalog!W219&amp;" "&amp;Catalog!X219)</f>
        <v/>
      </c>
      <c r="G219" s="9" t="n"/>
    </row>
    <row r="220">
      <c r="A220" s="13">
        <f>Catalog!A220</f>
        <v/>
      </c>
      <c r="B220" s="13">
        <f>Catalog!C220</f>
        <v/>
      </c>
      <c r="C220" s="15">
        <f>Catalog!D220</f>
        <v/>
      </c>
      <c r="D220" s="15">
        <f>Catalog!N220</f>
        <v/>
      </c>
      <c r="E220" s="15">
        <f>Catalog!F220</f>
        <v/>
      </c>
      <c r="F220" s="15">
        <f>IF(Catalog!W220="","",Catalog!W220&amp;" "&amp;Catalog!X220)</f>
        <v/>
      </c>
      <c r="G220" s="9" t="n"/>
    </row>
    <row r="221">
      <c r="A221" s="13">
        <f>Catalog!A221</f>
        <v/>
      </c>
      <c r="B221" s="13">
        <f>Catalog!C221</f>
        <v/>
      </c>
      <c r="C221" s="15">
        <f>Catalog!D221</f>
        <v/>
      </c>
      <c r="D221" s="15">
        <f>Catalog!N221</f>
        <v/>
      </c>
      <c r="E221" s="15">
        <f>Catalog!F221</f>
        <v/>
      </c>
      <c r="F221" s="15">
        <f>IF(Catalog!W221="","",Catalog!W221&amp;" "&amp;Catalog!X221)</f>
        <v/>
      </c>
      <c r="G221" s="9" t="n"/>
    </row>
    <row r="222">
      <c r="A222" s="13">
        <f>Catalog!A222</f>
        <v/>
      </c>
      <c r="B222" s="13">
        <f>Catalog!C222</f>
        <v/>
      </c>
      <c r="C222" s="15">
        <f>Catalog!D222</f>
        <v/>
      </c>
      <c r="D222" s="15">
        <f>Catalog!N222</f>
        <v/>
      </c>
      <c r="E222" s="15">
        <f>Catalog!F222</f>
        <v/>
      </c>
      <c r="F222" s="15">
        <f>IF(Catalog!W222="","",Catalog!W222&amp;" "&amp;Catalog!X222)</f>
        <v/>
      </c>
      <c r="G222" s="9" t="n"/>
    </row>
    <row r="223">
      <c r="A223" s="13">
        <f>Catalog!A223</f>
        <v/>
      </c>
      <c r="B223" s="13">
        <f>Catalog!C223</f>
        <v/>
      </c>
      <c r="C223" s="15">
        <f>Catalog!D223</f>
        <v/>
      </c>
      <c r="D223" s="15">
        <f>Catalog!N223</f>
        <v/>
      </c>
      <c r="E223" s="15">
        <f>Catalog!F223</f>
        <v/>
      </c>
      <c r="F223" s="15">
        <f>IF(Catalog!W223="","",Catalog!W223&amp;" "&amp;Catalog!X223)</f>
        <v/>
      </c>
      <c r="G223" s="9" t="n"/>
    </row>
    <row r="224">
      <c r="A224" s="13">
        <f>Catalog!A224</f>
        <v/>
      </c>
      <c r="B224" s="13">
        <f>Catalog!C224</f>
        <v/>
      </c>
      <c r="C224" s="15">
        <f>Catalog!D224</f>
        <v/>
      </c>
      <c r="D224" s="15">
        <f>Catalog!N224</f>
        <v/>
      </c>
      <c r="E224" s="15">
        <f>Catalog!F224</f>
        <v/>
      </c>
      <c r="F224" s="15">
        <f>IF(Catalog!W224="","",Catalog!W224&amp;" "&amp;Catalog!X224)</f>
        <v/>
      </c>
      <c r="G224" s="9" t="n"/>
    </row>
    <row r="225">
      <c r="A225" s="13">
        <f>Catalog!A225</f>
        <v/>
      </c>
      <c r="B225" s="13">
        <f>Catalog!C225</f>
        <v/>
      </c>
      <c r="C225" s="15">
        <f>Catalog!D225</f>
        <v/>
      </c>
      <c r="D225" s="15">
        <f>Catalog!N225</f>
        <v/>
      </c>
      <c r="E225" s="15">
        <f>Catalog!F225</f>
        <v/>
      </c>
      <c r="F225" s="15">
        <f>IF(Catalog!W225="","",Catalog!W225&amp;" "&amp;Catalog!X225)</f>
        <v/>
      </c>
      <c r="G225" s="9" t="n"/>
    </row>
    <row r="226">
      <c r="A226" s="13">
        <f>Catalog!A226</f>
        <v/>
      </c>
      <c r="B226" s="13">
        <f>Catalog!C226</f>
        <v/>
      </c>
      <c r="C226" s="15">
        <f>Catalog!D226</f>
        <v/>
      </c>
      <c r="D226" s="15">
        <f>Catalog!N226</f>
        <v/>
      </c>
      <c r="E226" s="15">
        <f>Catalog!F226</f>
        <v/>
      </c>
      <c r="F226" s="15">
        <f>IF(Catalog!W226="","",Catalog!W226&amp;" "&amp;Catalog!X226)</f>
        <v/>
      </c>
      <c r="G226" s="9" t="n"/>
    </row>
    <row r="227">
      <c r="A227" s="13">
        <f>Catalog!A227</f>
        <v/>
      </c>
      <c r="B227" s="13">
        <f>Catalog!C227</f>
        <v/>
      </c>
      <c r="C227" s="15">
        <f>Catalog!D227</f>
        <v/>
      </c>
      <c r="D227" s="15">
        <f>Catalog!N227</f>
        <v/>
      </c>
      <c r="E227" s="15">
        <f>Catalog!F227</f>
        <v/>
      </c>
      <c r="F227" s="15">
        <f>IF(Catalog!W227="","",Catalog!W227&amp;" "&amp;Catalog!X227)</f>
        <v/>
      </c>
      <c r="G227" s="9" t="n"/>
    </row>
    <row r="228">
      <c r="A228" s="13">
        <f>Catalog!A228</f>
        <v/>
      </c>
      <c r="B228" s="13">
        <f>Catalog!C228</f>
        <v/>
      </c>
      <c r="C228" s="15">
        <f>Catalog!D228</f>
        <v/>
      </c>
      <c r="D228" s="15">
        <f>Catalog!N228</f>
        <v/>
      </c>
      <c r="E228" s="15">
        <f>Catalog!F228</f>
        <v/>
      </c>
      <c r="F228" s="15">
        <f>IF(Catalog!W228="","",Catalog!W228&amp;" "&amp;Catalog!X228)</f>
        <v/>
      </c>
      <c r="G228" s="9" t="n"/>
    </row>
    <row r="229">
      <c r="A229" s="13">
        <f>Catalog!A229</f>
        <v/>
      </c>
      <c r="B229" s="13">
        <f>Catalog!C229</f>
        <v/>
      </c>
      <c r="C229" s="15">
        <f>Catalog!D229</f>
        <v/>
      </c>
      <c r="D229" s="15">
        <f>Catalog!N229</f>
        <v/>
      </c>
      <c r="E229" s="15">
        <f>Catalog!F229</f>
        <v/>
      </c>
      <c r="F229" s="15">
        <f>IF(Catalog!W229="","",Catalog!W229&amp;" "&amp;Catalog!X229)</f>
        <v/>
      </c>
      <c r="G229" s="9" t="n"/>
    </row>
    <row r="230">
      <c r="A230" s="13">
        <f>Catalog!A230</f>
        <v/>
      </c>
      <c r="B230" s="13">
        <f>Catalog!C230</f>
        <v/>
      </c>
      <c r="C230" s="15">
        <f>Catalog!D230</f>
        <v/>
      </c>
      <c r="D230" s="15">
        <f>Catalog!N230</f>
        <v/>
      </c>
      <c r="E230" s="15">
        <f>Catalog!F230</f>
        <v/>
      </c>
      <c r="F230" s="15">
        <f>IF(Catalog!W230="","",Catalog!W230&amp;" "&amp;Catalog!X230)</f>
        <v/>
      </c>
      <c r="G230" s="9" t="n"/>
    </row>
    <row r="231">
      <c r="A231" s="13">
        <f>Catalog!A231</f>
        <v/>
      </c>
      <c r="B231" s="13">
        <f>Catalog!C231</f>
        <v/>
      </c>
      <c r="C231" s="15">
        <f>Catalog!D231</f>
        <v/>
      </c>
      <c r="D231" s="15">
        <f>Catalog!N231</f>
        <v/>
      </c>
      <c r="E231" s="15">
        <f>Catalog!F231</f>
        <v/>
      </c>
      <c r="F231" s="15">
        <f>IF(Catalog!W231="","",Catalog!W231&amp;" "&amp;Catalog!X231)</f>
        <v/>
      </c>
      <c r="G231" s="9" t="n"/>
    </row>
    <row r="232">
      <c r="A232" s="13">
        <f>Catalog!A232</f>
        <v/>
      </c>
      <c r="B232" s="13">
        <f>Catalog!C232</f>
        <v/>
      </c>
      <c r="C232" s="15">
        <f>Catalog!D232</f>
        <v/>
      </c>
      <c r="D232" s="15">
        <f>Catalog!N232</f>
        <v/>
      </c>
      <c r="E232" s="15">
        <f>Catalog!F232</f>
        <v/>
      </c>
      <c r="F232" s="15">
        <f>IF(Catalog!W232="","",Catalog!W232&amp;" "&amp;Catalog!X232)</f>
        <v/>
      </c>
      <c r="G232" s="9" t="n"/>
    </row>
    <row r="233">
      <c r="A233" s="13">
        <f>Catalog!A233</f>
        <v/>
      </c>
      <c r="B233" s="13">
        <f>Catalog!C233</f>
        <v/>
      </c>
      <c r="C233" s="15">
        <f>Catalog!D233</f>
        <v/>
      </c>
      <c r="D233" s="15">
        <f>Catalog!N233</f>
        <v/>
      </c>
      <c r="E233" s="15">
        <f>Catalog!F233</f>
        <v/>
      </c>
      <c r="F233" s="15">
        <f>IF(Catalog!W233="","",Catalog!W233&amp;" "&amp;Catalog!X233)</f>
        <v/>
      </c>
      <c r="G233" s="9" t="n"/>
    </row>
    <row r="234">
      <c r="A234" s="13">
        <f>Catalog!A234</f>
        <v/>
      </c>
      <c r="B234" s="13">
        <f>Catalog!C234</f>
        <v/>
      </c>
      <c r="C234" s="15">
        <f>Catalog!D234</f>
        <v/>
      </c>
      <c r="D234" s="15">
        <f>Catalog!N234</f>
        <v/>
      </c>
      <c r="E234" s="15">
        <f>Catalog!F234</f>
        <v/>
      </c>
      <c r="F234" s="15">
        <f>IF(Catalog!W234="","",Catalog!W234&amp;" "&amp;Catalog!X234)</f>
        <v/>
      </c>
      <c r="G234" s="9" t="n"/>
    </row>
    <row r="235">
      <c r="A235" s="13">
        <f>Catalog!A235</f>
        <v/>
      </c>
      <c r="B235" s="13">
        <f>Catalog!C235</f>
        <v/>
      </c>
      <c r="C235" s="15">
        <f>Catalog!D235</f>
        <v/>
      </c>
      <c r="D235" s="15">
        <f>Catalog!N235</f>
        <v/>
      </c>
      <c r="E235" s="15">
        <f>Catalog!F235</f>
        <v/>
      </c>
      <c r="F235" s="15">
        <f>IF(Catalog!W235="","",Catalog!W235&amp;" "&amp;Catalog!X235)</f>
        <v/>
      </c>
      <c r="G235" s="9" t="n"/>
    </row>
    <row r="236">
      <c r="A236" s="13">
        <f>Catalog!A236</f>
        <v/>
      </c>
      <c r="B236" s="13">
        <f>Catalog!C236</f>
        <v/>
      </c>
      <c r="C236" s="15">
        <f>Catalog!D236</f>
        <v/>
      </c>
      <c r="D236" s="15">
        <f>Catalog!N236</f>
        <v/>
      </c>
      <c r="E236" s="15">
        <f>Catalog!F236</f>
        <v/>
      </c>
      <c r="F236" s="15">
        <f>IF(Catalog!W236="","",Catalog!W236&amp;" "&amp;Catalog!X236)</f>
        <v/>
      </c>
      <c r="G236" s="9" t="n"/>
    </row>
    <row r="237">
      <c r="A237" s="13">
        <f>Catalog!A237</f>
        <v/>
      </c>
      <c r="B237" s="13">
        <f>Catalog!C237</f>
        <v/>
      </c>
      <c r="C237" s="15">
        <f>Catalog!D237</f>
        <v/>
      </c>
      <c r="D237" s="15">
        <f>Catalog!N237</f>
        <v/>
      </c>
      <c r="E237" s="15">
        <f>Catalog!F237</f>
        <v/>
      </c>
      <c r="F237" s="15">
        <f>IF(Catalog!W237="","",Catalog!W237&amp;" "&amp;Catalog!X237)</f>
        <v/>
      </c>
      <c r="G237" s="9" t="n"/>
    </row>
    <row r="238">
      <c r="A238" s="13">
        <f>Catalog!A238</f>
        <v/>
      </c>
      <c r="B238" s="13">
        <f>Catalog!C238</f>
        <v/>
      </c>
      <c r="C238" s="15">
        <f>Catalog!D238</f>
        <v/>
      </c>
      <c r="D238" s="15">
        <f>Catalog!N238</f>
        <v/>
      </c>
      <c r="E238" s="15">
        <f>Catalog!F238</f>
        <v/>
      </c>
      <c r="F238" s="15">
        <f>IF(Catalog!W238="","",Catalog!W238&amp;" "&amp;Catalog!X238)</f>
        <v/>
      </c>
      <c r="G238" s="9" t="n"/>
    </row>
    <row r="239">
      <c r="A239" s="13">
        <f>Catalog!A239</f>
        <v/>
      </c>
      <c r="B239" s="13">
        <f>Catalog!C239</f>
        <v/>
      </c>
      <c r="C239" s="15">
        <f>Catalog!D239</f>
        <v/>
      </c>
      <c r="D239" s="15">
        <f>Catalog!N239</f>
        <v/>
      </c>
      <c r="E239" s="15">
        <f>Catalog!F239</f>
        <v/>
      </c>
      <c r="F239" s="15">
        <f>IF(Catalog!W239="","",Catalog!W239&amp;" "&amp;Catalog!X239)</f>
        <v/>
      </c>
      <c r="G239" s="9" t="n"/>
    </row>
    <row r="240">
      <c r="A240" s="13">
        <f>Catalog!A240</f>
        <v/>
      </c>
      <c r="B240" s="13">
        <f>Catalog!C240</f>
        <v/>
      </c>
      <c r="C240" s="15">
        <f>Catalog!D240</f>
        <v/>
      </c>
      <c r="D240" s="15">
        <f>Catalog!N240</f>
        <v/>
      </c>
      <c r="E240" s="15">
        <f>Catalog!F240</f>
        <v/>
      </c>
      <c r="F240" s="15">
        <f>IF(Catalog!W240="","",Catalog!W240&amp;" "&amp;Catalog!X240)</f>
        <v/>
      </c>
      <c r="G240" s="9" t="n"/>
    </row>
    <row r="241">
      <c r="A241" s="13">
        <f>Catalog!A241</f>
        <v/>
      </c>
      <c r="B241" s="13">
        <f>Catalog!C241</f>
        <v/>
      </c>
      <c r="C241" s="15">
        <f>Catalog!D241</f>
        <v/>
      </c>
      <c r="D241" s="15">
        <f>Catalog!N241</f>
        <v/>
      </c>
      <c r="E241" s="15">
        <f>Catalog!F241</f>
        <v/>
      </c>
      <c r="F241" s="15">
        <f>IF(Catalog!W241="","",Catalog!W241&amp;" "&amp;Catalog!X241)</f>
        <v/>
      </c>
      <c r="G241" s="9" t="n"/>
    </row>
    <row r="242">
      <c r="A242" s="13">
        <f>Catalog!A242</f>
        <v/>
      </c>
      <c r="B242" s="13">
        <f>Catalog!C242</f>
        <v/>
      </c>
      <c r="C242" s="15">
        <f>Catalog!D242</f>
        <v/>
      </c>
      <c r="D242" s="15">
        <f>Catalog!N242</f>
        <v/>
      </c>
      <c r="E242" s="15">
        <f>Catalog!F242</f>
        <v/>
      </c>
      <c r="F242" s="15">
        <f>IF(Catalog!W242="","",Catalog!W242&amp;" "&amp;Catalog!X242)</f>
        <v/>
      </c>
      <c r="G242" s="9" t="n"/>
    </row>
    <row r="243">
      <c r="A243" s="13">
        <f>Catalog!A243</f>
        <v/>
      </c>
      <c r="B243" s="13">
        <f>Catalog!C243</f>
        <v/>
      </c>
      <c r="C243" s="15">
        <f>Catalog!D243</f>
        <v/>
      </c>
      <c r="D243" s="15">
        <f>Catalog!N243</f>
        <v/>
      </c>
      <c r="E243" s="15">
        <f>Catalog!F243</f>
        <v/>
      </c>
      <c r="F243" s="15">
        <f>IF(Catalog!W243="","",Catalog!W243&amp;" "&amp;Catalog!X243)</f>
        <v/>
      </c>
      <c r="G243" s="9" t="n"/>
    </row>
    <row r="244">
      <c r="A244" s="13">
        <f>Catalog!A244</f>
        <v/>
      </c>
      <c r="B244" s="13">
        <f>Catalog!C244</f>
        <v/>
      </c>
      <c r="C244" s="15">
        <f>Catalog!D244</f>
        <v/>
      </c>
      <c r="D244" s="15">
        <f>Catalog!N244</f>
        <v/>
      </c>
      <c r="E244" s="15">
        <f>Catalog!F244</f>
        <v/>
      </c>
      <c r="F244" s="15">
        <f>IF(Catalog!W244="","",Catalog!W244&amp;" "&amp;Catalog!X244)</f>
        <v/>
      </c>
      <c r="G244" s="9" t="n"/>
    </row>
    <row r="245">
      <c r="A245" s="13">
        <f>Catalog!A245</f>
        <v/>
      </c>
      <c r="B245" s="13">
        <f>Catalog!C245</f>
        <v/>
      </c>
      <c r="C245" s="15">
        <f>Catalog!D245</f>
        <v/>
      </c>
      <c r="D245" s="15">
        <f>Catalog!N245</f>
        <v/>
      </c>
      <c r="E245" s="15">
        <f>Catalog!F245</f>
        <v/>
      </c>
      <c r="F245" s="15">
        <f>IF(Catalog!W245="","",Catalog!W245&amp;" "&amp;Catalog!X245)</f>
        <v/>
      </c>
      <c r="G245" s="9" t="n"/>
    </row>
    <row r="246">
      <c r="A246" s="13">
        <f>Catalog!A246</f>
        <v/>
      </c>
      <c r="B246" s="13">
        <f>Catalog!C246</f>
        <v/>
      </c>
      <c r="C246" s="15">
        <f>Catalog!D246</f>
        <v/>
      </c>
      <c r="D246" s="15">
        <f>Catalog!N246</f>
        <v/>
      </c>
      <c r="E246" s="15">
        <f>Catalog!F246</f>
        <v/>
      </c>
      <c r="F246" s="15">
        <f>IF(Catalog!W246="","",Catalog!W246&amp;" "&amp;Catalog!X246)</f>
        <v/>
      </c>
      <c r="G246" s="9" t="n"/>
    </row>
    <row r="247">
      <c r="A247" s="13">
        <f>Catalog!A247</f>
        <v/>
      </c>
      <c r="B247" s="13">
        <f>Catalog!C247</f>
        <v/>
      </c>
      <c r="C247" s="15">
        <f>Catalog!D247</f>
        <v/>
      </c>
      <c r="D247" s="15">
        <f>Catalog!N247</f>
        <v/>
      </c>
      <c r="E247" s="15">
        <f>Catalog!F247</f>
        <v/>
      </c>
      <c r="F247" s="15">
        <f>IF(Catalog!W247="","",Catalog!W247&amp;" "&amp;Catalog!X247)</f>
        <v/>
      </c>
      <c r="G247" s="9" t="n"/>
    </row>
    <row r="248">
      <c r="A248" s="13">
        <f>Catalog!A248</f>
        <v/>
      </c>
      <c r="B248" s="13">
        <f>Catalog!C248</f>
        <v/>
      </c>
      <c r="C248" s="15">
        <f>Catalog!D248</f>
        <v/>
      </c>
      <c r="D248" s="15">
        <f>Catalog!N248</f>
        <v/>
      </c>
      <c r="E248" s="15">
        <f>Catalog!F248</f>
        <v/>
      </c>
      <c r="F248" s="15">
        <f>IF(Catalog!W248="","",Catalog!W248&amp;" "&amp;Catalog!X248)</f>
        <v/>
      </c>
      <c r="G248" s="9" t="n"/>
    </row>
    <row r="249">
      <c r="A249" s="13">
        <f>Catalog!A249</f>
        <v/>
      </c>
      <c r="B249" s="13">
        <f>Catalog!C249</f>
        <v/>
      </c>
      <c r="C249" s="15">
        <f>Catalog!D249</f>
        <v/>
      </c>
      <c r="D249" s="15">
        <f>Catalog!N249</f>
        <v/>
      </c>
      <c r="E249" s="15">
        <f>Catalog!F249</f>
        <v/>
      </c>
      <c r="F249" s="15">
        <f>IF(Catalog!W249="","",Catalog!W249&amp;" "&amp;Catalog!X249)</f>
        <v/>
      </c>
      <c r="G249" s="9" t="n"/>
    </row>
    <row r="250">
      <c r="A250" s="13">
        <f>Catalog!A250</f>
        <v/>
      </c>
      <c r="B250" s="13">
        <f>Catalog!C250</f>
        <v/>
      </c>
      <c r="C250" s="15">
        <f>Catalog!D250</f>
        <v/>
      </c>
      <c r="D250" s="15">
        <f>Catalog!N250</f>
        <v/>
      </c>
      <c r="E250" s="15">
        <f>Catalog!F250</f>
        <v/>
      </c>
      <c r="F250" s="15">
        <f>IF(Catalog!W250="","",Catalog!W250&amp;" "&amp;Catalog!X250)</f>
        <v/>
      </c>
      <c r="G250" s="9" t="n"/>
    </row>
    <row r="251">
      <c r="A251" s="13">
        <f>Catalog!A251</f>
        <v/>
      </c>
      <c r="B251" s="13">
        <f>Catalog!C251</f>
        <v/>
      </c>
      <c r="C251" s="15">
        <f>Catalog!D251</f>
        <v/>
      </c>
      <c r="D251" s="15">
        <f>Catalog!N251</f>
        <v/>
      </c>
      <c r="E251" s="15">
        <f>Catalog!F251</f>
        <v/>
      </c>
      <c r="F251" s="15">
        <f>IF(Catalog!W251="","",Catalog!W251&amp;" "&amp;Catalog!X251)</f>
        <v/>
      </c>
      <c r="G251" s="9" t="n"/>
    </row>
    <row r="252">
      <c r="A252" s="13">
        <f>Catalog!A252</f>
        <v/>
      </c>
      <c r="B252" s="13">
        <f>Catalog!C252</f>
        <v/>
      </c>
      <c r="C252" s="15">
        <f>Catalog!D252</f>
        <v/>
      </c>
      <c r="D252" s="15">
        <f>Catalog!N252</f>
        <v/>
      </c>
      <c r="E252" s="15">
        <f>Catalog!F252</f>
        <v/>
      </c>
      <c r="F252" s="15">
        <f>IF(Catalog!W252="","",Catalog!W252&amp;" "&amp;Catalog!X252)</f>
        <v/>
      </c>
      <c r="G252" s="9" t="n"/>
    </row>
    <row r="253">
      <c r="A253" s="13">
        <f>Catalog!A253</f>
        <v/>
      </c>
      <c r="B253" s="13">
        <f>Catalog!C253</f>
        <v/>
      </c>
      <c r="C253" s="15">
        <f>Catalog!D253</f>
        <v/>
      </c>
      <c r="D253" s="15">
        <f>Catalog!N253</f>
        <v/>
      </c>
      <c r="E253" s="15">
        <f>Catalog!F253</f>
        <v/>
      </c>
      <c r="F253" s="15">
        <f>IF(Catalog!W253="","",Catalog!W253&amp;" "&amp;Catalog!X253)</f>
        <v/>
      </c>
      <c r="G253" s="9" t="n"/>
    </row>
    <row r="254">
      <c r="A254" s="13">
        <f>Catalog!A254</f>
        <v/>
      </c>
      <c r="B254" s="13">
        <f>Catalog!C254</f>
        <v/>
      </c>
      <c r="C254" s="15">
        <f>Catalog!D254</f>
        <v/>
      </c>
      <c r="D254" s="15">
        <f>Catalog!N254</f>
        <v/>
      </c>
      <c r="E254" s="15">
        <f>Catalog!F254</f>
        <v/>
      </c>
      <c r="F254" s="15">
        <f>IF(Catalog!W254="","",Catalog!W254&amp;" "&amp;Catalog!X254)</f>
        <v/>
      </c>
      <c r="G254" s="9" t="n"/>
    </row>
    <row r="255">
      <c r="A255" s="13">
        <f>Catalog!A255</f>
        <v/>
      </c>
      <c r="B255" s="13">
        <f>Catalog!C255</f>
        <v/>
      </c>
      <c r="C255" s="15">
        <f>Catalog!D255</f>
        <v/>
      </c>
      <c r="D255" s="15">
        <f>Catalog!N255</f>
        <v/>
      </c>
      <c r="E255" s="15">
        <f>Catalog!F255</f>
        <v/>
      </c>
      <c r="F255" s="15">
        <f>IF(Catalog!W255="","",Catalog!W255&amp;" "&amp;Catalog!X255)</f>
        <v/>
      </c>
      <c r="G255" s="9" t="n"/>
    </row>
    <row r="256">
      <c r="A256" s="13">
        <f>Catalog!A256</f>
        <v/>
      </c>
      <c r="B256" s="13">
        <f>Catalog!C256</f>
        <v/>
      </c>
      <c r="C256" s="15">
        <f>Catalog!D256</f>
        <v/>
      </c>
      <c r="D256" s="15">
        <f>Catalog!N256</f>
        <v/>
      </c>
      <c r="E256" s="15">
        <f>Catalog!F256</f>
        <v/>
      </c>
      <c r="F256" s="15">
        <f>IF(Catalog!W256="","",Catalog!W256&amp;" "&amp;Catalog!X256)</f>
        <v/>
      </c>
      <c r="G256" s="9" t="n"/>
    </row>
    <row r="257">
      <c r="A257" s="13">
        <f>Catalog!A257</f>
        <v/>
      </c>
      <c r="B257" s="13">
        <f>Catalog!C257</f>
        <v/>
      </c>
      <c r="C257" s="15">
        <f>Catalog!D257</f>
        <v/>
      </c>
      <c r="D257" s="15">
        <f>Catalog!N257</f>
        <v/>
      </c>
      <c r="E257" s="15">
        <f>Catalog!F257</f>
        <v/>
      </c>
      <c r="F257" s="15">
        <f>IF(Catalog!W257="","",Catalog!W257&amp;" "&amp;Catalog!X257)</f>
        <v/>
      </c>
      <c r="G257" s="9" t="n"/>
    </row>
    <row r="258">
      <c r="A258" s="13">
        <f>Catalog!A258</f>
        <v/>
      </c>
      <c r="B258" s="13">
        <f>Catalog!C258</f>
        <v/>
      </c>
      <c r="C258" s="15">
        <f>Catalog!D258</f>
        <v/>
      </c>
      <c r="D258" s="15">
        <f>Catalog!N258</f>
        <v/>
      </c>
      <c r="E258" s="15">
        <f>Catalog!F258</f>
        <v/>
      </c>
      <c r="F258" s="15">
        <f>IF(Catalog!W258="","",Catalog!W258&amp;" "&amp;Catalog!X258)</f>
        <v/>
      </c>
      <c r="G258" s="9" t="n"/>
    </row>
    <row r="259">
      <c r="A259" s="13">
        <f>Catalog!A259</f>
        <v/>
      </c>
      <c r="B259" s="13">
        <f>Catalog!C259</f>
        <v/>
      </c>
      <c r="C259" s="15">
        <f>Catalog!D259</f>
        <v/>
      </c>
      <c r="D259" s="15">
        <f>Catalog!N259</f>
        <v/>
      </c>
      <c r="E259" s="15">
        <f>Catalog!F259</f>
        <v/>
      </c>
      <c r="F259" s="15">
        <f>IF(Catalog!W259="","",Catalog!W259&amp;" "&amp;Catalog!X259)</f>
        <v/>
      </c>
      <c r="G259" s="9" t="n"/>
    </row>
    <row r="260">
      <c r="A260" s="13">
        <f>Catalog!A260</f>
        <v/>
      </c>
      <c r="B260" s="13">
        <f>Catalog!C260</f>
        <v/>
      </c>
      <c r="C260" s="15">
        <f>Catalog!D260</f>
        <v/>
      </c>
      <c r="D260" s="15">
        <f>Catalog!N260</f>
        <v/>
      </c>
      <c r="E260" s="15">
        <f>Catalog!F260</f>
        <v/>
      </c>
      <c r="F260" s="15">
        <f>IF(Catalog!W260="","",Catalog!W260&amp;" "&amp;Catalog!X260)</f>
        <v/>
      </c>
      <c r="G260" s="9" t="n"/>
    </row>
    <row r="261">
      <c r="A261" s="13">
        <f>Catalog!A261</f>
        <v/>
      </c>
      <c r="B261" s="13">
        <f>Catalog!C261</f>
        <v/>
      </c>
      <c r="C261" s="15">
        <f>Catalog!D261</f>
        <v/>
      </c>
      <c r="D261" s="15">
        <f>Catalog!N261</f>
        <v/>
      </c>
      <c r="E261" s="15">
        <f>Catalog!F261</f>
        <v/>
      </c>
      <c r="F261" s="15">
        <f>IF(Catalog!W261="","",Catalog!W261&amp;" "&amp;Catalog!X261)</f>
        <v/>
      </c>
      <c r="G261" s="9" t="n"/>
    </row>
    <row r="262">
      <c r="A262" s="13">
        <f>Catalog!A262</f>
        <v/>
      </c>
      <c r="B262" s="13">
        <f>Catalog!C262</f>
        <v/>
      </c>
      <c r="C262" s="15">
        <f>Catalog!D262</f>
        <v/>
      </c>
      <c r="D262" s="15">
        <f>Catalog!N262</f>
        <v/>
      </c>
      <c r="E262" s="15">
        <f>Catalog!F262</f>
        <v/>
      </c>
      <c r="F262" s="15">
        <f>IF(Catalog!W262="","",Catalog!W262&amp;" "&amp;Catalog!X262)</f>
        <v/>
      </c>
      <c r="G262" s="9" t="n"/>
    </row>
    <row r="263">
      <c r="A263" s="13">
        <f>Catalog!A263</f>
        <v/>
      </c>
      <c r="B263" s="13">
        <f>Catalog!C263</f>
        <v/>
      </c>
      <c r="C263" s="15">
        <f>Catalog!D263</f>
        <v/>
      </c>
      <c r="D263" s="15">
        <f>Catalog!N263</f>
        <v/>
      </c>
      <c r="E263" s="15">
        <f>Catalog!F263</f>
        <v/>
      </c>
      <c r="F263" s="15">
        <f>IF(Catalog!W263="","",Catalog!W263&amp;" "&amp;Catalog!X263)</f>
        <v/>
      </c>
      <c r="G263" s="9" t="n"/>
    </row>
    <row r="264">
      <c r="A264" s="13">
        <f>Catalog!A264</f>
        <v/>
      </c>
      <c r="B264" s="13">
        <f>Catalog!C264</f>
        <v/>
      </c>
      <c r="C264" s="15">
        <f>Catalog!D264</f>
        <v/>
      </c>
      <c r="D264" s="15">
        <f>Catalog!N264</f>
        <v/>
      </c>
      <c r="E264" s="15">
        <f>Catalog!F264</f>
        <v/>
      </c>
      <c r="F264" s="15">
        <f>IF(Catalog!W264="","",Catalog!W264&amp;" "&amp;Catalog!X264)</f>
        <v/>
      </c>
      <c r="G264" s="9" t="n"/>
    </row>
    <row r="265">
      <c r="A265" s="13">
        <f>Catalog!A265</f>
        <v/>
      </c>
      <c r="B265" s="13">
        <f>Catalog!C265</f>
        <v/>
      </c>
      <c r="C265" s="15">
        <f>Catalog!D265</f>
        <v/>
      </c>
      <c r="D265" s="15">
        <f>Catalog!N265</f>
        <v/>
      </c>
      <c r="E265" s="15">
        <f>Catalog!F265</f>
        <v/>
      </c>
      <c r="F265" s="15">
        <f>IF(Catalog!W265="","",Catalog!W265&amp;" "&amp;Catalog!X265)</f>
        <v/>
      </c>
      <c r="G265" s="9" t="n"/>
    </row>
    <row r="266">
      <c r="A266" s="13">
        <f>Catalog!A266</f>
        <v/>
      </c>
      <c r="B266" s="13">
        <f>Catalog!C266</f>
        <v/>
      </c>
      <c r="C266" s="15">
        <f>Catalog!D266</f>
        <v/>
      </c>
      <c r="D266" s="15">
        <f>Catalog!N266</f>
        <v/>
      </c>
      <c r="E266" s="15">
        <f>Catalog!F266</f>
        <v/>
      </c>
      <c r="F266" s="15">
        <f>IF(Catalog!W266="","",Catalog!W266&amp;" "&amp;Catalog!X266)</f>
        <v/>
      </c>
      <c r="G266" s="9" t="n"/>
    </row>
    <row r="267">
      <c r="A267" s="13">
        <f>Catalog!A267</f>
        <v/>
      </c>
      <c r="B267" s="13">
        <f>Catalog!C267</f>
        <v/>
      </c>
      <c r="C267" s="15">
        <f>Catalog!D267</f>
        <v/>
      </c>
      <c r="D267" s="15">
        <f>Catalog!N267</f>
        <v/>
      </c>
      <c r="E267" s="15">
        <f>Catalog!F267</f>
        <v/>
      </c>
      <c r="F267" s="15">
        <f>IF(Catalog!W267="","",Catalog!W267&amp;" "&amp;Catalog!X267)</f>
        <v/>
      </c>
      <c r="G267" s="9" t="n"/>
    </row>
    <row r="268">
      <c r="A268" s="13">
        <f>Catalog!A268</f>
        <v/>
      </c>
      <c r="B268" s="13">
        <f>Catalog!C268</f>
        <v/>
      </c>
      <c r="C268" s="15">
        <f>Catalog!D268</f>
        <v/>
      </c>
      <c r="D268" s="15">
        <f>Catalog!N268</f>
        <v/>
      </c>
      <c r="E268" s="15">
        <f>Catalog!F268</f>
        <v/>
      </c>
      <c r="F268" s="15">
        <f>IF(Catalog!W268="","",Catalog!W268&amp;" "&amp;Catalog!X268)</f>
        <v/>
      </c>
      <c r="G268" s="9" t="n"/>
    </row>
    <row r="269">
      <c r="A269" s="13">
        <f>Catalog!A269</f>
        <v/>
      </c>
      <c r="B269" s="13">
        <f>Catalog!C269</f>
        <v/>
      </c>
      <c r="C269" s="15">
        <f>Catalog!D269</f>
        <v/>
      </c>
      <c r="D269" s="15">
        <f>Catalog!N269</f>
        <v/>
      </c>
      <c r="E269" s="15">
        <f>Catalog!F269</f>
        <v/>
      </c>
      <c r="F269" s="15">
        <f>IF(Catalog!W269="","",Catalog!W269&amp;" "&amp;Catalog!X269)</f>
        <v/>
      </c>
      <c r="G269" s="9" t="n"/>
    </row>
    <row r="270">
      <c r="A270" s="13">
        <f>Catalog!A270</f>
        <v/>
      </c>
      <c r="B270" s="13">
        <f>Catalog!C270</f>
        <v/>
      </c>
      <c r="C270" s="15">
        <f>Catalog!D270</f>
        <v/>
      </c>
      <c r="D270" s="15">
        <f>Catalog!N270</f>
        <v/>
      </c>
      <c r="E270" s="15">
        <f>Catalog!F270</f>
        <v/>
      </c>
      <c r="F270" s="15">
        <f>IF(Catalog!W270="","",Catalog!W270&amp;" "&amp;Catalog!X270)</f>
        <v/>
      </c>
      <c r="G270" s="9" t="n"/>
    </row>
    <row r="271">
      <c r="A271" s="13">
        <f>Catalog!A271</f>
        <v/>
      </c>
      <c r="B271" s="13">
        <f>Catalog!C271</f>
        <v/>
      </c>
      <c r="C271" s="15">
        <f>Catalog!D271</f>
        <v/>
      </c>
      <c r="D271" s="15">
        <f>Catalog!N271</f>
        <v/>
      </c>
      <c r="E271" s="15">
        <f>Catalog!F271</f>
        <v/>
      </c>
      <c r="F271" s="15">
        <f>IF(Catalog!W271="","",Catalog!W271&amp;" "&amp;Catalog!X271)</f>
        <v/>
      </c>
      <c r="G271" s="9" t="n"/>
    </row>
    <row r="272">
      <c r="A272" s="13">
        <f>Catalog!A272</f>
        <v/>
      </c>
      <c r="B272" s="13">
        <f>Catalog!C272</f>
        <v/>
      </c>
      <c r="C272" s="15">
        <f>Catalog!D272</f>
        <v/>
      </c>
      <c r="D272" s="15">
        <f>Catalog!N272</f>
        <v/>
      </c>
      <c r="E272" s="15">
        <f>Catalog!F272</f>
        <v/>
      </c>
      <c r="F272" s="15">
        <f>IF(Catalog!W272="","",Catalog!W272&amp;" "&amp;Catalog!X272)</f>
        <v/>
      </c>
      <c r="G272" s="9" t="n"/>
    </row>
    <row r="273">
      <c r="A273" s="13">
        <f>Catalog!A273</f>
        <v/>
      </c>
      <c r="B273" s="13">
        <f>Catalog!C273</f>
        <v/>
      </c>
      <c r="C273" s="15">
        <f>Catalog!D273</f>
        <v/>
      </c>
      <c r="D273" s="15">
        <f>Catalog!N273</f>
        <v/>
      </c>
      <c r="E273" s="15">
        <f>Catalog!F273</f>
        <v/>
      </c>
      <c r="F273" s="15">
        <f>IF(Catalog!W273="","",Catalog!W273&amp;" "&amp;Catalog!X273)</f>
        <v/>
      </c>
      <c r="G273" s="9" t="n"/>
    </row>
    <row r="274">
      <c r="A274" s="13">
        <f>Catalog!A274</f>
        <v/>
      </c>
      <c r="B274" s="13">
        <f>Catalog!C274</f>
        <v/>
      </c>
      <c r="C274" s="15">
        <f>Catalog!D274</f>
        <v/>
      </c>
      <c r="D274" s="15">
        <f>Catalog!N274</f>
        <v/>
      </c>
      <c r="E274" s="15">
        <f>Catalog!F274</f>
        <v/>
      </c>
      <c r="F274" s="15">
        <f>IF(Catalog!W274="","",Catalog!W274&amp;" "&amp;Catalog!X274)</f>
        <v/>
      </c>
      <c r="G274" s="9" t="n"/>
    </row>
    <row r="275">
      <c r="A275" s="13">
        <f>Catalog!A275</f>
        <v/>
      </c>
      <c r="B275" s="13">
        <f>Catalog!C275</f>
        <v/>
      </c>
      <c r="C275" s="15">
        <f>Catalog!D275</f>
        <v/>
      </c>
      <c r="D275" s="15">
        <f>Catalog!N275</f>
        <v/>
      </c>
      <c r="E275" s="15">
        <f>Catalog!F275</f>
        <v/>
      </c>
      <c r="F275" s="15">
        <f>IF(Catalog!W275="","",Catalog!W275&amp;" "&amp;Catalog!X275)</f>
        <v/>
      </c>
      <c r="G275" s="9" t="n"/>
    </row>
    <row r="276">
      <c r="A276" s="13">
        <f>Catalog!A276</f>
        <v/>
      </c>
      <c r="B276" s="13">
        <f>Catalog!C276</f>
        <v/>
      </c>
      <c r="C276" s="15">
        <f>Catalog!D276</f>
        <v/>
      </c>
      <c r="D276" s="15">
        <f>Catalog!N276</f>
        <v/>
      </c>
      <c r="E276" s="15">
        <f>Catalog!F276</f>
        <v/>
      </c>
      <c r="F276" s="15">
        <f>IF(Catalog!W276="","",Catalog!W276&amp;" "&amp;Catalog!X276)</f>
        <v/>
      </c>
      <c r="G276" s="9" t="n"/>
    </row>
    <row r="277">
      <c r="A277" s="13">
        <f>Catalog!A277</f>
        <v/>
      </c>
      <c r="B277" s="13">
        <f>Catalog!C277</f>
        <v/>
      </c>
      <c r="C277" s="15">
        <f>Catalog!D277</f>
        <v/>
      </c>
      <c r="D277" s="15">
        <f>Catalog!N277</f>
        <v/>
      </c>
      <c r="E277" s="15">
        <f>Catalog!F277</f>
        <v/>
      </c>
      <c r="F277" s="15">
        <f>IF(Catalog!W277="","",Catalog!W277&amp;" "&amp;Catalog!X277)</f>
        <v/>
      </c>
      <c r="G277" s="9" t="n"/>
    </row>
    <row r="278">
      <c r="A278" s="13">
        <f>Catalog!A278</f>
        <v/>
      </c>
      <c r="B278" s="13">
        <f>Catalog!C278</f>
        <v/>
      </c>
      <c r="C278" s="15">
        <f>Catalog!D278</f>
        <v/>
      </c>
      <c r="D278" s="15">
        <f>Catalog!N278</f>
        <v/>
      </c>
      <c r="E278" s="15">
        <f>Catalog!F278</f>
        <v/>
      </c>
      <c r="F278" s="15">
        <f>IF(Catalog!W278="","",Catalog!W278&amp;" "&amp;Catalog!X278)</f>
        <v/>
      </c>
      <c r="G278" s="9" t="n"/>
    </row>
    <row r="279">
      <c r="A279" s="13">
        <f>Catalog!A279</f>
        <v/>
      </c>
      <c r="B279" s="13">
        <f>Catalog!C279</f>
        <v/>
      </c>
      <c r="C279" s="15">
        <f>Catalog!D279</f>
        <v/>
      </c>
      <c r="D279" s="15">
        <f>Catalog!N279</f>
        <v/>
      </c>
      <c r="E279" s="15">
        <f>Catalog!F279</f>
        <v/>
      </c>
      <c r="F279" s="15">
        <f>IF(Catalog!W279="","",Catalog!W279&amp;" "&amp;Catalog!X279)</f>
        <v/>
      </c>
      <c r="G279" s="9" t="n"/>
    </row>
    <row r="280">
      <c r="A280" s="13">
        <f>Catalog!A280</f>
        <v/>
      </c>
      <c r="B280" s="13">
        <f>Catalog!C280</f>
        <v/>
      </c>
      <c r="C280" s="15">
        <f>Catalog!D280</f>
        <v/>
      </c>
      <c r="D280" s="15">
        <f>Catalog!N280</f>
        <v/>
      </c>
      <c r="E280" s="15">
        <f>Catalog!F280</f>
        <v/>
      </c>
      <c r="F280" s="15">
        <f>IF(Catalog!W280="","",Catalog!W280&amp;" "&amp;Catalog!X280)</f>
        <v/>
      </c>
      <c r="G280" s="9" t="n"/>
    </row>
    <row r="281">
      <c r="A281" s="13">
        <f>Catalog!A281</f>
        <v/>
      </c>
      <c r="B281" s="13">
        <f>Catalog!C281</f>
        <v/>
      </c>
      <c r="C281" s="15">
        <f>Catalog!D281</f>
        <v/>
      </c>
      <c r="D281" s="15">
        <f>Catalog!N281</f>
        <v/>
      </c>
      <c r="E281" s="15">
        <f>Catalog!F281</f>
        <v/>
      </c>
      <c r="F281" s="15">
        <f>IF(Catalog!W281="","",Catalog!W281&amp;" "&amp;Catalog!X281)</f>
        <v/>
      </c>
      <c r="G281" s="9" t="n"/>
    </row>
    <row r="282">
      <c r="A282" s="13">
        <f>Catalog!A282</f>
        <v/>
      </c>
      <c r="B282" s="13">
        <f>Catalog!C282</f>
        <v/>
      </c>
      <c r="C282" s="15">
        <f>Catalog!D282</f>
        <v/>
      </c>
      <c r="D282" s="15">
        <f>Catalog!N282</f>
        <v/>
      </c>
      <c r="E282" s="15">
        <f>Catalog!F282</f>
        <v/>
      </c>
      <c r="F282" s="15">
        <f>IF(Catalog!W282="","",Catalog!W282&amp;" "&amp;Catalog!X282)</f>
        <v/>
      </c>
      <c r="G282" s="9" t="n"/>
    </row>
    <row r="283">
      <c r="A283" s="13">
        <f>Catalog!A283</f>
        <v/>
      </c>
      <c r="B283" s="13">
        <f>Catalog!C283</f>
        <v/>
      </c>
      <c r="C283" s="15">
        <f>Catalog!D283</f>
        <v/>
      </c>
      <c r="D283" s="15">
        <f>Catalog!N283</f>
        <v/>
      </c>
      <c r="E283" s="15">
        <f>Catalog!F283</f>
        <v/>
      </c>
      <c r="F283" s="15">
        <f>IF(Catalog!W283="","",Catalog!W283&amp;" "&amp;Catalog!X283)</f>
        <v/>
      </c>
      <c r="G283" s="9" t="n"/>
    </row>
    <row r="284">
      <c r="A284" s="13">
        <f>Catalog!A284</f>
        <v/>
      </c>
      <c r="B284" s="13">
        <f>Catalog!C284</f>
        <v/>
      </c>
      <c r="C284" s="15">
        <f>Catalog!D284</f>
        <v/>
      </c>
      <c r="D284" s="15">
        <f>Catalog!N284</f>
        <v/>
      </c>
      <c r="E284" s="15">
        <f>Catalog!F284</f>
        <v/>
      </c>
      <c r="F284" s="15">
        <f>IF(Catalog!W284="","",Catalog!W284&amp;" "&amp;Catalog!X284)</f>
        <v/>
      </c>
      <c r="G284" s="9" t="n"/>
    </row>
    <row r="285">
      <c r="A285" s="13">
        <f>Catalog!A285</f>
        <v/>
      </c>
      <c r="B285" s="13">
        <f>Catalog!C285</f>
        <v/>
      </c>
      <c r="C285" s="15">
        <f>Catalog!D285</f>
        <v/>
      </c>
      <c r="D285" s="15">
        <f>Catalog!N285</f>
        <v/>
      </c>
      <c r="E285" s="15">
        <f>Catalog!F285</f>
        <v/>
      </c>
      <c r="F285" s="15">
        <f>IF(Catalog!W285="","",Catalog!W285&amp;" "&amp;Catalog!X285)</f>
        <v/>
      </c>
      <c r="G285" s="9" t="n"/>
    </row>
    <row r="286">
      <c r="A286" s="13">
        <f>Catalog!A286</f>
        <v/>
      </c>
      <c r="B286" s="13">
        <f>Catalog!C286</f>
        <v/>
      </c>
      <c r="C286" s="15">
        <f>Catalog!D286</f>
        <v/>
      </c>
      <c r="D286" s="15">
        <f>Catalog!N286</f>
        <v/>
      </c>
      <c r="E286" s="15">
        <f>Catalog!F286</f>
        <v/>
      </c>
      <c r="F286" s="15">
        <f>IF(Catalog!W286="","",Catalog!W286&amp;" "&amp;Catalog!X286)</f>
        <v/>
      </c>
      <c r="G286" s="9" t="n"/>
    </row>
    <row r="287">
      <c r="A287" s="13">
        <f>Catalog!A287</f>
        <v/>
      </c>
      <c r="B287" s="13">
        <f>Catalog!C287</f>
        <v/>
      </c>
      <c r="C287" s="15">
        <f>Catalog!D287</f>
        <v/>
      </c>
      <c r="D287" s="15">
        <f>Catalog!N287</f>
        <v/>
      </c>
      <c r="E287" s="15">
        <f>Catalog!F287</f>
        <v/>
      </c>
      <c r="F287" s="15">
        <f>IF(Catalog!W287="","",Catalog!W287&amp;" "&amp;Catalog!X287)</f>
        <v/>
      </c>
      <c r="G287" s="9" t="n"/>
    </row>
    <row r="288">
      <c r="A288" s="13">
        <f>Catalog!A288</f>
        <v/>
      </c>
      <c r="B288" s="13">
        <f>Catalog!C288</f>
        <v/>
      </c>
      <c r="C288" s="15">
        <f>Catalog!D288</f>
        <v/>
      </c>
      <c r="D288" s="15">
        <f>Catalog!N288</f>
        <v/>
      </c>
      <c r="E288" s="15">
        <f>Catalog!F288</f>
        <v/>
      </c>
      <c r="F288" s="15">
        <f>IF(Catalog!W288="","",Catalog!W288&amp;" "&amp;Catalog!X288)</f>
        <v/>
      </c>
      <c r="G288" s="9" t="n"/>
    </row>
    <row r="289">
      <c r="A289" s="13">
        <f>Catalog!A289</f>
        <v/>
      </c>
      <c r="B289" s="13">
        <f>Catalog!C289</f>
        <v/>
      </c>
      <c r="C289" s="15">
        <f>Catalog!D289</f>
        <v/>
      </c>
      <c r="D289" s="15">
        <f>Catalog!N289</f>
        <v/>
      </c>
      <c r="E289" s="15">
        <f>Catalog!F289</f>
        <v/>
      </c>
      <c r="F289" s="15">
        <f>IF(Catalog!W289="","",Catalog!W289&amp;" "&amp;Catalog!X289)</f>
        <v/>
      </c>
      <c r="G289" s="9" t="n"/>
    </row>
    <row r="290">
      <c r="A290" s="13">
        <f>Catalog!A290</f>
        <v/>
      </c>
      <c r="B290" s="13">
        <f>Catalog!C290</f>
        <v/>
      </c>
      <c r="C290" s="15">
        <f>Catalog!D290</f>
        <v/>
      </c>
      <c r="D290" s="15">
        <f>Catalog!N290</f>
        <v/>
      </c>
      <c r="E290" s="15">
        <f>Catalog!F290</f>
        <v/>
      </c>
      <c r="F290" s="15">
        <f>IF(Catalog!W290="","",Catalog!W290&amp;" "&amp;Catalog!X290)</f>
        <v/>
      </c>
      <c r="G290" s="9" t="n"/>
    </row>
    <row r="291">
      <c r="A291" s="13">
        <f>Catalog!A291</f>
        <v/>
      </c>
      <c r="B291" s="13">
        <f>Catalog!C291</f>
        <v/>
      </c>
      <c r="C291" s="15">
        <f>Catalog!D291</f>
        <v/>
      </c>
      <c r="D291" s="15">
        <f>Catalog!N291</f>
        <v/>
      </c>
      <c r="E291" s="15">
        <f>Catalog!F291</f>
        <v/>
      </c>
      <c r="F291" s="15">
        <f>IF(Catalog!W291="","",Catalog!W291&amp;" "&amp;Catalog!X291)</f>
        <v/>
      </c>
      <c r="G291" s="9" t="n"/>
    </row>
    <row r="292">
      <c r="A292" s="13">
        <f>Catalog!A292</f>
        <v/>
      </c>
      <c r="B292" s="13">
        <f>Catalog!C292</f>
        <v/>
      </c>
      <c r="C292" s="15">
        <f>Catalog!D292</f>
        <v/>
      </c>
      <c r="D292" s="15">
        <f>Catalog!N292</f>
        <v/>
      </c>
      <c r="E292" s="15">
        <f>Catalog!F292</f>
        <v/>
      </c>
      <c r="F292" s="15">
        <f>IF(Catalog!W292="","",Catalog!W292&amp;" "&amp;Catalog!X292)</f>
        <v/>
      </c>
      <c r="G292" s="9" t="n"/>
    </row>
    <row r="293">
      <c r="A293" s="13">
        <f>Catalog!A293</f>
        <v/>
      </c>
      <c r="B293" s="13">
        <f>Catalog!C293</f>
        <v/>
      </c>
      <c r="C293" s="15">
        <f>Catalog!D293</f>
        <v/>
      </c>
      <c r="D293" s="15">
        <f>Catalog!N293</f>
        <v/>
      </c>
      <c r="E293" s="15">
        <f>Catalog!F293</f>
        <v/>
      </c>
      <c r="F293" s="15">
        <f>IF(Catalog!W293="","",Catalog!W293&amp;" "&amp;Catalog!X293)</f>
        <v/>
      </c>
      <c r="G293" s="9" t="n"/>
    </row>
    <row r="294">
      <c r="A294" s="13">
        <f>Catalog!A294</f>
        <v/>
      </c>
      <c r="B294" s="13">
        <f>Catalog!C294</f>
        <v/>
      </c>
      <c r="C294" s="15">
        <f>Catalog!D294</f>
        <v/>
      </c>
      <c r="D294" s="15">
        <f>Catalog!N294</f>
        <v/>
      </c>
      <c r="E294" s="15">
        <f>Catalog!F294</f>
        <v/>
      </c>
      <c r="F294" s="15">
        <f>IF(Catalog!W294="","",Catalog!W294&amp;" "&amp;Catalog!X294)</f>
        <v/>
      </c>
      <c r="G294" s="9" t="n"/>
    </row>
    <row r="295">
      <c r="A295" s="13">
        <f>Catalog!A295</f>
        <v/>
      </c>
      <c r="B295" s="13">
        <f>Catalog!C295</f>
        <v/>
      </c>
      <c r="C295" s="15">
        <f>Catalog!D295</f>
        <v/>
      </c>
      <c r="D295" s="15">
        <f>Catalog!N295</f>
        <v/>
      </c>
      <c r="E295" s="15">
        <f>Catalog!F295</f>
        <v/>
      </c>
      <c r="F295" s="15">
        <f>IF(Catalog!W295="","",Catalog!W295&amp;" "&amp;Catalog!X295)</f>
        <v/>
      </c>
      <c r="G295" s="9" t="n"/>
    </row>
    <row r="296">
      <c r="A296" s="13">
        <f>Catalog!A296</f>
        <v/>
      </c>
      <c r="B296" s="13">
        <f>Catalog!C296</f>
        <v/>
      </c>
      <c r="C296" s="15">
        <f>Catalog!D296</f>
        <v/>
      </c>
      <c r="D296" s="15">
        <f>Catalog!N296</f>
        <v/>
      </c>
      <c r="E296" s="15">
        <f>Catalog!F296</f>
        <v/>
      </c>
      <c r="F296" s="15">
        <f>IF(Catalog!W296="","",Catalog!W296&amp;" "&amp;Catalog!X296)</f>
        <v/>
      </c>
      <c r="G296" s="9" t="n"/>
    </row>
    <row r="297">
      <c r="A297" s="13">
        <f>Catalog!A297</f>
        <v/>
      </c>
      <c r="B297" s="13">
        <f>Catalog!C297</f>
        <v/>
      </c>
      <c r="C297" s="15">
        <f>Catalog!D297</f>
        <v/>
      </c>
      <c r="D297" s="15">
        <f>Catalog!N297</f>
        <v/>
      </c>
      <c r="E297" s="15">
        <f>Catalog!F297</f>
        <v/>
      </c>
      <c r="F297" s="15">
        <f>IF(Catalog!W297="","",Catalog!W297&amp;" "&amp;Catalog!X297)</f>
        <v/>
      </c>
      <c r="G297" s="9" t="n"/>
    </row>
    <row r="298">
      <c r="A298" s="13">
        <f>Catalog!A298</f>
        <v/>
      </c>
      <c r="B298" s="13">
        <f>Catalog!C298</f>
        <v/>
      </c>
      <c r="C298" s="15">
        <f>Catalog!D298</f>
        <v/>
      </c>
      <c r="D298" s="15">
        <f>Catalog!N298</f>
        <v/>
      </c>
      <c r="E298" s="15">
        <f>Catalog!F298</f>
        <v/>
      </c>
      <c r="F298" s="15">
        <f>IF(Catalog!W298="","",Catalog!W298&amp;" "&amp;Catalog!X298)</f>
        <v/>
      </c>
      <c r="G298" s="9" t="n"/>
    </row>
    <row r="299">
      <c r="A299" s="13">
        <f>Catalog!A299</f>
        <v/>
      </c>
      <c r="B299" s="13">
        <f>Catalog!C299</f>
        <v/>
      </c>
      <c r="C299" s="15">
        <f>Catalog!D299</f>
        <v/>
      </c>
      <c r="D299" s="15">
        <f>Catalog!N299</f>
        <v/>
      </c>
      <c r="E299" s="15">
        <f>Catalog!F299</f>
        <v/>
      </c>
      <c r="F299" s="15">
        <f>IF(Catalog!W299="","",Catalog!W299&amp;" "&amp;Catalog!X299)</f>
        <v/>
      </c>
      <c r="G299" s="9" t="n"/>
    </row>
    <row r="300">
      <c r="A300" s="13">
        <f>Catalog!A300</f>
        <v/>
      </c>
      <c r="B300" s="13">
        <f>Catalog!C300</f>
        <v/>
      </c>
      <c r="C300" s="15">
        <f>Catalog!D300</f>
        <v/>
      </c>
      <c r="D300" s="15">
        <f>Catalog!N300</f>
        <v/>
      </c>
      <c r="E300" s="15">
        <f>Catalog!F300</f>
        <v/>
      </c>
      <c r="F300" s="15">
        <f>IF(Catalog!W300="","",Catalog!W300&amp;" "&amp;Catalog!X300)</f>
        <v/>
      </c>
      <c r="G300" s="9" t="n"/>
    </row>
    <row r="301">
      <c r="A301" s="13">
        <f>Catalog!A301</f>
        <v/>
      </c>
      <c r="B301" s="13">
        <f>Catalog!C301</f>
        <v/>
      </c>
      <c r="C301" s="15">
        <f>Catalog!D301</f>
        <v/>
      </c>
      <c r="D301" s="15">
        <f>Catalog!N301</f>
        <v/>
      </c>
      <c r="E301" s="15">
        <f>Catalog!F301</f>
        <v/>
      </c>
      <c r="F301" s="15">
        <f>IF(Catalog!W301="","",Catalog!W301&amp;" "&amp;Catalog!X301)</f>
        <v/>
      </c>
      <c r="G301" s="9" t="n"/>
    </row>
    <row r="302">
      <c r="A302" s="13">
        <f>Catalog!A302</f>
        <v/>
      </c>
      <c r="B302" s="13">
        <f>Catalog!C302</f>
        <v/>
      </c>
      <c r="C302" s="15">
        <f>Catalog!D302</f>
        <v/>
      </c>
      <c r="D302" s="15">
        <f>Catalog!N302</f>
        <v/>
      </c>
      <c r="E302" s="15">
        <f>Catalog!F302</f>
        <v/>
      </c>
      <c r="F302" s="15">
        <f>IF(Catalog!W302="","",Catalog!W302&amp;" "&amp;Catalog!X302)</f>
        <v/>
      </c>
      <c r="G302" s="9" t="n"/>
    </row>
    <row r="303">
      <c r="A303" s="13">
        <f>Catalog!A303</f>
        <v/>
      </c>
      <c r="B303" s="13">
        <f>Catalog!C303</f>
        <v/>
      </c>
      <c r="C303" s="15">
        <f>Catalog!D303</f>
        <v/>
      </c>
      <c r="D303" s="15">
        <f>Catalog!N303</f>
        <v/>
      </c>
      <c r="E303" s="15">
        <f>Catalog!F303</f>
        <v/>
      </c>
      <c r="F303" s="15">
        <f>IF(Catalog!W303="","",Catalog!W303&amp;" "&amp;Catalog!X303)</f>
        <v/>
      </c>
      <c r="G303" s="9" t="n"/>
    </row>
    <row r="304">
      <c r="A304" s="13">
        <f>Catalog!A304</f>
        <v/>
      </c>
      <c r="B304" s="13">
        <f>Catalog!C304</f>
        <v/>
      </c>
      <c r="C304" s="15">
        <f>Catalog!D304</f>
        <v/>
      </c>
      <c r="D304" s="15">
        <f>Catalog!N304</f>
        <v/>
      </c>
      <c r="E304" s="15">
        <f>Catalog!F304</f>
        <v/>
      </c>
      <c r="F304" s="15">
        <f>IF(Catalog!W304="","",Catalog!W304&amp;" "&amp;Catalog!X304)</f>
        <v/>
      </c>
      <c r="G304" s="9" t="n"/>
    </row>
    <row r="305">
      <c r="A305" s="13">
        <f>Catalog!A305</f>
        <v/>
      </c>
      <c r="B305" s="13">
        <f>Catalog!C305</f>
        <v/>
      </c>
      <c r="C305" s="15">
        <f>Catalog!D305</f>
        <v/>
      </c>
      <c r="D305" s="15">
        <f>Catalog!N305</f>
        <v/>
      </c>
      <c r="E305" s="15">
        <f>Catalog!F305</f>
        <v/>
      </c>
      <c r="F305" s="15">
        <f>IF(Catalog!W305="","",Catalog!W305&amp;" "&amp;Catalog!X305)</f>
        <v/>
      </c>
      <c r="G305" s="9" t="n"/>
    </row>
    <row r="306">
      <c r="A306" s="13">
        <f>Catalog!A306</f>
        <v/>
      </c>
      <c r="B306" s="13">
        <f>Catalog!C306</f>
        <v/>
      </c>
      <c r="C306" s="15">
        <f>Catalog!D306</f>
        <v/>
      </c>
      <c r="D306" s="15">
        <f>Catalog!N306</f>
        <v/>
      </c>
      <c r="E306" s="15">
        <f>Catalog!F306</f>
        <v/>
      </c>
      <c r="F306" s="15">
        <f>IF(Catalog!W306="","",Catalog!W306&amp;" "&amp;Catalog!X306)</f>
        <v/>
      </c>
      <c r="G306" s="9" t="n"/>
    </row>
    <row r="307">
      <c r="A307" s="13">
        <f>Catalog!A307</f>
        <v/>
      </c>
      <c r="B307" s="13">
        <f>Catalog!C307</f>
        <v/>
      </c>
      <c r="C307" s="15">
        <f>Catalog!D307</f>
        <v/>
      </c>
      <c r="D307" s="15">
        <f>Catalog!N307</f>
        <v/>
      </c>
      <c r="E307" s="15">
        <f>Catalog!F307</f>
        <v/>
      </c>
      <c r="F307" s="15">
        <f>IF(Catalog!W307="","",Catalog!W307&amp;" "&amp;Catalog!X307)</f>
        <v/>
      </c>
      <c r="G307" s="9" t="n"/>
    </row>
    <row r="308">
      <c r="A308" s="13">
        <f>Catalog!A308</f>
        <v/>
      </c>
      <c r="B308" s="13">
        <f>Catalog!C308</f>
        <v/>
      </c>
      <c r="C308" s="15">
        <f>Catalog!D308</f>
        <v/>
      </c>
      <c r="D308" s="15">
        <f>Catalog!N308</f>
        <v/>
      </c>
      <c r="E308" s="15">
        <f>Catalog!F308</f>
        <v/>
      </c>
      <c r="F308" s="15">
        <f>IF(Catalog!W308="","",Catalog!W308&amp;" "&amp;Catalog!X308)</f>
        <v/>
      </c>
      <c r="G308" s="9" t="n"/>
    </row>
    <row r="309">
      <c r="A309" s="13">
        <f>Catalog!A309</f>
        <v/>
      </c>
      <c r="B309" s="13">
        <f>Catalog!C309</f>
        <v/>
      </c>
      <c r="C309" s="15">
        <f>Catalog!D309</f>
        <v/>
      </c>
      <c r="D309" s="15">
        <f>Catalog!N309</f>
        <v/>
      </c>
      <c r="E309" s="15">
        <f>Catalog!F309</f>
        <v/>
      </c>
      <c r="F309" s="15">
        <f>IF(Catalog!W309="","",Catalog!W309&amp;" "&amp;Catalog!X309)</f>
        <v/>
      </c>
      <c r="G309" s="9" t="n"/>
    </row>
    <row r="310">
      <c r="A310" s="13">
        <f>Catalog!A310</f>
        <v/>
      </c>
      <c r="B310" s="13">
        <f>Catalog!C310</f>
        <v/>
      </c>
      <c r="C310" s="15">
        <f>Catalog!D310</f>
        <v/>
      </c>
      <c r="D310" s="15">
        <f>Catalog!N310</f>
        <v/>
      </c>
      <c r="E310" s="15">
        <f>Catalog!F310</f>
        <v/>
      </c>
      <c r="F310" s="15">
        <f>IF(Catalog!W310="","",Catalog!W310&amp;" "&amp;Catalog!X310)</f>
        <v/>
      </c>
      <c r="G310" s="9" t="n"/>
    </row>
    <row r="311">
      <c r="A311" s="13">
        <f>Catalog!A311</f>
        <v/>
      </c>
      <c r="B311" s="13">
        <f>Catalog!C311</f>
        <v/>
      </c>
      <c r="C311" s="15">
        <f>Catalog!D311</f>
        <v/>
      </c>
      <c r="D311" s="15">
        <f>Catalog!N311</f>
        <v/>
      </c>
      <c r="E311" s="15">
        <f>Catalog!F311</f>
        <v/>
      </c>
      <c r="F311" s="15">
        <f>IF(Catalog!W311="","",Catalog!W311&amp;" "&amp;Catalog!X311)</f>
        <v/>
      </c>
      <c r="G311" s="9" t="n"/>
    </row>
    <row r="312">
      <c r="A312" s="13">
        <f>Catalog!A312</f>
        <v/>
      </c>
      <c r="B312" s="13">
        <f>Catalog!C312</f>
        <v/>
      </c>
      <c r="C312" s="15">
        <f>Catalog!D312</f>
        <v/>
      </c>
      <c r="D312" s="15">
        <f>Catalog!N312</f>
        <v/>
      </c>
      <c r="E312" s="15">
        <f>Catalog!F312</f>
        <v/>
      </c>
      <c r="F312" s="15">
        <f>IF(Catalog!W312="","",Catalog!W312&amp;" "&amp;Catalog!X312)</f>
        <v/>
      </c>
      <c r="G312" s="9" t="n"/>
    </row>
    <row r="313">
      <c r="A313" s="13">
        <f>Catalog!A313</f>
        <v/>
      </c>
      <c r="B313" s="13">
        <f>Catalog!C313</f>
        <v/>
      </c>
      <c r="C313" s="15">
        <f>Catalog!D313</f>
        <v/>
      </c>
      <c r="D313" s="15">
        <f>Catalog!N313</f>
        <v/>
      </c>
      <c r="E313" s="15">
        <f>Catalog!F313</f>
        <v/>
      </c>
      <c r="F313" s="15">
        <f>IF(Catalog!W313="","",Catalog!W313&amp;" "&amp;Catalog!X313)</f>
        <v/>
      </c>
      <c r="G313" s="9" t="n"/>
    </row>
    <row r="314">
      <c r="A314" s="13">
        <f>Catalog!A314</f>
        <v/>
      </c>
      <c r="B314" s="13">
        <f>Catalog!C314</f>
        <v/>
      </c>
      <c r="C314" s="15">
        <f>Catalog!D314</f>
        <v/>
      </c>
      <c r="D314" s="15">
        <f>Catalog!N314</f>
        <v/>
      </c>
      <c r="E314" s="15">
        <f>Catalog!F314</f>
        <v/>
      </c>
      <c r="F314" s="15">
        <f>IF(Catalog!W314="","",Catalog!W314&amp;" "&amp;Catalog!X314)</f>
        <v/>
      </c>
      <c r="G314" s="9" t="n"/>
    </row>
    <row r="315">
      <c r="A315" s="13">
        <f>Catalog!A315</f>
        <v/>
      </c>
      <c r="B315" s="13">
        <f>Catalog!C315</f>
        <v/>
      </c>
      <c r="C315" s="15">
        <f>Catalog!D315</f>
        <v/>
      </c>
      <c r="D315" s="15">
        <f>Catalog!N315</f>
        <v/>
      </c>
      <c r="E315" s="15">
        <f>Catalog!F315</f>
        <v/>
      </c>
      <c r="F315" s="15">
        <f>IF(Catalog!W315="","",Catalog!W315&amp;" "&amp;Catalog!X315)</f>
        <v/>
      </c>
      <c r="G315" s="9" t="n"/>
    </row>
    <row r="316">
      <c r="A316" s="13">
        <f>Catalog!A316</f>
        <v/>
      </c>
      <c r="B316" s="13">
        <f>Catalog!C316</f>
        <v/>
      </c>
      <c r="C316" s="15">
        <f>Catalog!D316</f>
        <v/>
      </c>
      <c r="D316" s="15">
        <f>Catalog!N316</f>
        <v/>
      </c>
      <c r="E316" s="15">
        <f>Catalog!F316</f>
        <v/>
      </c>
      <c r="F316" s="15">
        <f>IF(Catalog!W316="","",Catalog!W316&amp;" "&amp;Catalog!X316)</f>
        <v/>
      </c>
      <c r="G316" s="9" t="n"/>
    </row>
    <row r="317">
      <c r="A317" s="13">
        <f>Catalog!A317</f>
        <v/>
      </c>
      <c r="B317" s="13">
        <f>Catalog!C317</f>
        <v/>
      </c>
      <c r="C317" s="15">
        <f>Catalog!D317</f>
        <v/>
      </c>
      <c r="D317" s="15">
        <f>Catalog!N317</f>
        <v/>
      </c>
      <c r="E317" s="15">
        <f>Catalog!F317</f>
        <v/>
      </c>
      <c r="F317" s="15">
        <f>IF(Catalog!W317="","",Catalog!W317&amp;" "&amp;Catalog!X317)</f>
        <v/>
      </c>
      <c r="G317" s="9" t="n"/>
    </row>
    <row r="318">
      <c r="A318" s="13">
        <f>Catalog!A318</f>
        <v/>
      </c>
      <c r="B318" s="13">
        <f>Catalog!C318</f>
        <v/>
      </c>
      <c r="C318" s="15">
        <f>Catalog!D318</f>
        <v/>
      </c>
      <c r="D318" s="15">
        <f>Catalog!N318</f>
        <v/>
      </c>
      <c r="E318" s="15">
        <f>Catalog!F318</f>
        <v/>
      </c>
      <c r="F318" s="15">
        <f>IF(Catalog!W318="","",Catalog!W318&amp;" "&amp;Catalog!X318)</f>
        <v/>
      </c>
      <c r="G318" s="9" t="n"/>
    </row>
    <row r="319">
      <c r="A319" s="13">
        <f>Catalog!A319</f>
        <v/>
      </c>
      <c r="B319" s="13">
        <f>Catalog!C319</f>
        <v/>
      </c>
      <c r="C319" s="15">
        <f>Catalog!D319</f>
        <v/>
      </c>
      <c r="D319" s="15">
        <f>Catalog!N319</f>
        <v/>
      </c>
      <c r="E319" s="15">
        <f>Catalog!F319</f>
        <v/>
      </c>
      <c r="F319" s="15">
        <f>IF(Catalog!W319="","",Catalog!W319&amp;" "&amp;Catalog!X319)</f>
        <v/>
      </c>
      <c r="G319" s="9" t="n"/>
    </row>
    <row r="320">
      <c r="A320" s="13">
        <f>Catalog!A320</f>
        <v/>
      </c>
      <c r="B320" s="13">
        <f>Catalog!C320</f>
        <v/>
      </c>
      <c r="C320" s="15">
        <f>Catalog!D320</f>
        <v/>
      </c>
      <c r="D320" s="15">
        <f>Catalog!N320</f>
        <v/>
      </c>
      <c r="E320" s="15">
        <f>Catalog!F320</f>
        <v/>
      </c>
      <c r="F320" s="15">
        <f>IF(Catalog!W320="","",Catalog!W320&amp;" "&amp;Catalog!X320)</f>
        <v/>
      </c>
      <c r="G320" s="9" t="n"/>
    </row>
    <row r="321">
      <c r="A321" s="13">
        <f>Catalog!A321</f>
        <v/>
      </c>
      <c r="B321" s="13">
        <f>Catalog!C321</f>
        <v/>
      </c>
      <c r="C321" s="15">
        <f>Catalog!D321</f>
        <v/>
      </c>
      <c r="D321" s="15">
        <f>Catalog!N321</f>
        <v/>
      </c>
      <c r="E321" s="15">
        <f>Catalog!F321</f>
        <v/>
      </c>
      <c r="F321" s="15">
        <f>IF(Catalog!W321="","",Catalog!W321&amp;" "&amp;Catalog!X321)</f>
        <v/>
      </c>
      <c r="G321" s="9" t="n"/>
    </row>
    <row r="322">
      <c r="A322" s="13">
        <f>Catalog!A322</f>
        <v/>
      </c>
      <c r="B322" s="13">
        <f>Catalog!C322</f>
        <v/>
      </c>
      <c r="C322" s="15">
        <f>Catalog!D322</f>
        <v/>
      </c>
      <c r="D322" s="15">
        <f>Catalog!N322</f>
        <v/>
      </c>
      <c r="E322" s="15">
        <f>Catalog!F322</f>
        <v/>
      </c>
      <c r="F322" s="15">
        <f>IF(Catalog!W322="","",Catalog!W322&amp;" "&amp;Catalog!X322)</f>
        <v/>
      </c>
      <c r="G322" s="9" t="n"/>
    </row>
    <row r="323">
      <c r="A323" s="13">
        <f>Catalog!A323</f>
        <v/>
      </c>
      <c r="B323" s="13">
        <f>Catalog!C323</f>
        <v/>
      </c>
      <c r="C323" s="15">
        <f>Catalog!D323</f>
        <v/>
      </c>
      <c r="D323" s="15">
        <f>Catalog!N323</f>
        <v/>
      </c>
      <c r="E323" s="15">
        <f>Catalog!F323</f>
        <v/>
      </c>
      <c r="F323" s="15">
        <f>IF(Catalog!W323="","",Catalog!W323&amp;" "&amp;Catalog!X323)</f>
        <v/>
      </c>
      <c r="G323" s="9" t="n"/>
    </row>
    <row r="324">
      <c r="A324" s="13">
        <f>Catalog!A324</f>
        <v/>
      </c>
      <c r="B324" s="13">
        <f>Catalog!C324</f>
        <v/>
      </c>
      <c r="C324" s="15">
        <f>Catalog!D324</f>
        <v/>
      </c>
      <c r="D324" s="15">
        <f>Catalog!N324</f>
        <v/>
      </c>
      <c r="E324" s="15">
        <f>Catalog!F324</f>
        <v/>
      </c>
      <c r="F324" s="15">
        <f>IF(Catalog!W324="","",Catalog!W324&amp;" "&amp;Catalog!X324)</f>
        <v/>
      </c>
      <c r="G324" s="9" t="n"/>
    </row>
    <row r="325">
      <c r="A325" s="13">
        <f>Catalog!A325</f>
        <v/>
      </c>
      <c r="B325" s="13">
        <f>Catalog!C325</f>
        <v/>
      </c>
      <c r="C325" s="15">
        <f>Catalog!D325</f>
        <v/>
      </c>
      <c r="D325" s="15">
        <f>Catalog!N325</f>
        <v/>
      </c>
      <c r="E325" s="15">
        <f>Catalog!F325</f>
        <v/>
      </c>
      <c r="F325" s="15">
        <f>IF(Catalog!W325="","",Catalog!W325&amp;" "&amp;Catalog!X325)</f>
        <v/>
      </c>
      <c r="G325" s="9" t="n"/>
    </row>
    <row r="326">
      <c r="A326" s="13">
        <f>Catalog!A326</f>
        <v/>
      </c>
      <c r="B326" s="13">
        <f>Catalog!C326</f>
        <v/>
      </c>
      <c r="C326" s="15">
        <f>Catalog!D326</f>
        <v/>
      </c>
      <c r="D326" s="15">
        <f>Catalog!N326</f>
        <v/>
      </c>
      <c r="E326" s="15">
        <f>Catalog!F326</f>
        <v/>
      </c>
      <c r="F326" s="15">
        <f>IF(Catalog!W326="","",Catalog!W326&amp;" "&amp;Catalog!X326)</f>
        <v/>
      </c>
      <c r="G326" s="9" t="n"/>
    </row>
    <row r="327">
      <c r="A327" s="13">
        <f>Catalog!A327</f>
        <v/>
      </c>
      <c r="B327" s="13">
        <f>Catalog!C327</f>
        <v/>
      </c>
      <c r="C327" s="15">
        <f>Catalog!D327</f>
        <v/>
      </c>
      <c r="D327" s="15">
        <f>Catalog!N327</f>
        <v/>
      </c>
      <c r="E327" s="15">
        <f>Catalog!F327</f>
        <v/>
      </c>
      <c r="F327" s="15">
        <f>IF(Catalog!W327="","",Catalog!W327&amp;" "&amp;Catalog!X327)</f>
        <v/>
      </c>
      <c r="G327" s="9" t="n"/>
    </row>
    <row r="328">
      <c r="A328" s="13">
        <f>Catalog!A328</f>
        <v/>
      </c>
      <c r="B328" s="13">
        <f>Catalog!C328</f>
        <v/>
      </c>
      <c r="C328" s="15">
        <f>Catalog!D328</f>
        <v/>
      </c>
      <c r="D328" s="15">
        <f>Catalog!N328</f>
        <v/>
      </c>
      <c r="E328" s="15">
        <f>Catalog!F328</f>
        <v/>
      </c>
      <c r="F328" s="15">
        <f>IF(Catalog!W328="","",Catalog!W328&amp;" "&amp;Catalog!X328)</f>
        <v/>
      </c>
      <c r="G328" s="9" t="n"/>
    </row>
    <row r="329">
      <c r="A329" s="13">
        <f>Catalog!A329</f>
        <v/>
      </c>
      <c r="B329" s="13">
        <f>Catalog!C329</f>
        <v/>
      </c>
      <c r="C329" s="15">
        <f>Catalog!D329</f>
        <v/>
      </c>
      <c r="D329" s="15">
        <f>Catalog!N329</f>
        <v/>
      </c>
      <c r="E329" s="15">
        <f>Catalog!F329</f>
        <v/>
      </c>
      <c r="F329" s="15">
        <f>IF(Catalog!W329="","",Catalog!W329&amp;" "&amp;Catalog!X329)</f>
        <v/>
      </c>
      <c r="G329" s="9" t="n"/>
    </row>
    <row r="330">
      <c r="A330" s="13">
        <f>Catalog!A330</f>
        <v/>
      </c>
      <c r="B330" s="13">
        <f>Catalog!C330</f>
        <v/>
      </c>
      <c r="C330" s="15">
        <f>Catalog!D330</f>
        <v/>
      </c>
      <c r="D330" s="15">
        <f>Catalog!N330</f>
        <v/>
      </c>
      <c r="E330" s="15">
        <f>Catalog!F330</f>
        <v/>
      </c>
      <c r="F330" s="15">
        <f>IF(Catalog!W330="","",Catalog!W330&amp;" "&amp;Catalog!X330)</f>
        <v/>
      </c>
      <c r="G330" s="9" t="n"/>
    </row>
    <row r="331">
      <c r="A331" s="13">
        <f>Catalog!A331</f>
        <v/>
      </c>
      <c r="B331" s="13">
        <f>Catalog!C331</f>
        <v/>
      </c>
      <c r="C331" s="15">
        <f>Catalog!D331</f>
        <v/>
      </c>
      <c r="D331" s="15">
        <f>Catalog!N331</f>
        <v/>
      </c>
      <c r="E331" s="15">
        <f>Catalog!F331</f>
        <v/>
      </c>
      <c r="F331" s="15">
        <f>IF(Catalog!W331="","",Catalog!W331&amp;" "&amp;Catalog!X331)</f>
        <v/>
      </c>
      <c r="G331" s="9" t="n"/>
    </row>
    <row r="332">
      <c r="A332" s="13">
        <f>Catalog!A332</f>
        <v/>
      </c>
      <c r="B332" s="13">
        <f>Catalog!C332</f>
        <v/>
      </c>
      <c r="C332" s="15">
        <f>Catalog!D332</f>
        <v/>
      </c>
      <c r="D332" s="15">
        <f>Catalog!N332</f>
        <v/>
      </c>
      <c r="E332" s="15">
        <f>Catalog!F332</f>
        <v/>
      </c>
      <c r="F332" s="15">
        <f>IF(Catalog!W332="","",Catalog!W332&amp;" "&amp;Catalog!X332)</f>
        <v/>
      </c>
      <c r="G332" s="9" t="n"/>
    </row>
    <row r="333">
      <c r="A333" s="13">
        <f>Catalog!A333</f>
        <v/>
      </c>
      <c r="B333" s="13">
        <f>Catalog!C333</f>
        <v/>
      </c>
      <c r="C333" s="15">
        <f>Catalog!D333</f>
        <v/>
      </c>
      <c r="D333" s="15">
        <f>Catalog!N333</f>
        <v/>
      </c>
      <c r="E333" s="15">
        <f>Catalog!F333</f>
        <v/>
      </c>
      <c r="F333" s="15">
        <f>IF(Catalog!W333="","",Catalog!W333&amp;" "&amp;Catalog!X333)</f>
        <v/>
      </c>
      <c r="G333" s="9" t="n"/>
    </row>
    <row r="334">
      <c r="A334" s="13">
        <f>Catalog!A334</f>
        <v/>
      </c>
      <c r="B334" s="13">
        <f>Catalog!C334</f>
        <v/>
      </c>
      <c r="C334" s="15">
        <f>Catalog!D334</f>
        <v/>
      </c>
      <c r="D334" s="15">
        <f>Catalog!N334</f>
        <v/>
      </c>
      <c r="E334" s="15">
        <f>Catalog!F334</f>
        <v/>
      </c>
      <c r="F334" s="15">
        <f>IF(Catalog!W334="","",Catalog!W334&amp;" "&amp;Catalog!X334)</f>
        <v/>
      </c>
      <c r="G334" s="9" t="n"/>
    </row>
    <row r="335">
      <c r="A335" s="13">
        <f>Catalog!A335</f>
        <v/>
      </c>
      <c r="B335" s="13">
        <f>Catalog!C335</f>
        <v/>
      </c>
      <c r="C335" s="15">
        <f>Catalog!D335</f>
        <v/>
      </c>
      <c r="D335" s="15">
        <f>Catalog!N335</f>
        <v/>
      </c>
      <c r="E335" s="15">
        <f>Catalog!F335</f>
        <v/>
      </c>
      <c r="F335" s="15">
        <f>IF(Catalog!W335="","",Catalog!W335&amp;" "&amp;Catalog!X335)</f>
        <v/>
      </c>
      <c r="G335" s="9" t="n"/>
    </row>
    <row r="336">
      <c r="A336" s="13">
        <f>Catalog!A336</f>
        <v/>
      </c>
      <c r="B336" s="13">
        <f>Catalog!C336</f>
        <v/>
      </c>
      <c r="C336" s="15">
        <f>Catalog!D336</f>
        <v/>
      </c>
      <c r="D336" s="15">
        <f>Catalog!N336</f>
        <v/>
      </c>
      <c r="E336" s="15">
        <f>Catalog!F336</f>
        <v/>
      </c>
      <c r="F336" s="15">
        <f>IF(Catalog!W336="","",Catalog!W336&amp;" "&amp;Catalog!X336)</f>
        <v/>
      </c>
      <c r="G336" s="9" t="n"/>
    </row>
    <row r="337">
      <c r="A337" s="13">
        <f>Catalog!A337</f>
        <v/>
      </c>
      <c r="B337" s="13">
        <f>Catalog!C337</f>
        <v/>
      </c>
      <c r="C337" s="15">
        <f>Catalog!D337</f>
        <v/>
      </c>
      <c r="D337" s="15">
        <f>Catalog!N337</f>
        <v/>
      </c>
      <c r="E337" s="15">
        <f>Catalog!F337</f>
        <v/>
      </c>
      <c r="F337" s="15">
        <f>IF(Catalog!W337="","",Catalog!W337&amp;" "&amp;Catalog!X337)</f>
        <v/>
      </c>
      <c r="G337" s="9" t="n"/>
    </row>
    <row r="338">
      <c r="A338" s="13">
        <f>Catalog!A338</f>
        <v/>
      </c>
      <c r="B338" s="13">
        <f>Catalog!C338</f>
        <v/>
      </c>
      <c r="C338" s="15">
        <f>Catalog!D338</f>
        <v/>
      </c>
      <c r="D338" s="15">
        <f>Catalog!N338</f>
        <v/>
      </c>
      <c r="E338" s="15">
        <f>Catalog!F338</f>
        <v/>
      </c>
      <c r="F338" s="15">
        <f>IF(Catalog!W338="","",Catalog!W338&amp;" "&amp;Catalog!X338)</f>
        <v/>
      </c>
      <c r="G338" s="9" t="n"/>
    </row>
    <row r="339">
      <c r="A339" s="13">
        <f>Catalog!A339</f>
        <v/>
      </c>
      <c r="B339" s="13">
        <f>Catalog!C339</f>
        <v/>
      </c>
      <c r="C339" s="15">
        <f>Catalog!D339</f>
        <v/>
      </c>
      <c r="D339" s="15">
        <f>Catalog!N339</f>
        <v/>
      </c>
      <c r="E339" s="15">
        <f>Catalog!F339</f>
        <v/>
      </c>
      <c r="F339" s="15">
        <f>IF(Catalog!W339="","",Catalog!W339&amp;" "&amp;Catalog!X339)</f>
        <v/>
      </c>
      <c r="G339" s="9" t="n"/>
    </row>
    <row r="340">
      <c r="A340" s="13">
        <f>Catalog!A340</f>
        <v/>
      </c>
      <c r="B340" s="13">
        <f>Catalog!C340</f>
        <v/>
      </c>
      <c r="C340" s="15">
        <f>Catalog!D340</f>
        <v/>
      </c>
      <c r="D340" s="15">
        <f>Catalog!N340</f>
        <v/>
      </c>
      <c r="E340" s="15">
        <f>Catalog!F340</f>
        <v/>
      </c>
      <c r="F340" s="15">
        <f>IF(Catalog!W340="","",Catalog!W340&amp;" "&amp;Catalog!X340)</f>
        <v/>
      </c>
      <c r="G340" s="9" t="n"/>
    </row>
    <row r="341">
      <c r="A341" s="13">
        <f>Catalog!A341</f>
        <v/>
      </c>
      <c r="B341" s="13">
        <f>Catalog!C341</f>
        <v/>
      </c>
      <c r="C341" s="15">
        <f>Catalog!D341</f>
        <v/>
      </c>
      <c r="D341" s="15">
        <f>Catalog!N341</f>
        <v/>
      </c>
      <c r="E341" s="15">
        <f>Catalog!F341</f>
        <v/>
      </c>
      <c r="F341" s="15">
        <f>IF(Catalog!W341="","",Catalog!W341&amp;" "&amp;Catalog!X341)</f>
        <v/>
      </c>
      <c r="G341" s="9" t="n"/>
    </row>
    <row r="342">
      <c r="A342" s="13">
        <f>Catalog!A342</f>
        <v/>
      </c>
      <c r="B342" s="13">
        <f>Catalog!C342</f>
        <v/>
      </c>
      <c r="C342" s="15">
        <f>Catalog!D342</f>
        <v/>
      </c>
      <c r="D342" s="15">
        <f>Catalog!N342</f>
        <v/>
      </c>
      <c r="E342" s="15">
        <f>Catalog!F342</f>
        <v/>
      </c>
      <c r="F342" s="15">
        <f>IF(Catalog!W342="","",Catalog!W342&amp;" "&amp;Catalog!X342)</f>
        <v/>
      </c>
      <c r="G342" s="9" t="n"/>
    </row>
    <row r="343">
      <c r="A343" s="13">
        <f>Catalog!A343</f>
        <v/>
      </c>
      <c r="B343" s="13">
        <f>Catalog!C343</f>
        <v/>
      </c>
      <c r="C343" s="15">
        <f>Catalog!D343</f>
        <v/>
      </c>
      <c r="D343" s="15">
        <f>Catalog!N343</f>
        <v/>
      </c>
      <c r="E343" s="15">
        <f>Catalog!F343</f>
        <v/>
      </c>
      <c r="F343" s="15">
        <f>IF(Catalog!W343="","",Catalog!W343&amp;" "&amp;Catalog!X343)</f>
        <v/>
      </c>
      <c r="G343" s="9" t="n"/>
    </row>
    <row r="344">
      <c r="A344" s="13">
        <f>Catalog!A344</f>
        <v/>
      </c>
      <c r="B344" s="13">
        <f>Catalog!C344</f>
        <v/>
      </c>
      <c r="C344" s="15">
        <f>Catalog!D344</f>
        <v/>
      </c>
      <c r="D344" s="15">
        <f>Catalog!N344</f>
        <v/>
      </c>
      <c r="E344" s="15">
        <f>Catalog!F344</f>
        <v/>
      </c>
      <c r="F344" s="15">
        <f>IF(Catalog!W344="","",Catalog!W344&amp;" "&amp;Catalog!X344)</f>
        <v/>
      </c>
      <c r="G344" s="9" t="n"/>
    </row>
    <row r="345">
      <c r="A345" s="13">
        <f>Catalog!A345</f>
        <v/>
      </c>
      <c r="B345" s="13">
        <f>Catalog!C345</f>
        <v/>
      </c>
      <c r="C345" s="15">
        <f>Catalog!D345</f>
        <v/>
      </c>
      <c r="D345" s="15">
        <f>Catalog!N345</f>
        <v/>
      </c>
      <c r="E345" s="15">
        <f>Catalog!F345</f>
        <v/>
      </c>
      <c r="F345" s="15">
        <f>IF(Catalog!W345="","",Catalog!W345&amp;" "&amp;Catalog!X345)</f>
        <v/>
      </c>
      <c r="G345" s="9" t="n"/>
    </row>
    <row r="346">
      <c r="A346" s="13">
        <f>Catalog!A346</f>
        <v/>
      </c>
      <c r="B346" s="13">
        <f>Catalog!C346</f>
        <v/>
      </c>
      <c r="C346" s="15">
        <f>Catalog!D346</f>
        <v/>
      </c>
      <c r="D346" s="15">
        <f>Catalog!N346</f>
        <v/>
      </c>
      <c r="E346" s="15">
        <f>Catalog!F346</f>
        <v/>
      </c>
      <c r="F346" s="15">
        <f>IF(Catalog!W346="","",Catalog!W346&amp;" "&amp;Catalog!X346)</f>
        <v/>
      </c>
      <c r="G346" s="9" t="n"/>
    </row>
    <row r="347">
      <c r="A347" s="13">
        <f>Catalog!A347</f>
        <v/>
      </c>
      <c r="B347" s="13">
        <f>Catalog!C347</f>
        <v/>
      </c>
      <c r="C347" s="15">
        <f>Catalog!D347</f>
        <v/>
      </c>
      <c r="D347" s="15">
        <f>Catalog!N347</f>
        <v/>
      </c>
      <c r="E347" s="15">
        <f>Catalog!F347</f>
        <v/>
      </c>
      <c r="F347" s="15">
        <f>IF(Catalog!W347="","",Catalog!W347&amp;" "&amp;Catalog!X347)</f>
        <v/>
      </c>
      <c r="G347" s="9" t="n"/>
    </row>
    <row r="348">
      <c r="A348" s="13">
        <f>Catalog!A348</f>
        <v/>
      </c>
      <c r="B348" s="13">
        <f>Catalog!C348</f>
        <v/>
      </c>
      <c r="C348" s="15">
        <f>Catalog!D348</f>
        <v/>
      </c>
      <c r="D348" s="15">
        <f>Catalog!N348</f>
        <v/>
      </c>
      <c r="E348" s="15">
        <f>Catalog!F348</f>
        <v/>
      </c>
      <c r="F348" s="15">
        <f>IF(Catalog!W348="","",Catalog!W348&amp;" "&amp;Catalog!X348)</f>
        <v/>
      </c>
      <c r="G348" s="9" t="n"/>
    </row>
    <row r="349">
      <c r="A349" s="13">
        <f>Catalog!A349</f>
        <v/>
      </c>
      <c r="B349" s="13">
        <f>Catalog!C349</f>
        <v/>
      </c>
      <c r="C349" s="15">
        <f>Catalog!D349</f>
        <v/>
      </c>
      <c r="D349" s="15">
        <f>Catalog!N349</f>
        <v/>
      </c>
      <c r="E349" s="15">
        <f>Catalog!F349</f>
        <v/>
      </c>
      <c r="F349" s="15">
        <f>IF(Catalog!W349="","",Catalog!W349&amp;" "&amp;Catalog!X349)</f>
        <v/>
      </c>
      <c r="G349" s="9" t="n"/>
    </row>
    <row r="350">
      <c r="A350" s="13">
        <f>Catalog!A350</f>
        <v/>
      </c>
      <c r="B350" s="13">
        <f>Catalog!C350</f>
        <v/>
      </c>
      <c r="C350" s="15">
        <f>Catalog!D350</f>
        <v/>
      </c>
      <c r="D350" s="15">
        <f>Catalog!N350</f>
        <v/>
      </c>
      <c r="E350" s="15">
        <f>Catalog!F350</f>
        <v/>
      </c>
      <c r="F350" s="15">
        <f>IF(Catalog!W350="","",Catalog!W350&amp;" "&amp;Catalog!X350)</f>
        <v/>
      </c>
      <c r="G350" s="9" t="n"/>
    </row>
    <row r="351">
      <c r="A351" s="13">
        <f>Catalog!A351</f>
        <v/>
      </c>
      <c r="B351" s="13">
        <f>Catalog!C351</f>
        <v/>
      </c>
      <c r="C351" s="15">
        <f>Catalog!D351</f>
        <v/>
      </c>
      <c r="D351" s="15">
        <f>Catalog!N351</f>
        <v/>
      </c>
      <c r="E351" s="15">
        <f>Catalog!F351</f>
        <v/>
      </c>
      <c r="F351" s="15">
        <f>IF(Catalog!W351="","",Catalog!W351&amp;" "&amp;Catalog!X351)</f>
        <v/>
      </c>
      <c r="G351" s="9" t="n"/>
    </row>
    <row r="352">
      <c r="A352" s="13">
        <f>Catalog!A352</f>
        <v/>
      </c>
      <c r="B352" s="13">
        <f>Catalog!C352</f>
        <v/>
      </c>
      <c r="C352" s="15">
        <f>Catalog!D352</f>
        <v/>
      </c>
      <c r="D352" s="15">
        <f>Catalog!N352</f>
        <v/>
      </c>
      <c r="E352" s="15">
        <f>Catalog!F352</f>
        <v/>
      </c>
      <c r="F352" s="15">
        <f>IF(Catalog!W352="","",Catalog!W352&amp;" "&amp;Catalog!X352)</f>
        <v/>
      </c>
      <c r="G352" s="9" t="n"/>
    </row>
    <row r="353">
      <c r="A353" s="13">
        <f>Catalog!A353</f>
        <v/>
      </c>
      <c r="B353" s="13">
        <f>Catalog!C353</f>
        <v/>
      </c>
      <c r="C353" s="15">
        <f>Catalog!D353</f>
        <v/>
      </c>
      <c r="D353" s="15">
        <f>Catalog!N353</f>
        <v/>
      </c>
      <c r="E353" s="15">
        <f>Catalog!F353</f>
        <v/>
      </c>
      <c r="F353" s="15">
        <f>IF(Catalog!W353="","",Catalog!W353&amp;" "&amp;Catalog!X353)</f>
        <v/>
      </c>
      <c r="G353" s="9" t="n"/>
    </row>
    <row r="354">
      <c r="A354" s="13">
        <f>Catalog!A354</f>
        <v/>
      </c>
      <c r="B354" s="13">
        <f>Catalog!C354</f>
        <v/>
      </c>
      <c r="C354" s="15">
        <f>Catalog!D354</f>
        <v/>
      </c>
      <c r="D354" s="15">
        <f>Catalog!N354</f>
        <v/>
      </c>
      <c r="E354" s="15">
        <f>Catalog!F354</f>
        <v/>
      </c>
      <c r="F354" s="15">
        <f>IF(Catalog!W354="","",Catalog!W354&amp;" "&amp;Catalog!X354)</f>
        <v/>
      </c>
      <c r="G354" s="9" t="n"/>
    </row>
    <row r="355">
      <c r="A355" s="13">
        <f>Catalog!A355</f>
        <v/>
      </c>
      <c r="B355" s="13">
        <f>Catalog!C355</f>
        <v/>
      </c>
      <c r="C355" s="15">
        <f>Catalog!D355</f>
        <v/>
      </c>
      <c r="D355" s="15">
        <f>Catalog!N355</f>
        <v/>
      </c>
      <c r="E355" s="15">
        <f>Catalog!F355</f>
        <v/>
      </c>
      <c r="F355" s="15">
        <f>IF(Catalog!W355="","",Catalog!W355&amp;" "&amp;Catalog!X355)</f>
        <v/>
      </c>
      <c r="G355" s="9" t="n"/>
    </row>
    <row r="356">
      <c r="A356" s="13">
        <f>Catalog!A356</f>
        <v/>
      </c>
      <c r="B356" s="13">
        <f>Catalog!C356</f>
        <v/>
      </c>
      <c r="C356" s="15">
        <f>Catalog!D356</f>
        <v/>
      </c>
      <c r="D356" s="15">
        <f>Catalog!N356</f>
        <v/>
      </c>
      <c r="E356" s="15">
        <f>Catalog!F356</f>
        <v/>
      </c>
      <c r="F356" s="15">
        <f>IF(Catalog!W356="","",Catalog!W356&amp;" "&amp;Catalog!X356)</f>
        <v/>
      </c>
      <c r="G356" s="9" t="n"/>
    </row>
    <row r="357">
      <c r="A357" s="13">
        <f>Catalog!A357</f>
        <v/>
      </c>
      <c r="B357" s="13">
        <f>Catalog!C357</f>
        <v/>
      </c>
      <c r="C357" s="15">
        <f>Catalog!D357</f>
        <v/>
      </c>
      <c r="D357" s="15">
        <f>Catalog!N357</f>
        <v/>
      </c>
      <c r="E357" s="15">
        <f>Catalog!F357</f>
        <v/>
      </c>
      <c r="F357" s="15">
        <f>IF(Catalog!W357="","",Catalog!W357&amp;" "&amp;Catalog!X357)</f>
        <v/>
      </c>
      <c r="G357" s="9" t="n"/>
    </row>
    <row r="358">
      <c r="A358" s="13">
        <f>Catalog!A358</f>
        <v/>
      </c>
      <c r="B358" s="13">
        <f>Catalog!C358</f>
        <v/>
      </c>
      <c r="C358" s="15">
        <f>Catalog!D358</f>
        <v/>
      </c>
      <c r="D358" s="15">
        <f>Catalog!N358</f>
        <v/>
      </c>
      <c r="E358" s="15">
        <f>Catalog!F358</f>
        <v/>
      </c>
      <c r="F358" s="15">
        <f>IF(Catalog!W358="","",Catalog!W358&amp;" "&amp;Catalog!X358)</f>
        <v/>
      </c>
      <c r="G358" s="9" t="n"/>
    </row>
    <row r="359">
      <c r="A359" s="13">
        <f>Catalog!A359</f>
        <v/>
      </c>
      <c r="B359" s="13">
        <f>Catalog!C359</f>
        <v/>
      </c>
      <c r="C359" s="15">
        <f>Catalog!D359</f>
        <v/>
      </c>
      <c r="D359" s="15">
        <f>Catalog!N359</f>
        <v/>
      </c>
      <c r="E359" s="15">
        <f>Catalog!F359</f>
        <v/>
      </c>
      <c r="F359" s="15">
        <f>IF(Catalog!W359="","",Catalog!W359&amp;" "&amp;Catalog!X359)</f>
        <v/>
      </c>
      <c r="G359" s="9" t="n"/>
    </row>
    <row r="360">
      <c r="A360" s="13">
        <f>Catalog!A360</f>
        <v/>
      </c>
      <c r="B360" s="13">
        <f>Catalog!C360</f>
        <v/>
      </c>
      <c r="C360" s="15">
        <f>Catalog!D360</f>
        <v/>
      </c>
      <c r="D360" s="15">
        <f>Catalog!N360</f>
        <v/>
      </c>
      <c r="E360" s="15">
        <f>Catalog!F360</f>
        <v/>
      </c>
      <c r="F360" s="15">
        <f>IF(Catalog!W360="","",Catalog!W360&amp;" "&amp;Catalog!X360)</f>
        <v/>
      </c>
      <c r="G360" s="9" t="n"/>
    </row>
    <row r="361">
      <c r="A361" s="13">
        <f>Catalog!A361</f>
        <v/>
      </c>
      <c r="B361" s="13">
        <f>Catalog!C361</f>
        <v/>
      </c>
      <c r="C361" s="15">
        <f>Catalog!D361</f>
        <v/>
      </c>
      <c r="D361" s="15">
        <f>Catalog!N361</f>
        <v/>
      </c>
      <c r="E361" s="15">
        <f>Catalog!F361</f>
        <v/>
      </c>
      <c r="F361" s="15">
        <f>IF(Catalog!W361="","",Catalog!W361&amp;" "&amp;Catalog!X361)</f>
        <v/>
      </c>
      <c r="G361" s="9" t="n"/>
    </row>
    <row r="362">
      <c r="A362" s="13">
        <f>Catalog!A362</f>
        <v/>
      </c>
      <c r="B362" s="13">
        <f>Catalog!C362</f>
        <v/>
      </c>
      <c r="C362" s="15">
        <f>Catalog!D362</f>
        <v/>
      </c>
      <c r="D362" s="15">
        <f>Catalog!N362</f>
        <v/>
      </c>
      <c r="E362" s="15">
        <f>Catalog!F362</f>
        <v/>
      </c>
      <c r="F362" s="15">
        <f>IF(Catalog!W362="","",Catalog!W362&amp;" "&amp;Catalog!X362)</f>
        <v/>
      </c>
      <c r="G362" s="9" t="n"/>
    </row>
    <row r="363">
      <c r="A363" s="13">
        <f>Catalog!A363</f>
        <v/>
      </c>
      <c r="B363" s="13">
        <f>Catalog!C363</f>
        <v/>
      </c>
      <c r="C363" s="15">
        <f>Catalog!D363</f>
        <v/>
      </c>
      <c r="D363" s="15">
        <f>Catalog!N363</f>
        <v/>
      </c>
      <c r="E363" s="15">
        <f>Catalog!F363</f>
        <v/>
      </c>
      <c r="F363" s="15">
        <f>IF(Catalog!W363="","",Catalog!W363&amp;" "&amp;Catalog!X363)</f>
        <v/>
      </c>
      <c r="G363" s="9" t="n"/>
    </row>
    <row r="364">
      <c r="A364" s="13">
        <f>Catalog!A364</f>
        <v/>
      </c>
      <c r="B364" s="13">
        <f>Catalog!C364</f>
        <v/>
      </c>
      <c r="C364" s="15">
        <f>Catalog!D364</f>
        <v/>
      </c>
      <c r="D364" s="15">
        <f>Catalog!N364</f>
        <v/>
      </c>
      <c r="E364" s="15">
        <f>Catalog!F364</f>
        <v/>
      </c>
      <c r="F364" s="15">
        <f>IF(Catalog!W364="","",Catalog!W364&amp;" "&amp;Catalog!X364)</f>
        <v/>
      </c>
      <c r="G364" s="9" t="n"/>
    </row>
    <row r="365">
      <c r="A365" s="13">
        <f>Catalog!A365</f>
        <v/>
      </c>
      <c r="B365" s="13">
        <f>Catalog!C365</f>
        <v/>
      </c>
      <c r="C365" s="15">
        <f>Catalog!D365</f>
        <v/>
      </c>
      <c r="D365" s="15">
        <f>Catalog!N365</f>
        <v/>
      </c>
      <c r="E365" s="15">
        <f>Catalog!F365</f>
        <v/>
      </c>
      <c r="F365" s="15">
        <f>IF(Catalog!W365="","",Catalog!W365&amp;" "&amp;Catalog!X365)</f>
        <v/>
      </c>
      <c r="G365" s="9" t="n"/>
    </row>
    <row r="366">
      <c r="A366" s="13">
        <f>Catalog!A366</f>
        <v/>
      </c>
      <c r="B366" s="13">
        <f>Catalog!C366</f>
        <v/>
      </c>
      <c r="C366" s="15">
        <f>Catalog!D366</f>
        <v/>
      </c>
      <c r="D366" s="15">
        <f>Catalog!N366</f>
        <v/>
      </c>
      <c r="E366" s="15">
        <f>Catalog!F366</f>
        <v/>
      </c>
      <c r="F366" s="15">
        <f>IF(Catalog!W366="","",Catalog!W366&amp;" "&amp;Catalog!X366)</f>
        <v/>
      </c>
      <c r="G366" s="9" t="n"/>
    </row>
    <row r="367">
      <c r="A367" s="13">
        <f>Catalog!A367</f>
        <v/>
      </c>
      <c r="B367" s="13">
        <f>Catalog!C367</f>
        <v/>
      </c>
      <c r="C367" s="15">
        <f>Catalog!D367</f>
        <v/>
      </c>
      <c r="D367" s="15">
        <f>Catalog!N367</f>
        <v/>
      </c>
      <c r="E367" s="15">
        <f>Catalog!F367</f>
        <v/>
      </c>
      <c r="F367" s="15">
        <f>IF(Catalog!W367="","",Catalog!W367&amp;" "&amp;Catalog!X367)</f>
        <v/>
      </c>
      <c r="G367" s="9" t="n"/>
    </row>
    <row r="368">
      <c r="A368" s="13">
        <f>Catalog!A368</f>
        <v/>
      </c>
      <c r="B368" s="13">
        <f>Catalog!C368</f>
        <v/>
      </c>
      <c r="C368" s="15">
        <f>Catalog!D368</f>
        <v/>
      </c>
      <c r="D368" s="15">
        <f>Catalog!N368</f>
        <v/>
      </c>
      <c r="E368" s="15">
        <f>Catalog!F368</f>
        <v/>
      </c>
      <c r="F368" s="15">
        <f>IF(Catalog!W368="","",Catalog!W368&amp;" "&amp;Catalog!X368)</f>
        <v/>
      </c>
      <c r="G368" s="9" t="n"/>
    </row>
    <row r="369">
      <c r="A369" s="13">
        <f>Catalog!A369</f>
        <v/>
      </c>
      <c r="B369" s="13">
        <f>Catalog!C369</f>
        <v/>
      </c>
      <c r="C369" s="15">
        <f>Catalog!D369</f>
        <v/>
      </c>
      <c r="D369" s="15">
        <f>Catalog!N369</f>
        <v/>
      </c>
      <c r="E369" s="15">
        <f>Catalog!F369</f>
        <v/>
      </c>
      <c r="F369" s="15">
        <f>IF(Catalog!W369="","",Catalog!W369&amp;" "&amp;Catalog!X369)</f>
        <v/>
      </c>
      <c r="G369" s="9" t="n"/>
    </row>
    <row r="370">
      <c r="A370" s="13">
        <f>Catalog!A370</f>
        <v/>
      </c>
      <c r="B370" s="13">
        <f>Catalog!C370</f>
        <v/>
      </c>
      <c r="C370" s="15">
        <f>Catalog!D370</f>
        <v/>
      </c>
      <c r="D370" s="15">
        <f>Catalog!N370</f>
        <v/>
      </c>
      <c r="E370" s="15">
        <f>Catalog!F370</f>
        <v/>
      </c>
      <c r="F370" s="15">
        <f>IF(Catalog!W370="","",Catalog!W370&amp;" "&amp;Catalog!X370)</f>
        <v/>
      </c>
      <c r="G370" s="9" t="n"/>
    </row>
    <row r="371">
      <c r="A371" s="13">
        <f>Catalog!A371</f>
        <v/>
      </c>
      <c r="B371" s="13">
        <f>Catalog!C371</f>
        <v/>
      </c>
      <c r="C371" s="15">
        <f>Catalog!D371</f>
        <v/>
      </c>
      <c r="D371" s="15">
        <f>Catalog!N371</f>
        <v/>
      </c>
      <c r="E371" s="15">
        <f>Catalog!F371</f>
        <v/>
      </c>
      <c r="F371" s="15">
        <f>IF(Catalog!W371="","",Catalog!W371&amp;" "&amp;Catalog!X371)</f>
        <v/>
      </c>
      <c r="G371" s="9" t="n"/>
    </row>
    <row r="372">
      <c r="A372" s="13">
        <f>Catalog!A372</f>
        <v/>
      </c>
      <c r="B372" s="13">
        <f>Catalog!C372</f>
        <v/>
      </c>
      <c r="C372" s="15">
        <f>Catalog!D372</f>
        <v/>
      </c>
      <c r="D372" s="15">
        <f>Catalog!N372</f>
        <v/>
      </c>
      <c r="E372" s="15">
        <f>Catalog!F372</f>
        <v/>
      </c>
      <c r="F372" s="15">
        <f>IF(Catalog!W372="","",Catalog!W372&amp;" "&amp;Catalog!X372)</f>
        <v/>
      </c>
      <c r="G372" s="9" t="n"/>
    </row>
    <row r="373">
      <c r="A373" s="13">
        <f>Catalog!A373</f>
        <v/>
      </c>
      <c r="B373" s="13">
        <f>Catalog!C373</f>
        <v/>
      </c>
      <c r="C373" s="15">
        <f>Catalog!D373</f>
        <v/>
      </c>
      <c r="D373" s="15">
        <f>Catalog!N373</f>
        <v/>
      </c>
      <c r="E373" s="15">
        <f>Catalog!F373</f>
        <v/>
      </c>
      <c r="F373" s="15">
        <f>IF(Catalog!W373="","",Catalog!W373&amp;" "&amp;Catalog!X373)</f>
        <v/>
      </c>
      <c r="G373" s="9" t="n"/>
    </row>
    <row r="374">
      <c r="A374" s="13">
        <f>Catalog!A374</f>
        <v/>
      </c>
      <c r="B374" s="13">
        <f>Catalog!C374</f>
        <v/>
      </c>
      <c r="C374" s="15">
        <f>Catalog!D374</f>
        <v/>
      </c>
      <c r="D374" s="15">
        <f>Catalog!N374</f>
        <v/>
      </c>
      <c r="E374" s="15">
        <f>Catalog!F374</f>
        <v/>
      </c>
      <c r="F374" s="15">
        <f>IF(Catalog!W374="","",Catalog!W374&amp;" "&amp;Catalog!X374)</f>
        <v/>
      </c>
      <c r="G374" s="9" t="n"/>
    </row>
    <row r="375">
      <c r="A375" s="13">
        <f>Catalog!A375</f>
        <v/>
      </c>
      <c r="B375" s="13">
        <f>Catalog!C375</f>
        <v/>
      </c>
      <c r="C375" s="15">
        <f>Catalog!D375</f>
        <v/>
      </c>
      <c r="D375" s="15">
        <f>Catalog!N375</f>
        <v/>
      </c>
      <c r="E375" s="15">
        <f>Catalog!F375</f>
        <v/>
      </c>
      <c r="F375" s="15">
        <f>IF(Catalog!W375="","",Catalog!W375&amp;" "&amp;Catalog!X375)</f>
        <v/>
      </c>
      <c r="G375" s="9" t="n"/>
    </row>
    <row r="376">
      <c r="A376" s="13">
        <f>Catalog!A376</f>
        <v/>
      </c>
      <c r="B376" s="13">
        <f>Catalog!C376</f>
        <v/>
      </c>
      <c r="C376" s="15">
        <f>Catalog!D376</f>
        <v/>
      </c>
      <c r="D376" s="15">
        <f>Catalog!N376</f>
        <v/>
      </c>
      <c r="E376" s="15">
        <f>Catalog!F376</f>
        <v/>
      </c>
      <c r="F376" s="15">
        <f>IF(Catalog!W376="","",Catalog!W376&amp;" "&amp;Catalog!X376)</f>
        <v/>
      </c>
      <c r="G376" s="9" t="n"/>
    </row>
    <row r="377">
      <c r="A377" s="13">
        <f>Catalog!A377</f>
        <v/>
      </c>
      <c r="B377" s="13">
        <f>Catalog!C377</f>
        <v/>
      </c>
      <c r="C377" s="15">
        <f>Catalog!D377</f>
        <v/>
      </c>
      <c r="D377" s="15">
        <f>Catalog!N377</f>
        <v/>
      </c>
      <c r="E377" s="15">
        <f>Catalog!F377</f>
        <v/>
      </c>
      <c r="F377" s="15">
        <f>IF(Catalog!W377="","",Catalog!W377&amp;" "&amp;Catalog!X377)</f>
        <v/>
      </c>
      <c r="G377" s="9" t="n"/>
    </row>
    <row r="378">
      <c r="A378" s="13">
        <f>Catalog!A378</f>
        <v/>
      </c>
      <c r="B378" s="13">
        <f>Catalog!C378</f>
        <v/>
      </c>
      <c r="C378" s="15">
        <f>Catalog!D378</f>
        <v/>
      </c>
      <c r="D378" s="15">
        <f>Catalog!N378</f>
        <v/>
      </c>
      <c r="E378" s="15">
        <f>Catalog!F378</f>
        <v/>
      </c>
      <c r="F378" s="15">
        <f>IF(Catalog!W378="","",Catalog!W378&amp;" "&amp;Catalog!X378)</f>
        <v/>
      </c>
      <c r="G378" s="9" t="n"/>
    </row>
    <row r="379">
      <c r="A379" s="13">
        <f>Catalog!A379</f>
        <v/>
      </c>
      <c r="B379" s="13">
        <f>Catalog!C379</f>
        <v/>
      </c>
      <c r="C379" s="15">
        <f>Catalog!D379</f>
        <v/>
      </c>
      <c r="D379" s="15">
        <f>Catalog!N379</f>
        <v/>
      </c>
      <c r="E379" s="15">
        <f>Catalog!F379</f>
        <v/>
      </c>
      <c r="F379" s="15">
        <f>IF(Catalog!W379="","",Catalog!W379&amp;" "&amp;Catalog!X379)</f>
        <v/>
      </c>
      <c r="G379" s="9" t="n"/>
    </row>
    <row r="380">
      <c r="A380" s="13">
        <f>Catalog!A380</f>
        <v/>
      </c>
      <c r="B380" s="13">
        <f>Catalog!C380</f>
        <v/>
      </c>
      <c r="C380" s="15">
        <f>Catalog!D380</f>
        <v/>
      </c>
      <c r="D380" s="15">
        <f>Catalog!N380</f>
        <v/>
      </c>
      <c r="E380" s="15">
        <f>Catalog!F380</f>
        <v/>
      </c>
      <c r="F380" s="15">
        <f>IF(Catalog!W380="","",Catalog!W380&amp;" "&amp;Catalog!X380)</f>
        <v/>
      </c>
      <c r="G380" s="9" t="n"/>
    </row>
    <row r="381">
      <c r="A381" s="13">
        <f>Catalog!A381</f>
        <v/>
      </c>
      <c r="B381" s="13">
        <f>Catalog!C381</f>
        <v/>
      </c>
      <c r="C381" s="15">
        <f>Catalog!D381</f>
        <v/>
      </c>
      <c r="D381" s="15">
        <f>Catalog!N381</f>
        <v/>
      </c>
      <c r="E381" s="15">
        <f>Catalog!F381</f>
        <v/>
      </c>
      <c r="F381" s="15">
        <f>IF(Catalog!W381="","",Catalog!W381&amp;" "&amp;Catalog!X381)</f>
        <v/>
      </c>
      <c r="G381" s="9" t="n"/>
    </row>
    <row r="382">
      <c r="A382" s="13">
        <f>Catalog!A382</f>
        <v/>
      </c>
      <c r="B382" s="13">
        <f>Catalog!C382</f>
        <v/>
      </c>
      <c r="C382" s="15">
        <f>Catalog!D382</f>
        <v/>
      </c>
      <c r="D382" s="15">
        <f>Catalog!N382</f>
        <v/>
      </c>
      <c r="E382" s="15">
        <f>Catalog!F382</f>
        <v/>
      </c>
      <c r="F382" s="15">
        <f>IF(Catalog!W382="","",Catalog!W382&amp;" "&amp;Catalog!X382)</f>
        <v/>
      </c>
      <c r="G382" s="9" t="n"/>
    </row>
    <row r="383">
      <c r="A383" s="13">
        <f>Catalog!A383</f>
        <v/>
      </c>
      <c r="B383" s="13">
        <f>Catalog!C383</f>
        <v/>
      </c>
      <c r="C383" s="15">
        <f>Catalog!D383</f>
        <v/>
      </c>
      <c r="D383" s="15">
        <f>Catalog!N383</f>
        <v/>
      </c>
      <c r="E383" s="15">
        <f>Catalog!F383</f>
        <v/>
      </c>
      <c r="F383" s="15">
        <f>IF(Catalog!W383="","",Catalog!W383&amp;" "&amp;Catalog!X383)</f>
        <v/>
      </c>
      <c r="G383" s="9" t="n"/>
    </row>
    <row r="384">
      <c r="A384" s="13">
        <f>Catalog!A384</f>
        <v/>
      </c>
      <c r="B384" s="13">
        <f>Catalog!C384</f>
        <v/>
      </c>
      <c r="C384" s="15">
        <f>Catalog!D384</f>
        <v/>
      </c>
      <c r="D384" s="15">
        <f>Catalog!N384</f>
        <v/>
      </c>
      <c r="E384" s="15">
        <f>Catalog!F384</f>
        <v/>
      </c>
      <c r="F384" s="15">
        <f>IF(Catalog!W384="","",Catalog!W384&amp;" "&amp;Catalog!X384)</f>
        <v/>
      </c>
      <c r="G384" s="9" t="n"/>
    </row>
    <row r="385">
      <c r="A385" s="13">
        <f>Catalog!A385</f>
        <v/>
      </c>
      <c r="B385" s="13">
        <f>Catalog!C385</f>
        <v/>
      </c>
      <c r="C385" s="15">
        <f>Catalog!D385</f>
        <v/>
      </c>
      <c r="D385" s="15">
        <f>Catalog!N385</f>
        <v/>
      </c>
      <c r="E385" s="15">
        <f>Catalog!F385</f>
        <v/>
      </c>
      <c r="F385" s="15">
        <f>IF(Catalog!W385="","",Catalog!W385&amp;" "&amp;Catalog!X385)</f>
        <v/>
      </c>
      <c r="G385" s="9" t="n"/>
    </row>
    <row r="386">
      <c r="A386" s="13">
        <f>Catalog!A386</f>
        <v/>
      </c>
      <c r="B386" s="13">
        <f>Catalog!C386</f>
        <v/>
      </c>
      <c r="C386" s="15">
        <f>Catalog!D386</f>
        <v/>
      </c>
      <c r="D386" s="15">
        <f>Catalog!N386</f>
        <v/>
      </c>
      <c r="E386" s="15">
        <f>Catalog!F386</f>
        <v/>
      </c>
      <c r="F386" s="15">
        <f>IF(Catalog!W386="","",Catalog!W386&amp;" "&amp;Catalog!X386)</f>
        <v/>
      </c>
      <c r="G386" s="9" t="n"/>
    </row>
    <row r="387">
      <c r="A387" s="13">
        <f>Catalog!A387</f>
        <v/>
      </c>
      <c r="B387" s="13">
        <f>Catalog!C387</f>
        <v/>
      </c>
      <c r="C387" s="15">
        <f>Catalog!D387</f>
        <v/>
      </c>
      <c r="D387" s="15">
        <f>Catalog!N387</f>
        <v/>
      </c>
      <c r="E387" s="15">
        <f>Catalog!F387</f>
        <v/>
      </c>
      <c r="F387" s="15">
        <f>IF(Catalog!W387="","",Catalog!W387&amp;" "&amp;Catalog!X387)</f>
        <v/>
      </c>
      <c r="G387" s="9" t="n"/>
    </row>
    <row r="388">
      <c r="A388" s="13">
        <f>Catalog!A388</f>
        <v/>
      </c>
      <c r="B388" s="13">
        <f>Catalog!C388</f>
        <v/>
      </c>
      <c r="C388" s="15">
        <f>Catalog!D388</f>
        <v/>
      </c>
      <c r="D388" s="15">
        <f>Catalog!N388</f>
        <v/>
      </c>
      <c r="E388" s="15">
        <f>Catalog!F388</f>
        <v/>
      </c>
      <c r="F388" s="15">
        <f>IF(Catalog!W388="","",Catalog!W388&amp;" "&amp;Catalog!X388)</f>
        <v/>
      </c>
      <c r="G388" s="9" t="n"/>
    </row>
    <row r="389">
      <c r="A389" s="13">
        <f>Catalog!A389</f>
        <v/>
      </c>
      <c r="B389" s="13">
        <f>Catalog!C389</f>
        <v/>
      </c>
      <c r="C389" s="15">
        <f>Catalog!D389</f>
        <v/>
      </c>
      <c r="D389" s="15">
        <f>Catalog!N389</f>
        <v/>
      </c>
      <c r="E389" s="15">
        <f>Catalog!F389</f>
        <v/>
      </c>
      <c r="F389" s="15">
        <f>IF(Catalog!W389="","",Catalog!W389&amp;" "&amp;Catalog!X389)</f>
        <v/>
      </c>
      <c r="G389" s="9" t="n"/>
    </row>
    <row r="390">
      <c r="A390" s="13">
        <f>Catalog!A390</f>
        <v/>
      </c>
      <c r="B390" s="13">
        <f>Catalog!C390</f>
        <v/>
      </c>
      <c r="C390" s="15">
        <f>Catalog!D390</f>
        <v/>
      </c>
      <c r="D390" s="15">
        <f>Catalog!N390</f>
        <v/>
      </c>
      <c r="E390" s="15">
        <f>Catalog!F390</f>
        <v/>
      </c>
      <c r="F390" s="15">
        <f>IF(Catalog!W390="","",Catalog!W390&amp;" "&amp;Catalog!X390)</f>
        <v/>
      </c>
      <c r="G390" s="9" t="n"/>
    </row>
    <row r="391">
      <c r="A391" s="13">
        <f>Catalog!A391</f>
        <v/>
      </c>
      <c r="B391" s="13">
        <f>Catalog!C391</f>
        <v/>
      </c>
      <c r="C391" s="15">
        <f>Catalog!D391</f>
        <v/>
      </c>
      <c r="D391" s="15">
        <f>Catalog!N391</f>
        <v/>
      </c>
      <c r="E391" s="15">
        <f>Catalog!F391</f>
        <v/>
      </c>
      <c r="F391" s="15">
        <f>IF(Catalog!W391="","",Catalog!W391&amp;" "&amp;Catalog!X391)</f>
        <v/>
      </c>
      <c r="G391" s="9" t="n"/>
    </row>
    <row r="392">
      <c r="A392" s="13">
        <f>Catalog!A392</f>
        <v/>
      </c>
      <c r="B392" s="13">
        <f>Catalog!C392</f>
        <v/>
      </c>
      <c r="C392" s="15">
        <f>Catalog!D392</f>
        <v/>
      </c>
      <c r="D392" s="15">
        <f>Catalog!N392</f>
        <v/>
      </c>
      <c r="E392" s="15">
        <f>Catalog!F392</f>
        <v/>
      </c>
      <c r="F392" s="15">
        <f>IF(Catalog!W392="","",Catalog!W392&amp;" "&amp;Catalog!X392)</f>
        <v/>
      </c>
      <c r="G392" s="9" t="n"/>
    </row>
    <row r="393">
      <c r="A393" s="13">
        <f>Catalog!A393</f>
        <v/>
      </c>
      <c r="B393" s="13">
        <f>Catalog!C393</f>
        <v/>
      </c>
      <c r="C393" s="15">
        <f>Catalog!D393</f>
        <v/>
      </c>
      <c r="D393" s="15">
        <f>Catalog!N393</f>
        <v/>
      </c>
      <c r="E393" s="15">
        <f>Catalog!F393</f>
        <v/>
      </c>
      <c r="F393" s="15">
        <f>IF(Catalog!W393="","",Catalog!W393&amp;" "&amp;Catalog!X393)</f>
        <v/>
      </c>
      <c r="G393" s="9" t="n"/>
    </row>
    <row r="394">
      <c r="A394" s="13">
        <f>Catalog!A394</f>
        <v/>
      </c>
      <c r="B394" s="13">
        <f>Catalog!C394</f>
        <v/>
      </c>
      <c r="C394" s="15">
        <f>Catalog!D394</f>
        <v/>
      </c>
      <c r="D394" s="15">
        <f>Catalog!N394</f>
        <v/>
      </c>
      <c r="E394" s="15">
        <f>Catalog!F394</f>
        <v/>
      </c>
      <c r="F394" s="15">
        <f>IF(Catalog!W394="","",Catalog!W394&amp;" "&amp;Catalog!X394)</f>
        <v/>
      </c>
      <c r="G394" s="9" t="n"/>
    </row>
    <row r="395">
      <c r="A395" s="13">
        <f>Catalog!A395</f>
        <v/>
      </c>
      <c r="B395" s="13">
        <f>Catalog!C395</f>
        <v/>
      </c>
      <c r="C395" s="15">
        <f>Catalog!D395</f>
        <v/>
      </c>
      <c r="D395" s="15">
        <f>Catalog!N395</f>
        <v/>
      </c>
      <c r="E395" s="15">
        <f>Catalog!F395</f>
        <v/>
      </c>
      <c r="F395" s="15">
        <f>IF(Catalog!W395="","",Catalog!W395&amp;" "&amp;Catalog!X395)</f>
        <v/>
      </c>
      <c r="G395" s="9" t="n"/>
    </row>
    <row r="396">
      <c r="A396" s="13">
        <f>Catalog!A396</f>
        <v/>
      </c>
      <c r="B396" s="13">
        <f>Catalog!C396</f>
        <v/>
      </c>
      <c r="C396" s="15">
        <f>Catalog!D396</f>
        <v/>
      </c>
      <c r="D396" s="15">
        <f>Catalog!N396</f>
        <v/>
      </c>
      <c r="E396" s="15">
        <f>Catalog!F396</f>
        <v/>
      </c>
      <c r="F396" s="15">
        <f>IF(Catalog!W396="","",Catalog!W396&amp;" "&amp;Catalog!X396)</f>
        <v/>
      </c>
      <c r="G396" s="9" t="n"/>
    </row>
    <row r="397">
      <c r="A397" s="13">
        <f>Catalog!A397</f>
        <v/>
      </c>
      <c r="B397" s="13">
        <f>Catalog!C397</f>
        <v/>
      </c>
      <c r="C397" s="15">
        <f>Catalog!D397</f>
        <v/>
      </c>
      <c r="D397" s="15">
        <f>Catalog!N397</f>
        <v/>
      </c>
      <c r="E397" s="15">
        <f>Catalog!F397</f>
        <v/>
      </c>
      <c r="F397" s="15">
        <f>IF(Catalog!W397="","",Catalog!W397&amp;" "&amp;Catalog!X397)</f>
        <v/>
      </c>
      <c r="G397" s="9" t="n"/>
    </row>
    <row r="398">
      <c r="A398" s="13">
        <f>Catalog!A398</f>
        <v/>
      </c>
      <c r="B398" s="13">
        <f>Catalog!C398</f>
        <v/>
      </c>
      <c r="C398" s="15">
        <f>Catalog!D398</f>
        <v/>
      </c>
      <c r="D398" s="15">
        <f>Catalog!N398</f>
        <v/>
      </c>
      <c r="E398" s="15">
        <f>Catalog!F398</f>
        <v/>
      </c>
      <c r="F398" s="15">
        <f>IF(Catalog!W398="","",Catalog!W398&amp;" "&amp;Catalog!X398)</f>
        <v/>
      </c>
      <c r="G398" s="9" t="n"/>
    </row>
    <row r="399">
      <c r="A399" s="13">
        <f>Catalog!A399</f>
        <v/>
      </c>
      <c r="B399" s="13">
        <f>Catalog!C399</f>
        <v/>
      </c>
      <c r="C399" s="15">
        <f>Catalog!D399</f>
        <v/>
      </c>
      <c r="D399" s="15">
        <f>Catalog!N399</f>
        <v/>
      </c>
      <c r="E399" s="15">
        <f>Catalog!F399</f>
        <v/>
      </c>
      <c r="F399" s="15">
        <f>IF(Catalog!W399="","",Catalog!W399&amp;" "&amp;Catalog!X399)</f>
        <v/>
      </c>
      <c r="G399" s="9" t="n"/>
    </row>
    <row r="400">
      <c r="A400" s="13">
        <f>Catalog!A400</f>
        <v/>
      </c>
      <c r="B400" s="13">
        <f>Catalog!C400</f>
        <v/>
      </c>
      <c r="C400" s="15">
        <f>Catalog!D400</f>
        <v/>
      </c>
      <c r="D400" s="15">
        <f>Catalog!N400</f>
        <v/>
      </c>
      <c r="E400" s="15">
        <f>Catalog!F400</f>
        <v/>
      </c>
      <c r="F400" s="15">
        <f>IF(Catalog!W400="","",Catalog!W400&amp;" "&amp;Catalog!X400)</f>
        <v/>
      </c>
      <c r="G400" s="9" t="n"/>
    </row>
    <row r="401">
      <c r="A401" s="13">
        <f>Catalog!A401</f>
        <v/>
      </c>
      <c r="B401" s="13">
        <f>Catalog!C401</f>
        <v/>
      </c>
      <c r="C401" s="15">
        <f>Catalog!D401</f>
        <v/>
      </c>
      <c r="D401" s="15">
        <f>Catalog!N401</f>
        <v/>
      </c>
      <c r="E401" s="15">
        <f>Catalog!F401</f>
        <v/>
      </c>
      <c r="F401" s="15">
        <f>IF(Catalog!W401="","",Catalog!W401&amp;" "&amp;Catalog!X401)</f>
        <v/>
      </c>
      <c r="G401" s="9" t="n"/>
    </row>
    <row r="402">
      <c r="A402" s="13">
        <f>Catalog!A402</f>
        <v/>
      </c>
      <c r="B402" s="13">
        <f>Catalog!C402</f>
        <v/>
      </c>
      <c r="C402" s="15">
        <f>Catalog!D402</f>
        <v/>
      </c>
      <c r="D402" s="15">
        <f>Catalog!N402</f>
        <v/>
      </c>
      <c r="E402" s="15">
        <f>Catalog!F402</f>
        <v/>
      </c>
      <c r="F402" s="15">
        <f>IF(Catalog!W402="","",Catalog!W402&amp;" "&amp;Catalog!X402)</f>
        <v/>
      </c>
      <c r="G402" s="9" t="n"/>
    </row>
    <row r="403">
      <c r="A403" s="13">
        <f>Catalog!A403</f>
        <v/>
      </c>
      <c r="B403" s="13">
        <f>Catalog!C403</f>
        <v/>
      </c>
      <c r="C403" s="15">
        <f>Catalog!D403</f>
        <v/>
      </c>
      <c r="D403" s="15">
        <f>Catalog!N403</f>
        <v/>
      </c>
      <c r="E403" s="15">
        <f>Catalog!F403</f>
        <v/>
      </c>
      <c r="F403" s="15">
        <f>IF(Catalog!W403="","",Catalog!W403&amp;" "&amp;Catalog!X403)</f>
        <v/>
      </c>
      <c r="G403" s="9" t="n"/>
    </row>
    <row r="404">
      <c r="A404" s="13">
        <f>Catalog!A404</f>
        <v/>
      </c>
      <c r="B404" s="13">
        <f>Catalog!C404</f>
        <v/>
      </c>
      <c r="C404" s="15">
        <f>Catalog!D404</f>
        <v/>
      </c>
      <c r="D404" s="15">
        <f>Catalog!N404</f>
        <v/>
      </c>
      <c r="E404" s="15">
        <f>Catalog!F404</f>
        <v/>
      </c>
      <c r="F404" s="15">
        <f>IF(Catalog!W404="","",Catalog!W404&amp;" "&amp;Catalog!X404)</f>
        <v/>
      </c>
      <c r="G404" s="9" t="n"/>
    </row>
    <row r="405">
      <c r="A405" s="13">
        <f>Catalog!A405</f>
        <v/>
      </c>
      <c r="B405" s="13">
        <f>Catalog!C405</f>
        <v/>
      </c>
      <c r="C405" s="15">
        <f>Catalog!D405</f>
        <v/>
      </c>
      <c r="D405" s="15">
        <f>Catalog!N405</f>
        <v/>
      </c>
      <c r="E405" s="15">
        <f>Catalog!F405</f>
        <v/>
      </c>
      <c r="F405" s="15">
        <f>IF(Catalog!W405="","",Catalog!W405&amp;" "&amp;Catalog!X405)</f>
        <v/>
      </c>
      <c r="G405" s="9" t="n"/>
    </row>
    <row r="406">
      <c r="A406" s="13">
        <f>Catalog!A406</f>
        <v/>
      </c>
      <c r="B406" s="13">
        <f>Catalog!C406</f>
        <v/>
      </c>
      <c r="C406" s="15">
        <f>Catalog!D406</f>
        <v/>
      </c>
      <c r="D406" s="15">
        <f>Catalog!N406</f>
        <v/>
      </c>
      <c r="E406" s="15">
        <f>Catalog!F406</f>
        <v/>
      </c>
      <c r="F406" s="15">
        <f>IF(Catalog!W406="","",Catalog!W406&amp;" "&amp;Catalog!X406)</f>
        <v/>
      </c>
      <c r="G406" s="9" t="n"/>
    </row>
    <row r="407">
      <c r="A407" s="13">
        <f>Catalog!A407</f>
        <v/>
      </c>
      <c r="B407" s="13">
        <f>Catalog!C407</f>
        <v/>
      </c>
      <c r="C407" s="15">
        <f>Catalog!D407</f>
        <v/>
      </c>
      <c r="D407" s="15">
        <f>Catalog!N407</f>
        <v/>
      </c>
      <c r="E407" s="15">
        <f>Catalog!F407</f>
        <v/>
      </c>
      <c r="F407" s="15">
        <f>IF(Catalog!W407="","",Catalog!W407&amp;" "&amp;Catalog!X407)</f>
        <v/>
      </c>
      <c r="G407" s="9" t="n"/>
    </row>
    <row r="408">
      <c r="A408" s="13">
        <f>Catalog!A408</f>
        <v/>
      </c>
      <c r="B408" s="13">
        <f>Catalog!C408</f>
        <v/>
      </c>
      <c r="C408" s="15">
        <f>Catalog!D408</f>
        <v/>
      </c>
      <c r="D408" s="15">
        <f>Catalog!N408</f>
        <v/>
      </c>
      <c r="E408" s="15">
        <f>Catalog!F408</f>
        <v/>
      </c>
      <c r="F408" s="15">
        <f>IF(Catalog!W408="","",Catalog!W408&amp;" "&amp;Catalog!X408)</f>
        <v/>
      </c>
      <c r="G408" s="9" t="n"/>
    </row>
    <row r="409">
      <c r="A409" s="13">
        <f>Catalog!A409</f>
        <v/>
      </c>
      <c r="B409" s="13">
        <f>Catalog!C409</f>
        <v/>
      </c>
      <c r="C409" s="15">
        <f>Catalog!D409</f>
        <v/>
      </c>
      <c r="D409" s="15">
        <f>Catalog!N409</f>
        <v/>
      </c>
      <c r="E409" s="15">
        <f>Catalog!F409</f>
        <v/>
      </c>
      <c r="F409" s="15">
        <f>IF(Catalog!W409="","",Catalog!W409&amp;" "&amp;Catalog!X409)</f>
        <v/>
      </c>
      <c r="G409" s="9" t="n"/>
    </row>
    <row r="410">
      <c r="A410" s="13">
        <f>Catalog!A410</f>
        <v/>
      </c>
      <c r="B410" s="13">
        <f>Catalog!C410</f>
        <v/>
      </c>
      <c r="C410" s="15">
        <f>Catalog!D410</f>
        <v/>
      </c>
      <c r="D410" s="15">
        <f>Catalog!N410</f>
        <v/>
      </c>
      <c r="E410" s="15">
        <f>Catalog!F410</f>
        <v/>
      </c>
      <c r="F410" s="15">
        <f>IF(Catalog!W410="","",Catalog!W410&amp;" "&amp;Catalog!X410)</f>
        <v/>
      </c>
      <c r="G410" s="9" t="n"/>
    </row>
    <row r="411">
      <c r="A411" s="13">
        <f>Catalog!A411</f>
        <v/>
      </c>
      <c r="B411" s="13">
        <f>Catalog!C411</f>
        <v/>
      </c>
      <c r="C411" s="15">
        <f>Catalog!D411</f>
        <v/>
      </c>
      <c r="D411" s="15">
        <f>Catalog!N411</f>
        <v/>
      </c>
      <c r="E411" s="15">
        <f>Catalog!F411</f>
        <v/>
      </c>
      <c r="F411" s="15">
        <f>IF(Catalog!W411="","",Catalog!W411&amp;" "&amp;Catalog!X411)</f>
        <v/>
      </c>
      <c r="G411" s="9" t="n"/>
    </row>
    <row r="412">
      <c r="A412" s="13">
        <f>Catalog!A412</f>
        <v/>
      </c>
      <c r="B412" s="13">
        <f>Catalog!C412</f>
        <v/>
      </c>
      <c r="C412" s="15">
        <f>Catalog!D412</f>
        <v/>
      </c>
      <c r="D412" s="15">
        <f>Catalog!N412</f>
        <v/>
      </c>
      <c r="E412" s="15">
        <f>Catalog!F412</f>
        <v/>
      </c>
      <c r="F412" s="15">
        <f>IF(Catalog!W412="","",Catalog!W412&amp;" "&amp;Catalog!X412)</f>
        <v/>
      </c>
      <c r="G412" s="9" t="n"/>
    </row>
    <row r="413">
      <c r="A413" s="13">
        <f>Catalog!A413</f>
        <v/>
      </c>
      <c r="B413" s="13">
        <f>Catalog!C413</f>
        <v/>
      </c>
      <c r="C413" s="15">
        <f>Catalog!D413</f>
        <v/>
      </c>
      <c r="D413" s="15">
        <f>Catalog!N413</f>
        <v/>
      </c>
      <c r="E413" s="15">
        <f>Catalog!F413</f>
        <v/>
      </c>
      <c r="F413" s="15">
        <f>IF(Catalog!W413="","",Catalog!W413&amp;" "&amp;Catalog!X413)</f>
        <v/>
      </c>
      <c r="G413" s="9" t="n"/>
    </row>
    <row r="414">
      <c r="A414" s="13">
        <f>Catalog!A414</f>
        <v/>
      </c>
      <c r="B414" s="13">
        <f>Catalog!C414</f>
        <v/>
      </c>
      <c r="C414" s="15">
        <f>Catalog!D414</f>
        <v/>
      </c>
      <c r="D414" s="15">
        <f>Catalog!N414</f>
        <v/>
      </c>
      <c r="E414" s="15">
        <f>Catalog!F414</f>
        <v/>
      </c>
      <c r="F414" s="15">
        <f>IF(Catalog!W414="","",Catalog!W414&amp;" "&amp;Catalog!X414)</f>
        <v/>
      </c>
      <c r="G414" s="9" t="n"/>
    </row>
    <row r="415">
      <c r="A415" s="13">
        <f>Catalog!A415</f>
        <v/>
      </c>
      <c r="B415" s="13">
        <f>Catalog!C415</f>
        <v/>
      </c>
      <c r="C415" s="15">
        <f>Catalog!D415</f>
        <v/>
      </c>
      <c r="D415" s="15">
        <f>Catalog!N415</f>
        <v/>
      </c>
      <c r="E415" s="15">
        <f>Catalog!F415</f>
        <v/>
      </c>
      <c r="F415" s="15">
        <f>IF(Catalog!W415="","",Catalog!W415&amp;" "&amp;Catalog!X415)</f>
        <v/>
      </c>
      <c r="G415" s="9" t="n"/>
    </row>
    <row r="416">
      <c r="A416" s="13">
        <f>Catalog!A416</f>
        <v/>
      </c>
      <c r="B416" s="13">
        <f>Catalog!C416</f>
        <v/>
      </c>
      <c r="C416" s="15">
        <f>Catalog!D416</f>
        <v/>
      </c>
      <c r="D416" s="15">
        <f>Catalog!N416</f>
        <v/>
      </c>
      <c r="E416" s="15">
        <f>Catalog!F416</f>
        <v/>
      </c>
      <c r="F416" s="15">
        <f>IF(Catalog!W416="","",Catalog!W416&amp;" "&amp;Catalog!X416)</f>
        <v/>
      </c>
      <c r="G416" s="9" t="n"/>
    </row>
    <row r="417">
      <c r="A417" s="13">
        <f>Catalog!A417</f>
        <v/>
      </c>
      <c r="B417" s="13">
        <f>Catalog!C417</f>
        <v/>
      </c>
      <c r="C417" s="15">
        <f>Catalog!D417</f>
        <v/>
      </c>
      <c r="D417" s="15">
        <f>Catalog!N417</f>
        <v/>
      </c>
      <c r="E417" s="15">
        <f>Catalog!F417</f>
        <v/>
      </c>
      <c r="F417" s="15">
        <f>IF(Catalog!W417="","",Catalog!W417&amp;" "&amp;Catalog!X417)</f>
        <v/>
      </c>
      <c r="G417" s="9" t="n"/>
    </row>
    <row r="418">
      <c r="A418" s="13">
        <f>Catalog!A418</f>
        <v/>
      </c>
      <c r="B418" s="13">
        <f>Catalog!C418</f>
        <v/>
      </c>
      <c r="C418" s="15">
        <f>Catalog!D418</f>
        <v/>
      </c>
      <c r="D418" s="15">
        <f>Catalog!N418</f>
        <v/>
      </c>
      <c r="E418" s="15">
        <f>Catalog!F418</f>
        <v/>
      </c>
      <c r="F418" s="15">
        <f>IF(Catalog!W418="","",Catalog!W418&amp;" "&amp;Catalog!X418)</f>
        <v/>
      </c>
      <c r="G418" s="9" t="n"/>
    </row>
    <row r="419">
      <c r="A419" s="13">
        <f>Catalog!A419</f>
        <v/>
      </c>
      <c r="B419" s="13">
        <f>Catalog!C419</f>
        <v/>
      </c>
      <c r="C419" s="15">
        <f>Catalog!D419</f>
        <v/>
      </c>
      <c r="D419" s="15">
        <f>Catalog!N419</f>
        <v/>
      </c>
      <c r="E419" s="15">
        <f>Catalog!F419</f>
        <v/>
      </c>
      <c r="F419" s="15">
        <f>IF(Catalog!W419="","",Catalog!W419&amp;" "&amp;Catalog!X419)</f>
        <v/>
      </c>
      <c r="G419" s="9" t="n"/>
    </row>
    <row r="420">
      <c r="A420" s="13">
        <f>Catalog!A420</f>
        <v/>
      </c>
      <c r="B420" s="13">
        <f>Catalog!C420</f>
        <v/>
      </c>
      <c r="C420" s="15">
        <f>Catalog!D420</f>
        <v/>
      </c>
      <c r="D420" s="15">
        <f>Catalog!N420</f>
        <v/>
      </c>
      <c r="E420" s="15">
        <f>Catalog!F420</f>
        <v/>
      </c>
      <c r="F420" s="15">
        <f>IF(Catalog!W420="","",Catalog!W420&amp;" "&amp;Catalog!X420)</f>
        <v/>
      </c>
      <c r="G420" s="9" t="n"/>
    </row>
    <row r="421">
      <c r="A421" s="13">
        <f>Catalog!A421</f>
        <v/>
      </c>
      <c r="B421" s="13">
        <f>Catalog!C421</f>
        <v/>
      </c>
      <c r="C421" s="15">
        <f>Catalog!D421</f>
        <v/>
      </c>
      <c r="D421" s="15">
        <f>Catalog!N421</f>
        <v/>
      </c>
      <c r="E421" s="15">
        <f>Catalog!F421</f>
        <v/>
      </c>
      <c r="F421" s="15">
        <f>IF(Catalog!W421="","",Catalog!W421&amp;" "&amp;Catalog!X421)</f>
        <v/>
      </c>
      <c r="G421" s="9" t="n"/>
    </row>
    <row r="422">
      <c r="A422" s="13">
        <f>Catalog!A422</f>
        <v/>
      </c>
      <c r="B422" s="13">
        <f>Catalog!C422</f>
        <v/>
      </c>
      <c r="C422" s="15">
        <f>Catalog!D422</f>
        <v/>
      </c>
      <c r="D422" s="15">
        <f>Catalog!N422</f>
        <v/>
      </c>
      <c r="E422" s="15">
        <f>Catalog!F422</f>
        <v/>
      </c>
      <c r="F422" s="15">
        <f>IF(Catalog!W422="","",Catalog!W422&amp;" "&amp;Catalog!X422)</f>
        <v/>
      </c>
      <c r="G422" s="9" t="n"/>
    </row>
    <row r="423">
      <c r="A423" s="13">
        <f>Catalog!A423</f>
        <v/>
      </c>
      <c r="B423" s="13">
        <f>Catalog!C423</f>
        <v/>
      </c>
      <c r="C423" s="15">
        <f>Catalog!D423</f>
        <v/>
      </c>
      <c r="D423" s="15">
        <f>Catalog!N423</f>
        <v/>
      </c>
      <c r="E423" s="15">
        <f>Catalog!F423</f>
        <v/>
      </c>
      <c r="F423" s="15">
        <f>IF(Catalog!W423="","",Catalog!W423&amp;" "&amp;Catalog!X423)</f>
        <v/>
      </c>
      <c r="G423" s="9" t="n"/>
    </row>
    <row r="424">
      <c r="A424" s="13">
        <f>Catalog!A424</f>
        <v/>
      </c>
      <c r="B424" s="13">
        <f>Catalog!C424</f>
        <v/>
      </c>
      <c r="C424" s="15">
        <f>Catalog!D424</f>
        <v/>
      </c>
      <c r="D424" s="15">
        <f>Catalog!N424</f>
        <v/>
      </c>
      <c r="E424" s="15">
        <f>Catalog!F424</f>
        <v/>
      </c>
      <c r="F424" s="15">
        <f>IF(Catalog!W424="","",Catalog!W424&amp;" "&amp;Catalog!X424)</f>
        <v/>
      </c>
      <c r="G424" s="9" t="n"/>
    </row>
    <row r="425">
      <c r="A425" s="13">
        <f>Catalog!A425</f>
        <v/>
      </c>
      <c r="B425" s="13">
        <f>Catalog!C425</f>
        <v/>
      </c>
      <c r="C425" s="15">
        <f>Catalog!D425</f>
        <v/>
      </c>
      <c r="D425" s="15">
        <f>Catalog!N425</f>
        <v/>
      </c>
      <c r="E425" s="15">
        <f>Catalog!F425</f>
        <v/>
      </c>
      <c r="F425" s="15">
        <f>IF(Catalog!W425="","",Catalog!W425&amp;" "&amp;Catalog!X425)</f>
        <v/>
      </c>
      <c r="G425" s="9" t="n"/>
    </row>
    <row r="426">
      <c r="A426" s="13">
        <f>Catalog!A426</f>
        <v/>
      </c>
      <c r="B426" s="13">
        <f>Catalog!C426</f>
        <v/>
      </c>
      <c r="C426" s="15">
        <f>Catalog!D426</f>
        <v/>
      </c>
      <c r="D426" s="15">
        <f>Catalog!N426</f>
        <v/>
      </c>
      <c r="E426" s="15">
        <f>Catalog!F426</f>
        <v/>
      </c>
      <c r="F426" s="15">
        <f>IF(Catalog!W426="","",Catalog!W426&amp;" "&amp;Catalog!X426)</f>
        <v/>
      </c>
      <c r="G426" s="9" t="n"/>
    </row>
    <row r="427">
      <c r="A427" s="13">
        <f>Catalog!A427</f>
        <v/>
      </c>
      <c r="B427" s="13">
        <f>Catalog!C427</f>
        <v/>
      </c>
      <c r="C427" s="15">
        <f>Catalog!D427</f>
        <v/>
      </c>
      <c r="D427" s="15">
        <f>Catalog!N427</f>
        <v/>
      </c>
      <c r="E427" s="15">
        <f>Catalog!F427</f>
        <v/>
      </c>
      <c r="F427" s="15">
        <f>IF(Catalog!W427="","",Catalog!W427&amp;" "&amp;Catalog!X427)</f>
        <v/>
      </c>
      <c r="G427" s="9" t="n"/>
    </row>
    <row r="428">
      <c r="A428" s="13">
        <f>Catalog!A428</f>
        <v/>
      </c>
      <c r="B428" s="13">
        <f>Catalog!C428</f>
        <v/>
      </c>
      <c r="C428" s="15">
        <f>Catalog!D428</f>
        <v/>
      </c>
      <c r="D428" s="15">
        <f>Catalog!N428</f>
        <v/>
      </c>
      <c r="E428" s="15">
        <f>Catalog!F428</f>
        <v/>
      </c>
      <c r="F428" s="15">
        <f>IF(Catalog!W428="","",Catalog!W428&amp;" "&amp;Catalog!X428)</f>
        <v/>
      </c>
      <c r="G428" s="9" t="n"/>
    </row>
    <row r="429">
      <c r="A429" s="13">
        <f>Catalog!A429</f>
        <v/>
      </c>
      <c r="B429" s="13">
        <f>Catalog!C429</f>
        <v/>
      </c>
      <c r="C429" s="15">
        <f>Catalog!D429</f>
        <v/>
      </c>
      <c r="D429" s="15">
        <f>Catalog!N429</f>
        <v/>
      </c>
      <c r="E429" s="15">
        <f>Catalog!F429</f>
        <v/>
      </c>
      <c r="F429" s="15">
        <f>IF(Catalog!W429="","",Catalog!W429&amp;" "&amp;Catalog!X429)</f>
        <v/>
      </c>
      <c r="G429" s="9" t="n"/>
    </row>
    <row r="430">
      <c r="A430" s="13">
        <f>Catalog!A430</f>
        <v/>
      </c>
      <c r="B430" s="13">
        <f>Catalog!C430</f>
        <v/>
      </c>
      <c r="C430" s="15">
        <f>Catalog!D430</f>
        <v/>
      </c>
      <c r="D430" s="15">
        <f>Catalog!N430</f>
        <v/>
      </c>
      <c r="E430" s="15">
        <f>Catalog!F430</f>
        <v/>
      </c>
      <c r="F430" s="15">
        <f>IF(Catalog!W430="","",Catalog!W430&amp;" "&amp;Catalog!X430)</f>
        <v/>
      </c>
      <c r="G430" s="9" t="n"/>
    </row>
    <row r="431">
      <c r="A431" s="13">
        <f>Catalog!A431</f>
        <v/>
      </c>
      <c r="B431" s="13">
        <f>Catalog!C431</f>
        <v/>
      </c>
      <c r="C431" s="15">
        <f>Catalog!D431</f>
        <v/>
      </c>
      <c r="D431" s="15">
        <f>Catalog!N431</f>
        <v/>
      </c>
      <c r="E431" s="15">
        <f>Catalog!F431</f>
        <v/>
      </c>
      <c r="F431" s="15">
        <f>IF(Catalog!W431="","",Catalog!W431&amp;" "&amp;Catalog!X431)</f>
        <v/>
      </c>
      <c r="G431" s="9" t="n"/>
    </row>
    <row r="432">
      <c r="A432" s="13">
        <f>Catalog!A432</f>
        <v/>
      </c>
      <c r="B432" s="13">
        <f>Catalog!C432</f>
        <v/>
      </c>
      <c r="C432" s="15">
        <f>Catalog!D432</f>
        <v/>
      </c>
      <c r="D432" s="15">
        <f>Catalog!N432</f>
        <v/>
      </c>
      <c r="E432" s="15">
        <f>Catalog!F432</f>
        <v/>
      </c>
      <c r="F432" s="15">
        <f>IF(Catalog!W432="","",Catalog!W432&amp;" "&amp;Catalog!X432)</f>
        <v/>
      </c>
      <c r="G432" s="9" t="n"/>
    </row>
    <row r="433">
      <c r="A433" s="13">
        <f>Catalog!A433</f>
        <v/>
      </c>
      <c r="B433" s="13">
        <f>Catalog!C433</f>
        <v/>
      </c>
      <c r="C433" s="15">
        <f>Catalog!D433</f>
        <v/>
      </c>
      <c r="D433" s="15">
        <f>Catalog!N433</f>
        <v/>
      </c>
      <c r="E433" s="15">
        <f>Catalog!F433</f>
        <v/>
      </c>
      <c r="F433" s="15">
        <f>IF(Catalog!W433="","",Catalog!W433&amp;" "&amp;Catalog!X433)</f>
        <v/>
      </c>
      <c r="G433" s="9" t="n"/>
    </row>
    <row r="434">
      <c r="A434" s="13">
        <f>Catalog!A434</f>
        <v/>
      </c>
      <c r="B434" s="13">
        <f>Catalog!C434</f>
        <v/>
      </c>
      <c r="C434" s="15">
        <f>Catalog!D434</f>
        <v/>
      </c>
      <c r="D434" s="15">
        <f>Catalog!N434</f>
        <v/>
      </c>
      <c r="E434" s="15">
        <f>Catalog!F434</f>
        <v/>
      </c>
      <c r="F434" s="15">
        <f>IF(Catalog!W434="","",Catalog!W434&amp;" "&amp;Catalog!X434)</f>
        <v/>
      </c>
      <c r="G434" s="9" t="n"/>
    </row>
    <row r="435">
      <c r="A435" s="13">
        <f>Catalog!A435</f>
        <v/>
      </c>
      <c r="B435" s="13">
        <f>Catalog!C435</f>
        <v/>
      </c>
      <c r="C435" s="15">
        <f>Catalog!D435</f>
        <v/>
      </c>
      <c r="D435" s="15">
        <f>Catalog!N435</f>
        <v/>
      </c>
      <c r="E435" s="15">
        <f>Catalog!F435</f>
        <v/>
      </c>
      <c r="F435" s="15">
        <f>IF(Catalog!W435="","",Catalog!W435&amp;" "&amp;Catalog!X435)</f>
        <v/>
      </c>
      <c r="G435" s="9" t="n"/>
    </row>
    <row r="436">
      <c r="A436" s="13">
        <f>Catalog!A436</f>
        <v/>
      </c>
      <c r="B436" s="13">
        <f>Catalog!C436</f>
        <v/>
      </c>
      <c r="C436" s="15">
        <f>Catalog!D436</f>
        <v/>
      </c>
      <c r="D436" s="15">
        <f>Catalog!N436</f>
        <v/>
      </c>
      <c r="E436" s="15">
        <f>Catalog!F436</f>
        <v/>
      </c>
      <c r="F436" s="15">
        <f>IF(Catalog!W436="","",Catalog!W436&amp;" "&amp;Catalog!X436)</f>
        <v/>
      </c>
      <c r="G436" s="9" t="n"/>
    </row>
    <row r="437">
      <c r="A437" s="13">
        <f>Catalog!A437</f>
        <v/>
      </c>
      <c r="B437" s="13">
        <f>Catalog!C437</f>
        <v/>
      </c>
      <c r="C437" s="15">
        <f>Catalog!D437</f>
        <v/>
      </c>
      <c r="D437" s="15">
        <f>Catalog!N437</f>
        <v/>
      </c>
      <c r="E437" s="15">
        <f>Catalog!F437</f>
        <v/>
      </c>
      <c r="F437" s="15">
        <f>IF(Catalog!W437="","",Catalog!W437&amp;" "&amp;Catalog!X437)</f>
        <v/>
      </c>
      <c r="G437" s="9" t="n"/>
    </row>
    <row r="438">
      <c r="A438" s="13">
        <f>Catalog!A438</f>
        <v/>
      </c>
      <c r="B438" s="13">
        <f>Catalog!C438</f>
        <v/>
      </c>
      <c r="C438" s="15">
        <f>Catalog!D438</f>
        <v/>
      </c>
      <c r="D438" s="15">
        <f>Catalog!N438</f>
        <v/>
      </c>
      <c r="E438" s="15">
        <f>Catalog!F438</f>
        <v/>
      </c>
      <c r="F438" s="15">
        <f>IF(Catalog!W438="","",Catalog!W438&amp;" "&amp;Catalog!X438)</f>
        <v/>
      </c>
      <c r="G438" s="9" t="n"/>
    </row>
    <row r="439">
      <c r="A439" s="13">
        <f>Catalog!A439</f>
        <v/>
      </c>
      <c r="B439" s="13">
        <f>Catalog!C439</f>
        <v/>
      </c>
      <c r="C439" s="15">
        <f>Catalog!D439</f>
        <v/>
      </c>
      <c r="D439" s="15">
        <f>Catalog!N439</f>
        <v/>
      </c>
      <c r="E439" s="15">
        <f>Catalog!F439</f>
        <v/>
      </c>
      <c r="F439" s="15">
        <f>IF(Catalog!W439="","",Catalog!W439&amp;" "&amp;Catalog!X439)</f>
        <v/>
      </c>
      <c r="G439" s="9" t="n"/>
    </row>
    <row r="440">
      <c r="A440" s="13">
        <f>Catalog!A440</f>
        <v/>
      </c>
      <c r="B440" s="13">
        <f>Catalog!C440</f>
        <v/>
      </c>
      <c r="C440" s="15">
        <f>Catalog!D440</f>
        <v/>
      </c>
      <c r="D440" s="15">
        <f>Catalog!N440</f>
        <v/>
      </c>
      <c r="E440" s="15">
        <f>Catalog!F440</f>
        <v/>
      </c>
      <c r="F440" s="15">
        <f>IF(Catalog!W440="","",Catalog!W440&amp;" "&amp;Catalog!X440)</f>
        <v/>
      </c>
      <c r="G440" s="9" t="n"/>
    </row>
    <row r="441">
      <c r="A441" s="13">
        <f>Catalog!A441</f>
        <v/>
      </c>
      <c r="B441" s="13">
        <f>Catalog!C441</f>
        <v/>
      </c>
      <c r="C441" s="15">
        <f>Catalog!D441</f>
        <v/>
      </c>
      <c r="D441" s="15">
        <f>Catalog!N441</f>
        <v/>
      </c>
      <c r="E441" s="15">
        <f>Catalog!F441</f>
        <v/>
      </c>
      <c r="F441" s="15">
        <f>IF(Catalog!W441="","",Catalog!W441&amp;" "&amp;Catalog!X441)</f>
        <v/>
      </c>
      <c r="G441" s="9" t="n"/>
    </row>
    <row r="442">
      <c r="A442" s="13">
        <f>Catalog!A442</f>
        <v/>
      </c>
      <c r="B442" s="13">
        <f>Catalog!C442</f>
        <v/>
      </c>
      <c r="C442" s="15">
        <f>Catalog!D442</f>
        <v/>
      </c>
      <c r="D442" s="15">
        <f>Catalog!N442</f>
        <v/>
      </c>
      <c r="E442" s="15">
        <f>Catalog!F442</f>
        <v/>
      </c>
      <c r="F442" s="15">
        <f>IF(Catalog!W442="","",Catalog!W442&amp;" "&amp;Catalog!X442)</f>
        <v/>
      </c>
      <c r="G442" s="9" t="n"/>
    </row>
    <row r="443">
      <c r="A443" s="13">
        <f>Catalog!A443</f>
        <v/>
      </c>
      <c r="B443" s="13">
        <f>Catalog!C443</f>
        <v/>
      </c>
      <c r="C443" s="15">
        <f>Catalog!D443</f>
        <v/>
      </c>
      <c r="D443" s="15">
        <f>Catalog!N443</f>
        <v/>
      </c>
      <c r="E443" s="15">
        <f>Catalog!F443</f>
        <v/>
      </c>
      <c r="F443" s="15">
        <f>IF(Catalog!W443="","",Catalog!W443&amp;" "&amp;Catalog!X443)</f>
        <v/>
      </c>
      <c r="G443" s="9" t="n"/>
    </row>
    <row r="444">
      <c r="A444" s="13">
        <f>Catalog!A444</f>
        <v/>
      </c>
      <c r="B444" s="13">
        <f>Catalog!C444</f>
        <v/>
      </c>
      <c r="C444" s="15">
        <f>Catalog!D444</f>
        <v/>
      </c>
      <c r="D444" s="15">
        <f>Catalog!N444</f>
        <v/>
      </c>
      <c r="E444" s="15">
        <f>Catalog!F444</f>
        <v/>
      </c>
      <c r="F444" s="15">
        <f>IF(Catalog!W444="","",Catalog!W444&amp;" "&amp;Catalog!X444)</f>
        <v/>
      </c>
      <c r="G444" s="9" t="n"/>
    </row>
    <row r="445">
      <c r="A445" s="13">
        <f>Catalog!A445</f>
        <v/>
      </c>
      <c r="B445" s="13">
        <f>Catalog!C445</f>
        <v/>
      </c>
      <c r="C445" s="15">
        <f>Catalog!D445</f>
        <v/>
      </c>
      <c r="D445" s="15">
        <f>Catalog!N445</f>
        <v/>
      </c>
      <c r="E445" s="15">
        <f>Catalog!F445</f>
        <v/>
      </c>
      <c r="F445" s="15">
        <f>IF(Catalog!W445="","",Catalog!W445&amp;" "&amp;Catalog!X445)</f>
        <v/>
      </c>
      <c r="G445" s="9" t="n"/>
    </row>
    <row r="446">
      <c r="A446" s="13">
        <f>Catalog!A446</f>
        <v/>
      </c>
      <c r="B446" s="13">
        <f>Catalog!C446</f>
        <v/>
      </c>
      <c r="C446" s="15">
        <f>Catalog!D446</f>
        <v/>
      </c>
      <c r="D446" s="15">
        <f>Catalog!N446</f>
        <v/>
      </c>
      <c r="E446" s="15">
        <f>Catalog!F446</f>
        <v/>
      </c>
      <c r="F446" s="15">
        <f>IF(Catalog!W446="","",Catalog!W446&amp;" "&amp;Catalog!X446)</f>
        <v/>
      </c>
      <c r="G446" s="9" t="n"/>
    </row>
    <row r="447">
      <c r="A447" s="13">
        <f>Catalog!A447</f>
        <v/>
      </c>
      <c r="B447" s="13">
        <f>Catalog!C447</f>
        <v/>
      </c>
      <c r="C447" s="15">
        <f>Catalog!D447</f>
        <v/>
      </c>
      <c r="D447" s="15">
        <f>Catalog!N447</f>
        <v/>
      </c>
      <c r="E447" s="15">
        <f>Catalog!F447</f>
        <v/>
      </c>
      <c r="F447" s="15">
        <f>IF(Catalog!W447="","",Catalog!W447&amp;" "&amp;Catalog!X447)</f>
        <v/>
      </c>
      <c r="G447" s="9" t="n"/>
    </row>
    <row r="448">
      <c r="A448" s="13">
        <f>Catalog!A448</f>
        <v/>
      </c>
      <c r="B448" s="13">
        <f>Catalog!C448</f>
        <v/>
      </c>
      <c r="C448" s="15">
        <f>Catalog!D448</f>
        <v/>
      </c>
      <c r="D448" s="15">
        <f>Catalog!N448</f>
        <v/>
      </c>
      <c r="E448" s="15">
        <f>Catalog!F448</f>
        <v/>
      </c>
      <c r="F448" s="15">
        <f>IF(Catalog!W448="","",Catalog!W448&amp;" "&amp;Catalog!X448)</f>
        <v/>
      </c>
      <c r="G448" s="9" t="n"/>
    </row>
    <row r="449">
      <c r="A449" s="13">
        <f>Catalog!A449</f>
        <v/>
      </c>
      <c r="B449" s="13">
        <f>Catalog!C449</f>
        <v/>
      </c>
      <c r="C449" s="15">
        <f>Catalog!D449</f>
        <v/>
      </c>
      <c r="D449" s="15">
        <f>Catalog!N449</f>
        <v/>
      </c>
      <c r="E449" s="15">
        <f>Catalog!F449</f>
        <v/>
      </c>
      <c r="F449" s="15">
        <f>IF(Catalog!W449="","",Catalog!W449&amp;" "&amp;Catalog!X449)</f>
        <v/>
      </c>
      <c r="G449" s="9" t="n"/>
    </row>
    <row r="450">
      <c r="A450" s="13">
        <f>Catalog!A450</f>
        <v/>
      </c>
      <c r="B450" s="13">
        <f>Catalog!C450</f>
        <v/>
      </c>
      <c r="C450" s="15">
        <f>Catalog!D450</f>
        <v/>
      </c>
      <c r="D450" s="15">
        <f>Catalog!N450</f>
        <v/>
      </c>
      <c r="E450" s="15">
        <f>Catalog!F450</f>
        <v/>
      </c>
      <c r="F450" s="15">
        <f>IF(Catalog!W450="","",Catalog!W450&amp;" "&amp;Catalog!X450)</f>
        <v/>
      </c>
      <c r="G450" s="9" t="n"/>
    </row>
    <row r="451">
      <c r="A451" s="13">
        <f>Catalog!A451</f>
        <v/>
      </c>
      <c r="B451" s="13">
        <f>Catalog!C451</f>
        <v/>
      </c>
      <c r="C451" s="15">
        <f>Catalog!D451</f>
        <v/>
      </c>
      <c r="D451" s="15">
        <f>Catalog!N451</f>
        <v/>
      </c>
      <c r="E451" s="15">
        <f>Catalog!F451</f>
        <v/>
      </c>
      <c r="F451" s="15">
        <f>IF(Catalog!W451="","",Catalog!W451&amp;" "&amp;Catalog!X451)</f>
        <v/>
      </c>
      <c r="G451" s="9" t="n"/>
    </row>
    <row r="452">
      <c r="A452" s="13">
        <f>Catalog!A452</f>
        <v/>
      </c>
      <c r="B452" s="13">
        <f>Catalog!C452</f>
        <v/>
      </c>
      <c r="C452" s="15">
        <f>Catalog!D452</f>
        <v/>
      </c>
      <c r="D452" s="15">
        <f>Catalog!N452</f>
        <v/>
      </c>
      <c r="E452" s="15">
        <f>Catalog!F452</f>
        <v/>
      </c>
      <c r="F452" s="15">
        <f>IF(Catalog!W452="","",Catalog!W452&amp;" "&amp;Catalog!X452)</f>
        <v/>
      </c>
      <c r="G452" s="9" t="n"/>
    </row>
    <row r="453">
      <c r="A453" s="13">
        <f>Catalog!A453</f>
        <v/>
      </c>
      <c r="B453" s="13">
        <f>Catalog!C453</f>
        <v/>
      </c>
      <c r="C453" s="15">
        <f>Catalog!D453</f>
        <v/>
      </c>
      <c r="D453" s="15">
        <f>Catalog!N453</f>
        <v/>
      </c>
      <c r="E453" s="15">
        <f>Catalog!F453</f>
        <v/>
      </c>
      <c r="F453" s="15">
        <f>IF(Catalog!W453="","",Catalog!W453&amp;" "&amp;Catalog!X453)</f>
        <v/>
      </c>
      <c r="G453" s="9" t="n"/>
    </row>
    <row r="454">
      <c r="A454" s="13">
        <f>Catalog!A454</f>
        <v/>
      </c>
      <c r="B454" s="13">
        <f>Catalog!C454</f>
        <v/>
      </c>
      <c r="C454" s="15">
        <f>Catalog!D454</f>
        <v/>
      </c>
      <c r="D454" s="15">
        <f>Catalog!N454</f>
        <v/>
      </c>
      <c r="E454" s="15">
        <f>Catalog!F454</f>
        <v/>
      </c>
      <c r="F454" s="15">
        <f>IF(Catalog!W454="","",Catalog!W454&amp;" "&amp;Catalog!X454)</f>
        <v/>
      </c>
      <c r="G454" s="9" t="n"/>
    </row>
    <row r="455">
      <c r="A455" s="13">
        <f>Catalog!A455</f>
        <v/>
      </c>
      <c r="B455" s="13">
        <f>Catalog!C455</f>
        <v/>
      </c>
      <c r="C455" s="15">
        <f>Catalog!D455</f>
        <v/>
      </c>
      <c r="D455" s="15">
        <f>Catalog!N455</f>
        <v/>
      </c>
      <c r="E455" s="15">
        <f>Catalog!F455</f>
        <v/>
      </c>
      <c r="F455" s="15">
        <f>IF(Catalog!W455="","",Catalog!W455&amp;" "&amp;Catalog!X455)</f>
        <v/>
      </c>
      <c r="G455" s="9" t="n"/>
    </row>
    <row r="456">
      <c r="A456" s="13">
        <f>Catalog!A456</f>
        <v/>
      </c>
      <c r="B456" s="13">
        <f>Catalog!C456</f>
        <v/>
      </c>
      <c r="C456" s="15">
        <f>Catalog!D456</f>
        <v/>
      </c>
      <c r="D456" s="15">
        <f>Catalog!N456</f>
        <v/>
      </c>
      <c r="E456" s="15">
        <f>Catalog!F456</f>
        <v/>
      </c>
      <c r="F456" s="15">
        <f>IF(Catalog!W456="","",Catalog!W456&amp;" "&amp;Catalog!X456)</f>
        <v/>
      </c>
      <c r="G456" s="9" t="n"/>
    </row>
    <row r="457">
      <c r="A457" s="13">
        <f>Catalog!A457</f>
        <v/>
      </c>
      <c r="B457" s="13">
        <f>Catalog!C457</f>
        <v/>
      </c>
      <c r="C457" s="15">
        <f>Catalog!D457</f>
        <v/>
      </c>
      <c r="D457" s="15">
        <f>Catalog!N457</f>
        <v/>
      </c>
      <c r="E457" s="15">
        <f>Catalog!F457</f>
        <v/>
      </c>
      <c r="F457" s="15">
        <f>IF(Catalog!W457="","",Catalog!W457&amp;" "&amp;Catalog!X457)</f>
        <v/>
      </c>
      <c r="G457" s="9" t="n"/>
    </row>
    <row r="458">
      <c r="A458" s="13">
        <f>Catalog!A458</f>
        <v/>
      </c>
      <c r="B458" s="13">
        <f>Catalog!C458</f>
        <v/>
      </c>
      <c r="C458" s="15">
        <f>Catalog!D458</f>
        <v/>
      </c>
      <c r="D458" s="15">
        <f>Catalog!N458</f>
        <v/>
      </c>
      <c r="E458" s="15">
        <f>Catalog!F458</f>
        <v/>
      </c>
      <c r="F458" s="15">
        <f>IF(Catalog!W458="","",Catalog!W458&amp;" "&amp;Catalog!X458)</f>
        <v/>
      </c>
      <c r="G458" s="9" t="n"/>
    </row>
    <row r="459">
      <c r="A459" s="13">
        <f>Catalog!A459</f>
        <v/>
      </c>
      <c r="B459" s="13">
        <f>Catalog!C459</f>
        <v/>
      </c>
      <c r="C459" s="15">
        <f>Catalog!D459</f>
        <v/>
      </c>
      <c r="D459" s="15">
        <f>Catalog!N459</f>
        <v/>
      </c>
      <c r="E459" s="15">
        <f>Catalog!F459</f>
        <v/>
      </c>
      <c r="F459" s="15">
        <f>IF(Catalog!W459="","",Catalog!W459&amp;" "&amp;Catalog!X459)</f>
        <v/>
      </c>
      <c r="G459" s="9" t="n"/>
    </row>
    <row r="460">
      <c r="A460" s="13">
        <f>Catalog!A460</f>
        <v/>
      </c>
      <c r="B460" s="13">
        <f>Catalog!C460</f>
        <v/>
      </c>
      <c r="C460" s="15">
        <f>Catalog!D460</f>
        <v/>
      </c>
      <c r="D460" s="15">
        <f>Catalog!N460</f>
        <v/>
      </c>
      <c r="E460" s="15">
        <f>Catalog!F460</f>
        <v/>
      </c>
      <c r="F460" s="15">
        <f>IF(Catalog!W460="","",Catalog!W460&amp;" "&amp;Catalog!X460)</f>
        <v/>
      </c>
      <c r="G460" s="9" t="n"/>
    </row>
    <row r="461">
      <c r="A461" s="13">
        <f>Catalog!A461</f>
        <v/>
      </c>
      <c r="B461" s="13">
        <f>Catalog!C461</f>
        <v/>
      </c>
      <c r="C461" s="15">
        <f>Catalog!D461</f>
        <v/>
      </c>
      <c r="D461" s="15">
        <f>Catalog!N461</f>
        <v/>
      </c>
      <c r="E461" s="15">
        <f>Catalog!F461</f>
        <v/>
      </c>
      <c r="F461" s="15">
        <f>IF(Catalog!W461="","",Catalog!W461&amp;" "&amp;Catalog!X461)</f>
        <v/>
      </c>
      <c r="G461" s="9" t="n"/>
    </row>
    <row r="462">
      <c r="A462" s="13">
        <f>Catalog!A462</f>
        <v/>
      </c>
      <c r="B462" s="13">
        <f>Catalog!C462</f>
        <v/>
      </c>
      <c r="C462" s="15">
        <f>Catalog!D462</f>
        <v/>
      </c>
      <c r="D462" s="15">
        <f>Catalog!N462</f>
        <v/>
      </c>
      <c r="E462" s="15">
        <f>Catalog!F462</f>
        <v/>
      </c>
      <c r="F462" s="15">
        <f>IF(Catalog!W462="","",Catalog!W462&amp;" "&amp;Catalog!X462)</f>
        <v/>
      </c>
      <c r="G462" s="9" t="n"/>
    </row>
    <row r="463">
      <c r="A463" s="13">
        <f>Catalog!A463</f>
        <v/>
      </c>
      <c r="B463" s="13">
        <f>Catalog!C463</f>
        <v/>
      </c>
      <c r="C463" s="15">
        <f>Catalog!D463</f>
        <v/>
      </c>
      <c r="D463" s="15">
        <f>Catalog!N463</f>
        <v/>
      </c>
      <c r="E463" s="15">
        <f>Catalog!F463</f>
        <v/>
      </c>
      <c r="F463" s="15">
        <f>IF(Catalog!W463="","",Catalog!W463&amp;" "&amp;Catalog!X463)</f>
        <v/>
      </c>
      <c r="G463" s="9" t="n"/>
    </row>
    <row r="464">
      <c r="A464" s="13">
        <f>Catalog!A464</f>
        <v/>
      </c>
      <c r="B464" s="13">
        <f>Catalog!C464</f>
        <v/>
      </c>
      <c r="C464" s="15">
        <f>Catalog!D464</f>
        <v/>
      </c>
      <c r="D464" s="15">
        <f>Catalog!N464</f>
        <v/>
      </c>
      <c r="E464" s="15">
        <f>Catalog!F464</f>
        <v/>
      </c>
      <c r="F464" s="15">
        <f>IF(Catalog!W464="","",Catalog!W464&amp;" "&amp;Catalog!X464)</f>
        <v/>
      </c>
      <c r="G464" s="9" t="n"/>
    </row>
    <row r="465">
      <c r="A465" s="13">
        <f>Catalog!A465</f>
        <v/>
      </c>
      <c r="B465" s="13">
        <f>Catalog!C465</f>
        <v/>
      </c>
      <c r="C465" s="15">
        <f>Catalog!D465</f>
        <v/>
      </c>
      <c r="D465" s="15">
        <f>Catalog!N465</f>
        <v/>
      </c>
      <c r="E465" s="15">
        <f>Catalog!F465</f>
        <v/>
      </c>
      <c r="F465" s="15">
        <f>IF(Catalog!W465="","",Catalog!W465&amp;" "&amp;Catalog!X465)</f>
        <v/>
      </c>
      <c r="G465" s="9" t="n"/>
    </row>
    <row r="466">
      <c r="A466" s="13">
        <f>Catalog!A466</f>
        <v/>
      </c>
      <c r="B466" s="13">
        <f>Catalog!C466</f>
        <v/>
      </c>
      <c r="C466" s="15">
        <f>Catalog!D466</f>
        <v/>
      </c>
      <c r="D466" s="15">
        <f>Catalog!N466</f>
        <v/>
      </c>
      <c r="E466" s="15">
        <f>Catalog!F466</f>
        <v/>
      </c>
      <c r="F466" s="15">
        <f>IF(Catalog!W466="","",Catalog!W466&amp;" "&amp;Catalog!X466)</f>
        <v/>
      </c>
      <c r="G466" s="9" t="n"/>
    </row>
    <row r="467">
      <c r="A467" s="13">
        <f>Catalog!A467</f>
        <v/>
      </c>
      <c r="B467" s="13">
        <f>Catalog!C467</f>
        <v/>
      </c>
      <c r="C467" s="15">
        <f>Catalog!D467</f>
        <v/>
      </c>
      <c r="D467" s="15">
        <f>Catalog!N467</f>
        <v/>
      </c>
      <c r="E467" s="15">
        <f>Catalog!F467</f>
        <v/>
      </c>
      <c r="F467" s="15">
        <f>IF(Catalog!W467="","",Catalog!W467&amp;" "&amp;Catalog!X467)</f>
        <v/>
      </c>
      <c r="G467" s="9" t="n"/>
    </row>
    <row r="468">
      <c r="A468" s="13">
        <f>Catalog!A468</f>
        <v/>
      </c>
      <c r="B468" s="13">
        <f>Catalog!C468</f>
        <v/>
      </c>
      <c r="C468" s="15">
        <f>Catalog!D468</f>
        <v/>
      </c>
      <c r="D468" s="15">
        <f>Catalog!N468</f>
        <v/>
      </c>
      <c r="E468" s="15">
        <f>Catalog!F468</f>
        <v/>
      </c>
      <c r="F468" s="15">
        <f>IF(Catalog!W468="","",Catalog!W468&amp;" "&amp;Catalog!X468)</f>
        <v/>
      </c>
      <c r="G468" s="9" t="n"/>
    </row>
    <row r="469">
      <c r="A469" s="13">
        <f>Catalog!A469</f>
        <v/>
      </c>
      <c r="B469" s="13">
        <f>Catalog!C469</f>
        <v/>
      </c>
      <c r="C469" s="15">
        <f>Catalog!D469</f>
        <v/>
      </c>
      <c r="D469" s="15">
        <f>Catalog!N469</f>
        <v/>
      </c>
      <c r="E469" s="15">
        <f>Catalog!F469</f>
        <v/>
      </c>
      <c r="F469" s="15">
        <f>IF(Catalog!W469="","",Catalog!W469&amp;" "&amp;Catalog!X469)</f>
        <v/>
      </c>
      <c r="G469" s="9" t="n"/>
    </row>
    <row r="470">
      <c r="A470" s="13">
        <f>Catalog!A470</f>
        <v/>
      </c>
      <c r="B470" s="13">
        <f>Catalog!C470</f>
        <v/>
      </c>
      <c r="C470" s="15">
        <f>Catalog!D470</f>
        <v/>
      </c>
      <c r="D470" s="15">
        <f>Catalog!N470</f>
        <v/>
      </c>
      <c r="E470" s="15">
        <f>Catalog!F470</f>
        <v/>
      </c>
      <c r="F470" s="15">
        <f>IF(Catalog!W470="","",Catalog!W470&amp;" "&amp;Catalog!X470)</f>
        <v/>
      </c>
      <c r="G470" s="9" t="n"/>
    </row>
    <row r="471">
      <c r="A471" s="13">
        <f>Catalog!A471</f>
        <v/>
      </c>
      <c r="B471" s="13">
        <f>Catalog!C471</f>
        <v/>
      </c>
      <c r="C471" s="15">
        <f>Catalog!D471</f>
        <v/>
      </c>
      <c r="D471" s="15">
        <f>Catalog!N471</f>
        <v/>
      </c>
      <c r="E471" s="15">
        <f>Catalog!F471</f>
        <v/>
      </c>
      <c r="F471" s="15">
        <f>IF(Catalog!W471="","",Catalog!W471&amp;" "&amp;Catalog!X471)</f>
        <v/>
      </c>
      <c r="G471" s="9" t="n"/>
    </row>
    <row r="472">
      <c r="A472" s="13">
        <f>Catalog!A472</f>
        <v/>
      </c>
      <c r="B472" s="13">
        <f>Catalog!C472</f>
        <v/>
      </c>
      <c r="C472" s="15">
        <f>Catalog!D472</f>
        <v/>
      </c>
      <c r="D472" s="15">
        <f>Catalog!N472</f>
        <v/>
      </c>
      <c r="E472" s="15">
        <f>Catalog!F472</f>
        <v/>
      </c>
      <c r="F472" s="15">
        <f>IF(Catalog!W472="","",Catalog!W472&amp;" "&amp;Catalog!X472)</f>
        <v/>
      </c>
      <c r="G472" s="9" t="n"/>
    </row>
    <row r="473">
      <c r="A473" s="13">
        <f>Catalog!A473</f>
        <v/>
      </c>
      <c r="B473" s="13">
        <f>Catalog!C473</f>
        <v/>
      </c>
      <c r="C473" s="15">
        <f>Catalog!D473</f>
        <v/>
      </c>
      <c r="D473" s="15">
        <f>Catalog!N473</f>
        <v/>
      </c>
      <c r="E473" s="15">
        <f>Catalog!F473</f>
        <v/>
      </c>
      <c r="F473" s="15">
        <f>IF(Catalog!W473="","",Catalog!W473&amp;" "&amp;Catalog!X473)</f>
        <v/>
      </c>
      <c r="G473" s="9" t="n"/>
    </row>
    <row r="474">
      <c r="A474" s="13">
        <f>Catalog!A474</f>
        <v/>
      </c>
      <c r="B474" s="13">
        <f>Catalog!C474</f>
        <v/>
      </c>
      <c r="C474" s="15">
        <f>Catalog!D474</f>
        <v/>
      </c>
      <c r="D474" s="15">
        <f>Catalog!N474</f>
        <v/>
      </c>
      <c r="E474" s="15">
        <f>Catalog!F474</f>
        <v/>
      </c>
      <c r="F474" s="15">
        <f>IF(Catalog!W474="","",Catalog!W474&amp;" "&amp;Catalog!X474)</f>
        <v/>
      </c>
      <c r="G474" s="9" t="n"/>
    </row>
    <row r="475">
      <c r="A475" s="13">
        <f>Catalog!A475</f>
        <v/>
      </c>
      <c r="B475" s="13">
        <f>Catalog!C475</f>
        <v/>
      </c>
      <c r="C475" s="15">
        <f>Catalog!D475</f>
        <v/>
      </c>
      <c r="D475" s="15">
        <f>Catalog!N475</f>
        <v/>
      </c>
      <c r="E475" s="15">
        <f>Catalog!F475</f>
        <v/>
      </c>
      <c r="F475" s="15">
        <f>IF(Catalog!W475="","",Catalog!W475&amp;" "&amp;Catalog!X475)</f>
        <v/>
      </c>
      <c r="G475" s="9" t="n"/>
    </row>
    <row r="476">
      <c r="A476" s="13">
        <f>Catalog!A476</f>
        <v/>
      </c>
      <c r="B476" s="13">
        <f>Catalog!C476</f>
        <v/>
      </c>
      <c r="C476" s="15">
        <f>Catalog!D476</f>
        <v/>
      </c>
      <c r="D476" s="15">
        <f>Catalog!N476</f>
        <v/>
      </c>
      <c r="E476" s="15">
        <f>Catalog!F476</f>
        <v/>
      </c>
      <c r="F476" s="15">
        <f>IF(Catalog!W476="","",Catalog!W476&amp;" "&amp;Catalog!X476)</f>
        <v/>
      </c>
      <c r="G476" s="9" t="n"/>
    </row>
    <row r="477">
      <c r="A477" s="13">
        <f>Catalog!A477</f>
        <v/>
      </c>
      <c r="B477" s="13">
        <f>Catalog!C477</f>
        <v/>
      </c>
      <c r="C477" s="15">
        <f>Catalog!D477</f>
        <v/>
      </c>
      <c r="D477" s="15">
        <f>Catalog!N477</f>
        <v/>
      </c>
      <c r="E477" s="15">
        <f>Catalog!F477</f>
        <v/>
      </c>
      <c r="F477" s="15">
        <f>IF(Catalog!W477="","",Catalog!W477&amp;" "&amp;Catalog!X477)</f>
        <v/>
      </c>
      <c r="G477" s="9" t="n"/>
    </row>
    <row r="478">
      <c r="A478" s="13">
        <f>Catalog!A478</f>
        <v/>
      </c>
      <c r="B478" s="13">
        <f>Catalog!C478</f>
        <v/>
      </c>
      <c r="C478" s="15">
        <f>Catalog!D478</f>
        <v/>
      </c>
      <c r="D478" s="15">
        <f>Catalog!N478</f>
        <v/>
      </c>
      <c r="E478" s="15">
        <f>Catalog!F478</f>
        <v/>
      </c>
      <c r="F478" s="15">
        <f>IF(Catalog!W478="","",Catalog!W478&amp;" "&amp;Catalog!X478)</f>
        <v/>
      </c>
      <c r="G478" s="9" t="n"/>
    </row>
    <row r="479">
      <c r="A479" s="13">
        <f>Catalog!A479</f>
        <v/>
      </c>
      <c r="B479" s="13">
        <f>Catalog!C479</f>
        <v/>
      </c>
      <c r="C479" s="15">
        <f>Catalog!D479</f>
        <v/>
      </c>
      <c r="D479" s="15">
        <f>Catalog!N479</f>
        <v/>
      </c>
      <c r="E479" s="15">
        <f>Catalog!F479</f>
        <v/>
      </c>
      <c r="F479" s="15">
        <f>IF(Catalog!W479="","",Catalog!W479&amp;" "&amp;Catalog!X479)</f>
        <v/>
      </c>
      <c r="G479" s="9" t="n"/>
    </row>
    <row r="480">
      <c r="A480" s="13">
        <f>Catalog!A480</f>
        <v/>
      </c>
      <c r="B480" s="13">
        <f>Catalog!C480</f>
        <v/>
      </c>
      <c r="C480" s="15">
        <f>Catalog!D480</f>
        <v/>
      </c>
      <c r="D480" s="15">
        <f>Catalog!N480</f>
        <v/>
      </c>
      <c r="E480" s="15">
        <f>Catalog!F480</f>
        <v/>
      </c>
      <c r="F480" s="15">
        <f>IF(Catalog!W480="","",Catalog!W480&amp;" "&amp;Catalog!X480)</f>
        <v/>
      </c>
      <c r="G480" s="9" t="n"/>
    </row>
    <row r="481">
      <c r="A481" s="13">
        <f>Catalog!A481</f>
        <v/>
      </c>
      <c r="B481" s="13">
        <f>Catalog!C481</f>
        <v/>
      </c>
      <c r="C481" s="15">
        <f>Catalog!D481</f>
        <v/>
      </c>
      <c r="D481" s="15">
        <f>Catalog!N481</f>
        <v/>
      </c>
      <c r="E481" s="15">
        <f>Catalog!F481</f>
        <v/>
      </c>
      <c r="F481" s="15">
        <f>IF(Catalog!W481="","",Catalog!W481&amp;" "&amp;Catalog!X481)</f>
        <v/>
      </c>
      <c r="G481" s="9" t="n"/>
    </row>
    <row r="482">
      <c r="A482" s="13">
        <f>Catalog!A482</f>
        <v/>
      </c>
      <c r="B482" s="13">
        <f>Catalog!C482</f>
        <v/>
      </c>
      <c r="C482" s="15">
        <f>Catalog!D482</f>
        <v/>
      </c>
      <c r="D482" s="15">
        <f>Catalog!N482</f>
        <v/>
      </c>
      <c r="E482" s="15">
        <f>Catalog!F482</f>
        <v/>
      </c>
      <c r="F482" s="15">
        <f>IF(Catalog!W482="","",Catalog!W482&amp;" "&amp;Catalog!X482)</f>
        <v/>
      </c>
      <c r="G482" s="9" t="n"/>
    </row>
    <row r="483">
      <c r="A483" s="13">
        <f>Catalog!A483</f>
        <v/>
      </c>
      <c r="B483" s="13">
        <f>Catalog!C483</f>
        <v/>
      </c>
      <c r="C483" s="15">
        <f>Catalog!D483</f>
        <v/>
      </c>
      <c r="D483" s="15">
        <f>Catalog!N483</f>
        <v/>
      </c>
      <c r="E483" s="15">
        <f>Catalog!F483</f>
        <v/>
      </c>
      <c r="F483" s="15">
        <f>IF(Catalog!W483="","",Catalog!W483&amp;" "&amp;Catalog!X483)</f>
        <v/>
      </c>
      <c r="G483" s="9" t="n"/>
    </row>
    <row r="484">
      <c r="A484" s="13">
        <f>Catalog!A484</f>
        <v/>
      </c>
      <c r="B484" s="13">
        <f>Catalog!C484</f>
        <v/>
      </c>
      <c r="C484" s="15">
        <f>Catalog!D484</f>
        <v/>
      </c>
      <c r="D484" s="15">
        <f>Catalog!N484</f>
        <v/>
      </c>
      <c r="E484" s="15">
        <f>Catalog!F484</f>
        <v/>
      </c>
      <c r="F484" s="15">
        <f>IF(Catalog!W484="","",Catalog!W484&amp;" "&amp;Catalog!X484)</f>
        <v/>
      </c>
      <c r="G484" s="9" t="n"/>
    </row>
    <row r="485">
      <c r="A485" s="13">
        <f>Catalog!A485</f>
        <v/>
      </c>
      <c r="B485" s="13">
        <f>Catalog!C485</f>
        <v/>
      </c>
      <c r="C485" s="15">
        <f>Catalog!D485</f>
        <v/>
      </c>
      <c r="D485" s="15">
        <f>Catalog!N485</f>
        <v/>
      </c>
      <c r="E485" s="15">
        <f>Catalog!F485</f>
        <v/>
      </c>
      <c r="F485" s="15">
        <f>IF(Catalog!W485="","",Catalog!W485&amp;" "&amp;Catalog!X485)</f>
        <v/>
      </c>
      <c r="G485" s="9" t="n"/>
    </row>
    <row r="486">
      <c r="A486" s="13">
        <f>Catalog!A486</f>
        <v/>
      </c>
      <c r="B486" s="13">
        <f>Catalog!C486</f>
        <v/>
      </c>
      <c r="C486" s="15">
        <f>Catalog!D486</f>
        <v/>
      </c>
      <c r="D486" s="15">
        <f>Catalog!N486</f>
        <v/>
      </c>
      <c r="E486" s="15">
        <f>Catalog!F486</f>
        <v/>
      </c>
      <c r="F486" s="15">
        <f>IF(Catalog!W486="","",Catalog!W486&amp;" "&amp;Catalog!X486)</f>
        <v/>
      </c>
      <c r="G486" s="9" t="n"/>
    </row>
    <row r="487">
      <c r="A487" s="13">
        <f>Catalog!A487</f>
        <v/>
      </c>
      <c r="B487" s="13">
        <f>Catalog!C487</f>
        <v/>
      </c>
      <c r="C487" s="15">
        <f>Catalog!D487</f>
        <v/>
      </c>
      <c r="D487" s="15">
        <f>Catalog!N487</f>
        <v/>
      </c>
      <c r="E487" s="15">
        <f>Catalog!F487</f>
        <v/>
      </c>
      <c r="F487" s="15">
        <f>IF(Catalog!W487="","",Catalog!W487&amp;" "&amp;Catalog!X487)</f>
        <v/>
      </c>
      <c r="G487" s="9" t="n"/>
    </row>
    <row r="488">
      <c r="A488" s="13">
        <f>Catalog!A488</f>
        <v/>
      </c>
      <c r="B488" s="13">
        <f>Catalog!C488</f>
        <v/>
      </c>
      <c r="C488" s="15">
        <f>Catalog!D488</f>
        <v/>
      </c>
      <c r="D488" s="15">
        <f>Catalog!N488</f>
        <v/>
      </c>
      <c r="E488" s="15">
        <f>Catalog!F488</f>
        <v/>
      </c>
      <c r="F488" s="15">
        <f>IF(Catalog!W488="","",Catalog!W488&amp;" "&amp;Catalog!X488)</f>
        <v/>
      </c>
      <c r="G488" s="9" t="n"/>
    </row>
    <row r="489">
      <c r="A489" s="13">
        <f>Catalog!A489</f>
        <v/>
      </c>
      <c r="B489" s="13">
        <f>Catalog!C489</f>
        <v/>
      </c>
      <c r="C489" s="15">
        <f>Catalog!D489</f>
        <v/>
      </c>
      <c r="D489" s="15">
        <f>Catalog!N489</f>
        <v/>
      </c>
      <c r="E489" s="15">
        <f>Catalog!F489</f>
        <v/>
      </c>
      <c r="F489" s="15">
        <f>IF(Catalog!W489="","",Catalog!W489&amp;" "&amp;Catalog!X489)</f>
        <v/>
      </c>
      <c r="G489" s="9" t="n"/>
    </row>
    <row r="490">
      <c r="A490" s="13">
        <f>Catalog!A490</f>
        <v/>
      </c>
      <c r="B490" s="13">
        <f>Catalog!C490</f>
        <v/>
      </c>
      <c r="C490" s="15">
        <f>Catalog!D490</f>
        <v/>
      </c>
      <c r="D490" s="15">
        <f>Catalog!N490</f>
        <v/>
      </c>
      <c r="E490" s="15">
        <f>Catalog!F490</f>
        <v/>
      </c>
      <c r="F490" s="15">
        <f>IF(Catalog!W490="","",Catalog!W490&amp;" "&amp;Catalog!X490)</f>
        <v/>
      </c>
      <c r="G490" s="9" t="n"/>
    </row>
    <row r="491">
      <c r="A491" s="13">
        <f>Catalog!A491</f>
        <v/>
      </c>
      <c r="B491" s="13">
        <f>Catalog!C491</f>
        <v/>
      </c>
      <c r="C491" s="15">
        <f>Catalog!D491</f>
        <v/>
      </c>
      <c r="D491" s="15">
        <f>Catalog!N491</f>
        <v/>
      </c>
      <c r="E491" s="15">
        <f>Catalog!F491</f>
        <v/>
      </c>
      <c r="F491" s="15">
        <f>IF(Catalog!W491="","",Catalog!W491&amp;" "&amp;Catalog!X491)</f>
        <v/>
      </c>
      <c r="G491" s="9" t="n"/>
    </row>
    <row r="492">
      <c r="A492" s="13">
        <f>Catalog!A492</f>
        <v/>
      </c>
      <c r="B492" s="13">
        <f>Catalog!C492</f>
        <v/>
      </c>
      <c r="C492" s="15">
        <f>Catalog!D492</f>
        <v/>
      </c>
      <c r="D492" s="15">
        <f>Catalog!N492</f>
        <v/>
      </c>
      <c r="E492" s="15">
        <f>Catalog!F492</f>
        <v/>
      </c>
      <c r="F492" s="15">
        <f>IF(Catalog!W492="","",Catalog!W492&amp;" "&amp;Catalog!X492)</f>
        <v/>
      </c>
      <c r="G492" s="9" t="n"/>
    </row>
    <row r="493">
      <c r="A493" s="13">
        <f>Catalog!A493</f>
        <v/>
      </c>
      <c r="B493" s="13">
        <f>Catalog!C493</f>
        <v/>
      </c>
      <c r="C493" s="15">
        <f>Catalog!D493</f>
        <v/>
      </c>
      <c r="D493" s="15">
        <f>Catalog!N493</f>
        <v/>
      </c>
      <c r="E493" s="15">
        <f>Catalog!F493</f>
        <v/>
      </c>
      <c r="F493" s="15">
        <f>IF(Catalog!W493="","",Catalog!W493&amp;" "&amp;Catalog!X493)</f>
        <v/>
      </c>
      <c r="G493" s="9" t="n"/>
    </row>
    <row r="494">
      <c r="A494" s="13">
        <f>Catalog!A494</f>
        <v/>
      </c>
      <c r="B494" s="13">
        <f>Catalog!C494</f>
        <v/>
      </c>
      <c r="C494" s="15">
        <f>Catalog!D494</f>
        <v/>
      </c>
      <c r="D494" s="15">
        <f>Catalog!N494</f>
        <v/>
      </c>
      <c r="E494" s="15">
        <f>Catalog!F494</f>
        <v/>
      </c>
      <c r="F494" s="15">
        <f>IF(Catalog!W494="","",Catalog!W494&amp;" "&amp;Catalog!X494)</f>
        <v/>
      </c>
      <c r="G494" s="9" t="n"/>
    </row>
    <row r="495">
      <c r="A495" s="13">
        <f>Catalog!A495</f>
        <v/>
      </c>
      <c r="B495" s="13">
        <f>Catalog!C495</f>
        <v/>
      </c>
      <c r="C495" s="15">
        <f>Catalog!D495</f>
        <v/>
      </c>
      <c r="D495" s="15">
        <f>Catalog!N495</f>
        <v/>
      </c>
      <c r="E495" s="15">
        <f>Catalog!F495</f>
        <v/>
      </c>
      <c r="F495" s="15">
        <f>IF(Catalog!W495="","",Catalog!W495&amp;" "&amp;Catalog!X495)</f>
        <v/>
      </c>
      <c r="G495" s="9" t="n"/>
    </row>
    <row r="496">
      <c r="A496" s="13">
        <f>Catalog!A496</f>
        <v/>
      </c>
      <c r="B496" s="13">
        <f>Catalog!C496</f>
        <v/>
      </c>
      <c r="C496" s="15">
        <f>Catalog!D496</f>
        <v/>
      </c>
      <c r="D496" s="15">
        <f>Catalog!N496</f>
        <v/>
      </c>
      <c r="E496" s="15">
        <f>Catalog!F496</f>
        <v/>
      </c>
      <c r="F496" s="15">
        <f>IF(Catalog!W496="","",Catalog!W496&amp;" "&amp;Catalog!X496)</f>
        <v/>
      </c>
      <c r="G496" s="9" t="n"/>
    </row>
    <row r="497">
      <c r="A497" s="13">
        <f>Catalog!A497</f>
        <v/>
      </c>
      <c r="B497" s="13">
        <f>Catalog!C497</f>
        <v/>
      </c>
      <c r="C497" s="15">
        <f>Catalog!D497</f>
        <v/>
      </c>
      <c r="D497" s="15">
        <f>Catalog!N497</f>
        <v/>
      </c>
      <c r="E497" s="15">
        <f>Catalog!F497</f>
        <v/>
      </c>
      <c r="F497" s="15">
        <f>IF(Catalog!W497="","",Catalog!W497&amp;" "&amp;Catalog!X497)</f>
        <v/>
      </c>
      <c r="G497" s="9" t="n"/>
    </row>
    <row r="498">
      <c r="A498" s="13">
        <f>Catalog!A498</f>
        <v/>
      </c>
      <c r="B498" s="13">
        <f>Catalog!C498</f>
        <v/>
      </c>
      <c r="C498" s="15">
        <f>Catalog!D498</f>
        <v/>
      </c>
      <c r="D498" s="15">
        <f>Catalog!N498</f>
        <v/>
      </c>
      <c r="E498" s="15">
        <f>Catalog!F498</f>
        <v/>
      </c>
      <c r="F498" s="15">
        <f>IF(Catalog!W498="","",Catalog!W498&amp;" "&amp;Catalog!X498)</f>
        <v/>
      </c>
      <c r="G498" s="9" t="n"/>
    </row>
    <row r="499">
      <c r="A499" s="13">
        <f>Catalog!A499</f>
        <v/>
      </c>
      <c r="B499" s="13">
        <f>Catalog!C499</f>
        <v/>
      </c>
      <c r="C499" s="15">
        <f>Catalog!D499</f>
        <v/>
      </c>
      <c r="D499" s="15">
        <f>Catalog!N499</f>
        <v/>
      </c>
      <c r="E499" s="15">
        <f>Catalog!F499</f>
        <v/>
      </c>
      <c r="F499" s="15">
        <f>IF(Catalog!W499="","",Catalog!W499&amp;" "&amp;Catalog!X499)</f>
        <v/>
      </c>
      <c r="G499" s="9" t="n"/>
    </row>
    <row r="500">
      <c r="A500" s="13">
        <f>Catalog!A500</f>
        <v/>
      </c>
      <c r="B500" s="13">
        <f>Catalog!C500</f>
        <v/>
      </c>
      <c r="C500" s="15">
        <f>Catalog!D500</f>
        <v/>
      </c>
      <c r="D500" s="15">
        <f>Catalog!N500</f>
        <v/>
      </c>
      <c r="E500" s="15">
        <f>Catalog!F500</f>
        <v/>
      </c>
      <c r="F500" s="15">
        <f>IF(Catalog!W500="","",Catalog!W500&amp;" "&amp;Catalog!X500)</f>
        <v/>
      </c>
      <c r="G500" s="9" t="n"/>
    </row>
    <row r="501">
      <c r="A501" s="13">
        <f>Catalog!A501</f>
        <v/>
      </c>
      <c r="B501" s="13">
        <f>Catalog!C501</f>
        <v/>
      </c>
      <c r="C501" s="15">
        <f>Catalog!D501</f>
        <v/>
      </c>
      <c r="D501" s="15">
        <f>Catalog!N501</f>
        <v/>
      </c>
      <c r="E501" s="15">
        <f>Catalog!F501</f>
        <v/>
      </c>
      <c r="F501" s="15">
        <f>IF(Catalog!W501="","",Catalog!W501&amp;" "&amp;Catalog!X501)</f>
        <v/>
      </c>
      <c r="G501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720"/>
  <dataValidations count="1">
    <dataValidation sqref="G2:G501" showDropDown="0" showInputMessage="0" showErrorMessage="0" allowBlank="1" type="list">
      <formula1>"Standard Card,Library Block,Minimal Spine"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28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48" customWidth="1" min="3" max="3"/>
  </cols>
  <sheetData>
    <row r="1" ht="32" customHeight="1">
      <c r="A1" s="5" t="inlineStr">
        <is>
          <t>DUBLIN CORE METADATA MAPPING</t>
        </is>
      </c>
    </row>
    <row r="3">
      <c r="A3" s="6" t="inlineStr">
        <is>
          <t>Dublin Core Element</t>
        </is>
      </c>
      <c r="B3" s="6" t="inlineStr">
        <is>
          <t>Catalog Field</t>
        </is>
      </c>
      <c r="C3" s="6" t="inlineStr">
        <is>
          <t>Notes</t>
        </is>
      </c>
    </row>
    <row r="4">
      <c r="A4" s="16" t="inlineStr">
        <is>
          <t>title</t>
        </is>
      </c>
      <c r="B4" s="17" t="inlineStr">
        <is>
          <t>Title</t>
        </is>
      </c>
      <c r="C4" s="17" t="inlineStr">
        <is>
          <t>Standard DC element</t>
        </is>
      </c>
    </row>
    <row r="5">
      <c r="A5" s="16" t="inlineStr">
        <is>
          <t>creator</t>
        </is>
      </c>
      <c r="B5" s="17" t="inlineStr">
        <is>
          <t>Creator</t>
        </is>
      </c>
      <c r="C5" s="17" t="inlineStr">
        <is>
          <t>Standard DC element</t>
        </is>
      </c>
    </row>
    <row r="6">
      <c r="A6" s="16" t="inlineStr">
        <is>
          <t>contributor</t>
        </is>
      </c>
      <c r="B6" s="17" t="inlineStr">
        <is>
          <t>Editor, Translator</t>
        </is>
      </c>
      <c r="C6" s="17" t="inlineStr">
        <is>
          <t>Standard DC element; split</t>
        </is>
      </c>
    </row>
    <row r="7">
      <c r="A7" s="16" t="inlineStr">
        <is>
          <t>publisher</t>
        </is>
      </c>
      <c r="B7" s="17" t="inlineStr">
        <is>
          <t>Publisher</t>
        </is>
      </c>
      <c r="C7" s="17" t="inlineStr">
        <is>
          <t>Standard DC element</t>
        </is>
      </c>
    </row>
    <row r="8">
      <c r="A8" s="16" t="inlineStr">
        <is>
          <t>date</t>
        </is>
      </c>
      <c r="B8" s="17" t="inlineStr">
        <is>
          <t>Publication Year</t>
        </is>
      </c>
      <c r="C8" s="17" t="inlineStr">
        <is>
          <t>Standard DC element</t>
        </is>
      </c>
    </row>
    <row r="9">
      <c r="A9" s="16" t="inlineStr">
        <is>
          <t>language</t>
        </is>
      </c>
      <c r="B9" s="17" t="inlineStr">
        <is>
          <t>Language</t>
        </is>
      </c>
      <c r="C9" s="17" t="inlineStr">
        <is>
          <t>Standard DC element</t>
        </is>
      </c>
    </row>
    <row r="10">
      <c r="A10" s="16" t="inlineStr">
        <is>
          <t>type</t>
        </is>
      </c>
      <c r="B10" s="17" t="inlineStr">
        <is>
          <t>Type</t>
        </is>
      </c>
      <c r="C10" s="17" t="inlineStr">
        <is>
          <t>Standard DC element; project vocabulary</t>
        </is>
      </c>
    </row>
    <row r="11">
      <c r="A11" s="16" t="inlineStr">
        <is>
          <t>format</t>
        </is>
      </c>
      <c r="B11" s="17" t="inlineStr">
        <is>
          <t>Format, Pages</t>
        </is>
      </c>
      <c r="C11" s="17" t="inlineStr">
        <is>
          <t>Standard DC element</t>
        </is>
      </c>
    </row>
    <row r="12">
      <c r="A12" s="16" t="inlineStr">
        <is>
          <t>identifier</t>
        </is>
      </c>
      <c r="B12" s="17" t="inlineStr">
        <is>
          <t>ISBN, ISSN, Accession, Call Number</t>
        </is>
      </c>
      <c r="C12" s="17" t="inlineStr">
        <is>
          <t>Standard DC element</t>
        </is>
      </c>
    </row>
    <row r="13">
      <c r="A13" s="16" t="inlineStr">
        <is>
          <t>subject</t>
        </is>
      </c>
      <c r="B13" s="17" t="inlineStr">
        <is>
          <t>Genre, Subject / Keywords</t>
        </is>
      </c>
      <c r="C13" s="17" t="inlineStr">
        <is>
          <t>Standard DC element</t>
        </is>
      </c>
    </row>
    <row r="14">
      <c r="A14" s="16" t="inlineStr">
        <is>
          <t>description</t>
        </is>
      </c>
      <c r="B14" s="17" t="inlineStr">
        <is>
          <t>Notes, Description</t>
        </is>
      </c>
      <c r="C14" s="17" t="inlineStr">
        <is>
          <t>Standard DC element</t>
        </is>
      </c>
    </row>
    <row r="15">
      <c r="A15" s="16" t="inlineStr">
        <is>
          <t>source</t>
        </is>
      </c>
      <c r="B15" s="17" t="inlineStr">
        <is>
          <t>Donor/Vendor, Acquisition Type, Provenance</t>
        </is>
      </c>
      <c r="C15" s="17" t="inlineStr">
        <is>
          <t>Standard DC element</t>
        </is>
      </c>
    </row>
    <row r="16">
      <c r="A16" s="16" t="inlineStr">
        <is>
          <t>relation</t>
        </is>
      </c>
      <c r="B16" s="17" t="inlineStr">
        <is>
          <t>Volume, Series, Related ID</t>
        </is>
      </c>
      <c r="C16" s="17" t="inlineStr">
        <is>
          <t>isPartOf qualifier</t>
        </is>
      </c>
    </row>
    <row r="17">
      <c r="A17" s="16" t="inlineStr">
        <is>
          <t>coverage</t>
        </is>
      </c>
      <c r="B17" s="17" t="inlineStr">
        <is>
          <t>Publication Place, Place</t>
        </is>
      </c>
      <c r="C17" s="17" t="inlineStr">
        <is>
          <t>spatial qualifier</t>
        </is>
      </c>
    </row>
    <row r="18">
      <c r="A18" s="16" t="inlineStr">
        <is>
          <t>rights</t>
        </is>
      </c>
      <c r="B18" s="17" t="inlineStr">
        <is>
          <t>Rights</t>
        </is>
      </c>
      <c r="C18" s="17" t="inlineStr">
        <is>
          <t>Standard DC element</t>
        </is>
      </c>
    </row>
    <row r="19">
      <c r="A19" s="16" t="inlineStr">
        <is>
          <t>—</t>
        </is>
      </c>
      <c r="B19" s="17" t="inlineStr">
        <is>
          <t>Item ID, Call Number, Author Code</t>
        </is>
      </c>
      <c r="C19" s="17" t="inlineStr">
        <is>
          <t>Application-specific</t>
        </is>
      </c>
    </row>
    <row r="20">
      <c r="A20" s="16" t="inlineStr">
        <is>
          <t>—</t>
        </is>
      </c>
      <c r="B20" s="17" t="inlineStr">
        <is>
          <t>Location, Circulation Status, Condition</t>
        </is>
      </c>
      <c r="C20" s="17" t="inlineStr">
        <is>
          <t>Application-specific</t>
        </is>
      </c>
    </row>
    <row r="21">
      <c r="A21" s="16" t="inlineStr">
        <is>
          <t>—</t>
        </is>
      </c>
      <c r="B21" s="17" t="inlineStr">
        <is>
          <t>Dimensions, Material, Collection</t>
        </is>
      </c>
      <c r="C21" s="17" t="inlineStr">
        <is>
          <t>Application-specific</t>
        </is>
      </c>
    </row>
    <row r="22">
      <c r="A22" s="16" t="inlineStr">
        <is>
          <t>—</t>
        </is>
      </c>
      <c r="B22" s="17" t="inlineStr">
        <is>
          <t>Storage path, OCR status, Public Link, Checksum</t>
        </is>
      </c>
      <c r="C22" s="17" t="inlineStr">
        <is>
          <t>Application-specific</t>
        </is>
      </c>
    </row>
    <row r="26">
      <c r="A26" s="18" t="inlineStr">
        <is>
          <t>EXPORT VIEW — Dublin Core element columns</t>
        </is>
      </c>
    </row>
    <row r="28">
      <c r="A28" s="19" t="inlineStr">
        <is>
          <t>dc.title</t>
        </is>
      </c>
      <c r="B28" s="19" t="inlineStr">
        <is>
          <t>dc.creator</t>
        </is>
      </c>
      <c r="C28" s="19" t="inlineStr">
        <is>
          <t>dc.contributor</t>
        </is>
      </c>
      <c r="D28" s="19" t="inlineStr">
        <is>
          <t>dc.publisher</t>
        </is>
      </c>
      <c r="E28" s="19" t="inlineStr">
        <is>
          <t>dc.date</t>
        </is>
      </c>
      <c r="F28" s="19" t="inlineStr">
        <is>
          <t>dc.language</t>
        </is>
      </c>
      <c r="G28" s="19" t="inlineStr">
        <is>
          <t>dc.type</t>
        </is>
      </c>
      <c r="H28" s="19" t="inlineStr">
        <is>
          <t>dc.format</t>
        </is>
      </c>
      <c r="I28" s="19" t="inlineStr">
        <is>
          <t>dc.identifier</t>
        </is>
      </c>
      <c r="J28" s="19" t="inlineStr">
        <is>
          <t>dc.subject</t>
        </is>
      </c>
      <c r="K28" s="19" t="inlineStr">
        <is>
          <t>dc.description</t>
        </is>
      </c>
      <c r="L28" s="19" t="inlineStr">
        <is>
          <t>dc.source</t>
        </is>
      </c>
      <c r="M28" s="19" t="inlineStr">
        <is>
          <t>dc.relation</t>
        </is>
      </c>
      <c r="N28" s="19" t="inlineStr">
        <is>
          <t>dc.coverage</t>
        </is>
      </c>
      <c r="O28" s="19" t="inlineStr">
        <is>
          <t>dc.rights</t>
        </is>
      </c>
    </row>
    <row r="29">
      <c r="A29" s="15">
        <f>Catalog!D2</f>
        <v/>
      </c>
      <c r="B29" s="15">
        <f>Catalog!F2</f>
        <v/>
      </c>
      <c r="C29" s="15">
        <f>IF(Catalog!I2="","",Catalog!I2)&amp;IF(AND(Catalog!I2&lt;&gt;"",Catalog!J2&lt;&gt;""),"; ","")&amp;IF(Catalog!J2="","",Catalog!J2)</f>
        <v/>
      </c>
      <c r="D29" s="15">
        <f>Catalog!P2</f>
        <v/>
      </c>
      <c r="E29" s="15">
        <f>Catalog!R2</f>
        <v/>
      </c>
      <c r="F29" s="15">
        <f>Catalog!M2</f>
        <v/>
      </c>
      <c r="G29" s="15">
        <f>Catalog!K2</f>
        <v/>
      </c>
      <c r="H29" s="15">
        <f>IF(Catalog!S2&lt;&gt;"","ISBN:"&amp;Catalog!S2,IF(Catalog!T2&lt;&gt;"","ISSN:"&amp;Catalog!T2,""))</f>
        <v/>
      </c>
      <c r="I29" s="15">
        <f>Catalog!B2</f>
        <v/>
      </c>
      <c r="J29" s="15">
        <f>Catalog!L2</f>
        <v/>
      </c>
      <c r="K29" s="15">
        <f>IF(Catalog!AG2&lt;&gt;"",Catalog!AG2,Catalog!AE2)</f>
        <v/>
      </c>
      <c r="L29" s="15">
        <f>Catalog!AD2</f>
        <v/>
      </c>
      <c r="M29" s="15">
        <f>Catalog!V2</f>
        <v/>
      </c>
      <c r="N29" s="15">
        <f>Catalog!Q2</f>
        <v/>
      </c>
      <c r="O29" s="15">
        <f>Catalog!AF2</f>
        <v/>
      </c>
    </row>
    <row r="30">
      <c r="A30" s="15">
        <f>Catalog!D3</f>
        <v/>
      </c>
      <c r="B30" s="15">
        <f>Catalog!F3</f>
        <v/>
      </c>
      <c r="C30" s="15">
        <f>IF(Catalog!I3="","",Catalog!I3)&amp;IF(AND(Catalog!I3&lt;&gt;"",Catalog!J3&lt;&gt;""),"; ","")&amp;IF(Catalog!J3="","",Catalog!J3)</f>
        <v/>
      </c>
      <c r="D30" s="15">
        <f>Catalog!P3</f>
        <v/>
      </c>
      <c r="E30" s="15">
        <f>Catalog!R3</f>
        <v/>
      </c>
      <c r="F30" s="15">
        <f>Catalog!M3</f>
        <v/>
      </c>
      <c r="G30" s="15">
        <f>Catalog!K3</f>
        <v/>
      </c>
      <c r="H30" s="15">
        <f>IF(Catalog!S3&lt;&gt;"","ISBN:"&amp;Catalog!S3,IF(Catalog!T3&lt;&gt;"","ISSN:"&amp;Catalog!T3,""))</f>
        <v/>
      </c>
      <c r="I30" s="15">
        <f>Catalog!B3</f>
        <v/>
      </c>
      <c r="J30" s="15">
        <f>Catalog!L3</f>
        <v/>
      </c>
      <c r="K30" s="15">
        <f>IF(Catalog!AG3&lt;&gt;"",Catalog!AG3,Catalog!AE3)</f>
        <v/>
      </c>
      <c r="L30" s="15">
        <f>Catalog!AD3</f>
        <v/>
      </c>
      <c r="M30" s="15">
        <f>Catalog!V3</f>
        <v/>
      </c>
      <c r="N30" s="15">
        <f>Catalog!Q3</f>
        <v/>
      </c>
      <c r="O30" s="15">
        <f>Catalog!AF3</f>
        <v/>
      </c>
    </row>
    <row r="31">
      <c r="A31" s="15">
        <f>Catalog!D4</f>
        <v/>
      </c>
      <c r="B31" s="15">
        <f>Catalog!F4</f>
        <v/>
      </c>
      <c r="C31" s="15">
        <f>IF(Catalog!I4="","",Catalog!I4)&amp;IF(AND(Catalog!I4&lt;&gt;"",Catalog!J4&lt;&gt;""),"; ","")&amp;IF(Catalog!J4="","",Catalog!J4)</f>
        <v/>
      </c>
      <c r="D31" s="15">
        <f>Catalog!P4</f>
        <v/>
      </c>
      <c r="E31" s="15">
        <f>Catalog!R4</f>
        <v/>
      </c>
      <c r="F31" s="15">
        <f>Catalog!M4</f>
        <v/>
      </c>
      <c r="G31" s="15">
        <f>Catalog!K4</f>
        <v/>
      </c>
      <c r="H31" s="15">
        <f>IF(Catalog!S4&lt;&gt;"","ISBN:"&amp;Catalog!S4,IF(Catalog!T4&lt;&gt;"","ISSN:"&amp;Catalog!T4,""))</f>
        <v/>
      </c>
      <c r="I31" s="15">
        <f>Catalog!B4</f>
        <v/>
      </c>
      <c r="J31" s="15">
        <f>Catalog!L4</f>
        <v/>
      </c>
      <c r="K31" s="15">
        <f>IF(Catalog!AG4&lt;&gt;"",Catalog!AG4,Catalog!AE4)</f>
        <v/>
      </c>
      <c r="L31" s="15">
        <f>Catalog!AD4</f>
        <v/>
      </c>
      <c r="M31" s="15">
        <f>Catalog!V4</f>
        <v/>
      </c>
      <c r="N31" s="15">
        <f>Catalog!Q4</f>
        <v/>
      </c>
      <c r="O31" s="15">
        <f>Catalog!AF4</f>
        <v/>
      </c>
    </row>
    <row r="32">
      <c r="A32" s="15">
        <f>Catalog!D5</f>
        <v/>
      </c>
      <c r="B32" s="15">
        <f>Catalog!F5</f>
        <v/>
      </c>
      <c r="C32" s="15">
        <f>IF(Catalog!I5="","",Catalog!I5)&amp;IF(AND(Catalog!I5&lt;&gt;"",Catalog!J5&lt;&gt;""),"; ","")&amp;IF(Catalog!J5="","",Catalog!J5)</f>
        <v/>
      </c>
      <c r="D32" s="15">
        <f>Catalog!P5</f>
        <v/>
      </c>
      <c r="E32" s="15">
        <f>Catalog!R5</f>
        <v/>
      </c>
      <c r="F32" s="15">
        <f>Catalog!M5</f>
        <v/>
      </c>
      <c r="G32" s="15">
        <f>Catalog!K5</f>
        <v/>
      </c>
      <c r="H32" s="15">
        <f>IF(Catalog!S5&lt;&gt;"","ISBN:"&amp;Catalog!S5,IF(Catalog!T5&lt;&gt;"","ISSN:"&amp;Catalog!T5,""))</f>
        <v/>
      </c>
      <c r="I32" s="15">
        <f>Catalog!B5</f>
        <v/>
      </c>
      <c r="J32" s="15">
        <f>Catalog!L5</f>
        <v/>
      </c>
      <c r="K32" s="15">
        <f>IF(Catalog!AG5&lt;&gt;"",Catalog!AG5,Catalog!AE5)</f>
        <v/>
      </c>
      <c r="L32" s="15">
        <f>Catalog!AD5</f>
        <v/>
      </c>
      <c r="M32" s="15">
        <f>Catalog!V5</f>
        <v/>
      </c>
      <c r="N32" s="15">
        <f>Catalog!Q5</f>
        <v/>
      </c>
      <c r="O32" s="15">
        <f>Catalog!AF5</f>
        <v/>
      </c>
    </row>
    <row r="33">
      <c r="A33" s="15">
        <f>Catalog!D6</f>
        <v/>
      </c>
      <c r="B33" s="15">
        <f>Catalog!F6</f>
        <v/>
      </c>
      <c r="C33" s="15">
        <f>IF(Catalog!I6="","",Catalog!I6)&amp;IF(AND(Catalog!I6&lt;&gt;"",Catalog!J6&lt;&gt;""),"; ","")&amp;IF(Catalog!J6="","",Catalog!J6)</f>
        <v/>
      </c>
      <c r="D33" s="15">
        <f>Catalog!P6</f>
        <v/>
      </c>
      <c r="E33" s="15">
        <f>Catalog!R6</f>
        <v/>
      </c>
      <c r="F33" s="15">
        <f>Catalog!M6</f>
        <v/>
      </c>
      <c r="G33" s="15">
        <f>Catalog!K6</f>
        <v/>
      </c>
      <c r="H33" s="15">
        <f>IF(Catalog!S6&lt;&gt;"","ISBN:"&amp;Catalog!S6,IF(Catalog!T6&lt;&gt;"","ISSN:"&amp;Catalog!T6,""))</f>
        <v/>
      </c>
      <c r="I33" s="15">
        <f>Catalog!B6</f>
        <v/>
      </c>
      <c r="J33" s="15">
        <f>Catalog!L6</f>
        <v/>
      </c>
      <c r="K33" s="15">
        <f>IF(Catalog!AG6&lt;&gt;"",Catalog!AG6,Catalog!AE6)</f>
        <v/>
      </c>
      <c r="L33" s="15">
        <f>Catalog!AD6</f>
        <v/>
      </c>
      <c r="M33" s="15">
        <f>Catalog!V6</f>
        <v/>
      </c>
      <c r="N33" s="15">
        <f>Catalog!Q6</f>
        <v/>
      </c>
      <c r="O33" s="15">
        <f>Catalog!AF6</f>
        <v/>
      </c>
    </row>
    <row r="34">
      <c r="A34" s="15">
        <f>Catalog!D7</f>
        <v/>
      </c>
      <c r="B34" s="15">
        <f>Catalog!F7</f>
        <v/>
      </c>
      <c r="C34" s="15">
        <f>IF(Catalog!I7="","",Catalog!I7)&amp;IF(AND(Catalog!I7&lt;&gt;"",Catalog!J7&lt;&gt;""),"; ","")&amp;IF(Catalog!J7="","",Catalog!J7)</f>
        <v/>
      </c>
      <c r="D34" s="15">
        <f>Catalog!P7</f>
        <v/>
      </c>
      <c r="E34" s="15">
        <f>Catalog!R7</f>
        <v/>
      </c>
      <c r="F34" s="15">
        <f>Catalog!M7</f>
        <v/>
      </c>
      <c r="G34" s="15">
        <f>Catalog!K7</f>
        <v/>
      </c>
      <c r="H34" s="15">
        <f>IF(Catalog!S7&lt;&gt;"","ISBN:"&amp;Catalog!S7,IF(Catalog!T7&lt;&gt;"","ISSN:"&amp;Catalog!T7,""))</f>
        <v/>
      </c>
      <c r="I34" s="15">
        <f>Catalog!B7</f>
        <v/>
      </c>
      <c r="J34" s="15">
        <f>Catalog!L7</f>
        <v/>
      </c>
      <c r="K34" s="15">
        <f>IF(Catalog!AG7&lt;&gt;"",Catalog!AG7,Catalog!AE7)</f>
        <v/>
      </c>
      <c r="L34" s="15">
        <f>Catalog!AD7</f>
        <v/>
      </c>
      <c r="M34" s="15">
        <f>Catalog!V7</f>
        <v/>
      </c>
      <c r="N34" s="15">
        <f>Catalog!Q7</f>
        <v/>
      </c>
      <c r="O34" s="15">
        <f>Catalog!AF7</f>
        <v/>
      </c>
    </row>
    <row r="35">
      <c r="A35" s="15">
        <f>Catalog!D8</f>
        <v/>
      </c>
      <c r="B35" s="15">
        <f>Catalog!F8</f>
        <v/>
      </c>
      <c r="C35" s="15">
        <f>IF(Catalog!I8="","",Catalog!I8)&amp;IF(AND(Catalog!I8&lt;&gt;"",Catalog!J8&lt;&gt;""),"; ","")&amp;IF(Catalog!J8="","",Catalog!J8)</f>
        <v/>
      </c>
      <c r="D35" s="15">
        <f>Catalog!P8</f>
        <v/>
      </c>
      <c r="E35" s="15">
        <f>Catalog!R8</f>
        <v/>
      </c>
      <c r="F35" s="15">
        <f>Catalog!M8</f>
        <v/>
      </c>
      <c r="G35" s="15">
        <f>Catalog!K8</f>
        <v/>
      </c>
      <c r="H35" s="15">
        <f>IF(Catalog!S8&lt;&gt;"","ISBN:"&amp;Catalog!S8,IF(Catalog!T8&lt;&gt;"","ISSN:"&amp;Catalog!T8,""))</f>
        <v/>
      </c>
      <c r="I35" s="15">
        <f>Catalog!B8</f>
        <v/>
      </c>
      <c r="J35" s="15">
        <f>Catalog!L8</f>
        <v/>
      </c>
      <c r="K35" s="15">
        <f>IF(Catalog!AG8&lt;&gt;"",Catalog!AG8,Catalog!AE8)</f>
        <v/>
      </c>
      <c r="L35" s="15">
        <f>Catalog!AD8</f>
        <v/>
      </c>
      <c r="M35" s="15">
        <f>Catalog!V8</f>
        <v/>
      </c>
      <c r="N35" s="15">
        <f>Catalog!Q8</f>
        <v/>
      </c>
      <c r="O35" s="15">
        <f>Catalog!AF8</f>
        <v/>
      </c>
    </row>
    <row r="36">
      <c r="A36" s="15">
        <f>Catalog!D9</f>
        <v/>
      </c>
      <c r="B36" s="15">
        <f>Catalog!F9</f>
        <v/>
      </c>
      <c r="C36" s="15">
        <f>IF(Catalog!I9="","",Catalog!I9)&amp;IF(AND(Catalog!I9&lt;&gt;"",Catalog!J9&lt;&gt;""),"; ","")&amp;IF(Catalog!J9="","",Catalog!J9)</f>
        <v/>
      </c>
      <c r="D36" s="15">
        <f>Catalog!P9</f>
        <v/>
      </c>
      <c r="E36" s="15">
        <f>Catalog!R9</f>
        <v/>
      </c>
      <c r="F36" s="15">
        <f>Catalog!M9</f>
        <v/>
      </c>
      <c r="G36" s="15">
        <f>Catalog!K9</f>
        <v/>
      </c>
      <c r="H36" s="15">
        <f>IF(Catalog!S9&lt;&gt;"","ISBN:"&amp;Catalog!S9,IF(Catalog!T9&lt;&gt;"","ISSN:"&amp;Catalog!T9,""))</f>
        <v/>
      </c>
      <c r="I36" s="15">
        <f>Catalog!B9</f>
        <v/>
      </c>
      <c r="J36" s="15">
        <f>Catalog!L9</f>
        <v/>
      </c>
      <c r="K36" s="15">
        <f>IF(Catalog!AG9&lt;&gt;"",Catalog!AG9,Catalog!AE9)</f>
        <v/>
      </c>
      <c r="L36" s="15">
        <f>Catalog!AD9</f>
        <v/>
      </c>
      <c r="M36" s="15">
        <f>Catalog!V9</f>
        <v/>
      </c>
      <c r="N36" s="15">
        <f>Catalog!Q9</f>
        <v/>
      </c>
      <c r="O36" s="15">
        <f>Catalog!AF9</f>
        <v/>
      </c>
    </row>
    <row r="37">
      <c r="A37" s="15">
        <f>Catalog!D10</f>
        <v/>
      </c>
      <c r="B37" s="15">
        <f>Catalog!F10</f>
        <v/>
      </c>
      <c r="C37" s="15">
        <f>IF(Catalog!I10="","",Catalog!I10)&amp;IF(AND(Catalog!I10&lt;&gt;"",Catalog!J10&lt;&gt;""),"; ","")&amp;IF(Catalog!J10="","",Catalog!J10)</f>
        <v/>
      </c>
      <c r="D37" s="15">
        <f>Catalog!P10</f>
        <v/>
      </c>
      <c r="E37" s="15">
        <f>Catalog!R10</f>
        <v/>
      </c>
      <c r="F37" s="15">
        <f>Catalog!M10</f>
        <v/>
      </c>
      <c r="G37" s="15">
        <f>Catalog!K10</f>
        <v/>
      </c>
      <c r="H37" s="15">
        <f>IF(Catalog!S10&lt;&gt;"","ISBN:"&amp;Catalog!S10,IF(Catalog!T10&lt;&gt;"","ISSN:"&amp;Catalog!T10,""))</f>
        <v/>
      </c>
      <c r="I37" s="15">
        <f>Catalog!B10</f>
        <v/>
      </c>
      <c r="J37" s="15">
        <f>Catalog!L10</f>
        <v/>
      </c>
      <c r="K37" s="15">
        <f>IF(Catalog!AG10&lt;&gt;"",Catalog!AG10,Catalog!AE10)</f>
        <v/>
      </c>
      <c r="L37" s="15">
        <f>Catalog!AD10</f>
        <v/>
      </c>
      <c r="M37" s="15">
        <f>Catalog!V10</f>
        <v/>
      </c>
      <c r="N37" s="15">
        <f>Catalog!Q10</f>
        <v/>
      </c>
      <c r="O37" s="15">
        <f>Catalog!AF10</f>
        <v/>
      </c>
    </row>
    <row r="38">
      <c r="A38" s="15">
        <f>Catalog!D11</f>
        <v/>
      </c>
      <c r="B38" s="15">
        <f>Catalog!F11</f>
        <v/>
      </c>
      <c r="C38" s="15">
        <f>IF(Catalog!I11="","",Catalog!I11)&amp;IF(AND(Catalog!I11&lt;&gt;"",Catalog!J11&lt;&gt;""),"; ","")&amp;IF(Catalog!J11="","",Catalog!J11)</f>
        <v/>
      </c>
      <c r="D38" s="15">
        <f>Catalog!P11</f>
        <v/>
      </c>
      <c r="E38" s="15">
        <f>Catalog!R11</f>
        <v/>
      </c>
      <c r="F38" s="15">
        <f>Catalog!M11</f>
        <v/>
      </c>
      <c r="G38" s="15">
        <f>Catalog!K11</f>
        <v/>
      </c>
      <c r="H38" s="15">
        <f>IF(Catalog!S11&lt;&gt;"","ISBN:"&amp;Catalog!S11,IF(Catalog!T11&lt;&gt;"","ISSN:"&amp;Catalog!T11,""))</f>
        <v/>
      </c>
      <c r="I38" s="15">
        <f>Catalog!B11</f>
        <v/>
      </c>
      <c r="J38" s="15">
        <f>Catalog!L11</f>
        <v/>
      </c>
      <c r="K38" s="15">
        <f>IF(Catalog!AG11&lt;&gt;"",Catalog!AG11,Catalog!AE11)</f>
        <v/>
      </c>
      <c r="L38" s="15">
        <f>Catalog!AD11</f>
        <v/>
      </c>
      <c r="M38" s="15">
        <f>Catalog!V11</f>
        <v/>
      </c>
      <c r="N38" s="15">
        <f>Catalog!Q11</f>
        <v/>
      </c>
      <c r="O38" s="15">
        <f>Catalog!AF11</f>
        <v/>
      </c>
    </row>
    <row r="39">
      <c r="A39" s="15">
        <f>Catalog!D12</f>
        <v/>
      </c>
      <c r="B39" s="15">
        <f>Catalog!F12</f>
        <v/>
      </c>
      <c r="C39" s="15">
        <f>IF(Catalog!I12="","",Catalog!I12)&amp;IF(AND(Catalog!I12&lt;&gt;"",Catalog!J12&lt;&gt;""),"; ","")&amp;IF(Catalog!J12="","",Catalog!J12)</f>
        <v/>
      </c>
      <c r="D39" s="15">
        <f>Catalog!P12</f>
        <v/>
      </c>
      <c r="E39" s="15">
        <f>Catalog!R12</f>
        <v/>
      </c>
      <c r="F39" s="15">
        <f>Catalog!M12</f>
        <v/>
      </c>
      <c r="G39" s="15">
        <f>Catalog!K12</f>
        <v/>
      </c>
      <c r="H39" s="15">
        <f>IF(Catalog!S12&lt;&gt;"","ISBN:"&amp;Catalog!S12,IF(Catalog!T12&lt;&gt;"","ISSN:"&amp;Catalog!T12,""))</f>
        <v/>
      </c>
      <c r="I39" s="15">
        <f>Catalog!B12</f>
        <v/>
      </c>
      <c r="J39" s="15">
        <f>Catalog!L12</f>
        <v/>
      </c>
      <c r="K39" s="15">
        <f>IF(Catalog!AG12&lt;&gt;"",Catalog!AG12,Catalog!AE12)</f>
        <v/>
      </c>
      <c r="L39" s="15">
        <f>Catalog!AD12</f>
        <v/>
      </c>
      <c r="M39" s="15">
        <f>Catalog!V12</f>
        <v/>
      </c>
      <c r="N39" s="15">
        <f>Catalog!Q12</f>
        <v/>
      </c>
      <c r="O39" s="15">
        <f>Catalog!AF12</f>
        <v/>
      </c>
    </row>
    <row r="40">
      <c r="A40" s="15">
        <f>Catalog!D13</f>
        <v/>
      </c>
      <c r="B40" s="15">
        <f>Catalog!F13</f>
        <v/>
      </c>
      <c r="C40" s="15">
        <f>IF(Catalog!I13="","",Catalog!I13)&amp;IF(AND(Catalog!I13&lt;&gt;"",Catalog!J13&lt;&gt;""),"; ","")&amp;IF(Catalog!J13="","",Catalog!J13)</f>
        <v/>
      </c>
      <c r="D40" s="15">
        <f>Catalog!P13</f>
        <v/>
      </c>
      <c r="E40" s="15">
        <f>Catalog!R13</f>
        <v/>
      </c>
      <c r="F40" s="15">
        <f>Catalog!M13</f>
        <v/>
      </c>
      <c r="G40" s="15">
        <f>Catalog!K13</f>
        <v/>
      </c>
      <c r="H40" s="15">
        <f>IF(Catalog!S13&lt;&gt;"","ISBN:"&amp;Catalog!S13,IF(Catalog!T13&lt;&gt;"","ISSN:"&amp;Catalog!T13,""))</f>
        <v/>
      </c>
      <c r="I40" s="15">
        <f>Catalog!B13</f>
        <v/>
      </c>
      <c r="J40" s="15">
        <f>Catalog!L13</f>
        <v/>
      </c>
      <c r="K40" s="15">
        <f>IF(Catalog!AG13&lt;&gt;"",Catalog!AG13,Catalog!AE13)</f>
        <v/>
      </c>
      <c r="L40" s="15">
        <f>Catalog!AD13</f>
        <v/>
      </c>
      <c r="M40" s="15">
        <f>Catalog!V13</f>
        <v/>
      </c>
      <c r="N40" s="15">
        <f>Catalog!Q13</f>
        <v/>
      </c>
      <c r="O40" s="15">
        <f>Catalog!AF13</f>
        <v/>
      </c>
    </row>
    <row r="41">
      <c r="A41" s="15">
        <f>Catalog!D14</f>
        <v/>
      </c>
      <c r="B41" s="15">
        <f>Catalog!F14</f>
        <v/>
      </c>
      <c r="C41" s="15">
        <f>IF(Catalog!I14="","",Catalog!I14)&amp;IF(AND(Catalog!I14&lt;&gt;"",Catalog!J14&lt;&gt;""),"; ","")&amp;IF(Catalog!J14="","",Catalog!J14)</f>
        <v/>
      </c>
      <c r="D41" s="15">
        <f>Catalog!P14</f>
        <v/>
      </c>
      <c r="E41" s="15">
        <f>Catalog!R14</f>
        <v/>
      </c>
      <c r="F41" s="15">
        <f>Catalog!M14</f>
        <v/>
      </c>
      <c r="G41" s="15">
        <f>Catalog!K14</f>
        <v/>
      </c>
      <c r="H41" s="15">
        <f>IF(Catalog!S14&lt;&gt;"","ISBN:"&amp;Catalog!S14,IF(Catalog!T14&lt;&gt;"","ISSN:"&amp;Catalog!T14,""))</f>
        <v/>
      </c>
      <c r="I41" s="15">
        <f>Catalog!B14</f>
        <v/>
      </c>
      <c r="J41" s="15">
        <f>Catalog!L14</f>
        <v/>
      </c>
      <c r="K41" s="15">
        <f>IF(Catalog!AG14&lt;&gt;"",Catalog!AG14,Catalog!AE14)</f>
        <v/>
      </c>
      <c r="L41" s="15">
        <f>Catalog!AD14</f>
        <v/>
      </c>
      <c r="M41" s="15">
        <f>Catalog!V14</f>
        <v/>
      </c>
      <c r="N41" s="15">
        <f>Catalog!Q14</f>
        <v/>
      </c>
      <c r="O41" s="15">
        <f>Catalog!AF14</f>
        <v/>
      </c>
    </row>
    <row r="42">
      <c r="A42" s="15">
        <f>Catalog!D15</f>
        <v/>
      </c>
      <c r="B42" s="15">
        <f>Catalog!F15</f>
        <v/>
      </c>
      <c r="C42" s="15">
        <f>IF(Catalog!I15="","",Catalog!I15)&amp;IF(AND(Catalog!I15&lt;&gt;"",Catalog!J15&lt;&gt;""),"; ","")&amp;IF(Catalog!J15="","",Catalog!J15)</f>
        <v/>
      </c>
      <c r="D42" s="15">
        <f>Catalog!P15</f>
        <v/>
      </c>
      <c r="E42" s="15">
        <f>Catalog!R15</f>
        <v/>
      </c>
      <c r="F42" s="15">
        <f>Catalog!M15</f>
        <v/>
      </c>
      <c r="G42" s="15">
        <f>Catalog!K15</f>
        <v/>
      </c>
      <c r="H42" s="15">
        <f>IF(Catalog!S15&lt;&gt;"","ISBN:"&amp;Catalog!S15,IF(Catalog!T15&lt;&gt;"","ISSN:"&amp;Catalog!T15,""))</f>
        <v/>
      </c>
      <c r="I42" s="15">
        <f>Catalog!B15</f>
        <v/>
      </c>
      <c r="J42" s="15">
        <f>Catalog!L15</f>
        <v/>
      </c>
      <c r="K42" s="15">
        <f>IF(Catalog!AG15&lt;&gt;"",Catalog!AG15,Catalog!AE15)</f>
        <v/>
      </c>
      <c r="L42" s="15">
        <f>Catalog!AD15</f>
        <v/>
      </c>
      <c r="M42" s="15">
        <f>Catalog!V15</f>
        <v/>
      </c>
      <c r="N42" s="15">
        <f>Catalog!Q15</f>
        <v/>
      </c>
      <c r="O42" s="15">
        <f>Catalog!AF15</f>
        <v/>
      </c>
    </row>
    <row r="43">
      <c r="A43" s="15">
        <f>Catalog!D16</f>
        <v/>
      </c>
      <c r="B43" s="15">
        <f>Catalog!F16</f>
        <v/>
      </c>
      <c r="C43" s="15">
        <f>IF(Catalog!I16="","",Catalog!I16)&amp;IF(AND(Catalog!I16&lt;&gt;"",Catalog!J16&lt;&gt;""),"; ","")&amp;IF(Catalog!J16="","",Catalog!J16)</f>
        <v/>
      </c>
      <c r="D43" s="15">
        <f>Catalog!P16</f>
        <v/>
      </c>
      <c r="E43" s="15">
        <f>Catalog!R16</f>
        <v/>
      </c>
      <c r="F43" s="15">
        <f>Catalog!M16</f>
        <v/>
      </c>
      <c r="G43" s="15">
        <f>Catalog!K16</f>
        <v/>
      </c>
      <c r="H43" s="15">
        <f>IF(Catalog!S16&lt;&gt;"","ISBN:"&amp;Catalog!S16,IF(Catalog!T16&lt;&gt;"","ISSN:"&amp;Catalog!T16,""))</f>
        <v/>
      </c>
      <c r="I43" s="15">
        <f>Catalog!B16</f>
        <v/>
      </c>
      <c r="J43" s="15">
        <f>Catalog!L16</f>
        <v/>
      </c>
      <c r="K43" s="15">
        <f>IF(Catalog!AG16&lt;&gt;"",Catalog!AG16,Catalog!AE16)</f>
        <v/>
      </c>
      <c r="L43" s="15">
        <f>Catalog!AD16</f>
        <v/>
      </c>
      <c r="M43" s="15">
        <f>Catalog!V16</f>
        <v/>
      </c>
      <c r="N43" s="15">
        <f>Catalog!Q16</f>
        <v/>
      </c>
      <c r="O43" s="15">
        <f>Catalog!AF16</f>
        <v/>
      </c>
    </row>
    <row r="44">
      <c r="A44" s="15">
        <f>Catalog!D17</f>
        <v/>
      </c>
      <c r="B44" s="15">
        <f>Catalog!F17</f>
        <v/>
      </c>
      <c r="C44" s="15">
        <f>IF(Catalog!I17="","",Catalog!I17)&amp;IF(AND(Catalog!I17&lt;&gt;"",Catalog!J17&lt;&gt;""),"; ","")&amp;IF(Catalog!J17="","",Catalog!J17)</f>
        <v/>
      </c>
      <c r="D44" s="15">
        <f>Catalog!P17</f>
        <v/>
      </c>
      <c r="E44" s="15">
        <f>Catalog!R17</f>
        <v/>
      </c>
      <c r="F44" s="15">
        <f>Catalog!M17</f>
        <v/>
      </c>
      <c r="G44" s="15">
        <f>Catalog!K17</f>
        <v/>
      </c>
      <c r="H44" s="15">
        <f>IF(Catalog!S17&lt;&gt;"","ISBN:"&amp;Catalog!S17,IF(Catalog!T17&lt;&gt;"","ISSN:"&amp;Catalog!T17,""))</f>
        <v/>
      </c>
      <c r="I44" s="15">
        <f>Catalog!B17</f>
        <v/>
      </c>
      <c r="J44" s="15">
        <f>Catalog!L17</f>
        <v/>
      </c>
      <c r="K44" s="15">
        <f>IF(Catalog!AG17&lt;&gt;"",Catalog!AG17,Catalog!AE17)</f>
        <v/>
      </c>
      <c r="L44" s="15">
        <f>Catalog!AD17</f>
        <v/>
      </c>
      <c r="M44" s="15">
        <f>Catalog!V17</f>
        <v/>
      </c>
      <c r="N44" s="15">
        <f>Catalog!Q17</f>
        <v/>
      </c>
      <c r="O44" s="15">
        <f>Catalog!AF17</f>
        <v/>
      </c>
    </row>
    <row r="45">
      <c r="A45" s="15">
        <f>Catalog!D18</f>
        <v/>
      </c>
      <c r="B45" s="15">
        <f>Catalog!F18</f>
        <v/>
      </c>
      <c r="C45" s="15">
        <f>IF(Catalog!I18="","",Catalog!I18)&amp;IF(AND(Catalog!I18&lt;&gt;"",Catalog!J18&lt;&gt;""),"; ","")&amp;IF(Catalog!J18="","",Catalog!J18)</f>
        <v/>
      </c>
      <c r="D45" s="15">
        <f>Catalog!P18</f>
        <v/>
      </c>
      <c r="E45" s="15">
        <f>Catalog!R18</f>
        <v/>
      </c>
      <c r="F45" s="15">
        <f>Catalog!M18</f>
        <v/>
      </c>
      <c r="G45" s="15">
        <f>Catalog!K18</f>
        <v/>
      </c>
      <c r="H45" s="15">
        <f>IF(Catalog!S18&lt;&gt;"","ISBN:"&amp;Catalog!S18,IF(Catalog!T18&lt;&gt;"","ISSN:"&amp;Catalog!T18,""))</f>
        <v/>
      </c>
      <c r="I45" s="15">
        <f>Catalog!B18</f>
        <v/>
      </c>
      <c r="J45" s="15">
        <f>Catalog!L18</f>
        <v/>
      </c>
      <c r="K45" s="15">
        <f>IF(Catalog!AG18&lt;&gt;"",Catalog!AG18,Catalog!AE18)</f>
        <v/>
      </c>
      <c r="L45" s="15">
        <f>Catalog!AD18</f>
        <v/>
      </c>
      <c r="M45" s="15">
        <f>Catalog!V18</f>
        <v/>
      </c>
      <c r="N45" s="15">
        <f>Catalog!Q18</f>
        <v/>
      </c>
      <c r="O45" s="15">
        <f>Catalog!AF18</f>
        <v/>
      </c>
    </row>
    <row r="46">
      <c r="A46" s="15">
        <f>Catalog!D19</f>
        <v/>
      </c>
      <c r="B46" s="15">
        <f>Catalog!F19</f>
        <v/>
      </c>
      <c r="C46" s="15">
        <f>IF(Catalog!I19="","",Catalog!I19)&amp;IF(AND(Catalog!I19&lt;&gt;"",Catalog!J19&lt;&gt;""),"; ","")&amp;IF(Catalog!J19="","",Catalog!J19)</f>
        <v/>
      </c>
      <c r="D46" s="15">
        <f>Catalog!P19</f>
        <v/>
      </c>
      <c r="E46" s="15">
        <f>Catalog!R19</f>
        <v/>
      </c>
      <c r="F46" s="15">
        <f>Catalog!M19</f>
        <v/>
      </c>
      <c r="G46" s="15">
        <f>Catalog!K19</f>
        <v/>
      </c>
      <c r="H46" s="15">
        <f>IF(Catalog!S19&lt;&gt;"","ISBN:"&amp;Catalog!S19,IF(Catalog!T19&lt;&gt;"","ISSN:"&amp;Catalog!T19,""))</f>
        <v/>
      </c>
      <c r="I46" s="15">
        <f>Catalog!B19</f>
        <v/>
      </c>
      <c r="J46" s="15">
        <f>Catalog!L19</f>
        <v/>
      </c>
      <c r="K46" s="15">
        <f>IF(Catalog!AG19&lt;&gt;"",Catalog!AG19,Catalog!AE19)</f>
        <v/>
      </c>
      <c r="L46" s="15">
        <f>Catalog!AD19</f>
        <v/>
      </c>
      <c r="M46" s="15">
        <f>Catalog!V19</f>
        <v/>
      </c>
      <c r="N46" s="15">
        <f>Catalog!Q19</f>
        <v/>
      </c>
      <c r="O46" s="15">
        <f>Catalog!AF19</f>
        <v/>
      </c>
    </row>
    <row r="47">
      <c r="A47" s="15">
        <f>Catalog!D20</f>
        <v/>
      </c>
      <c r="B47" s="15">
        <f>Catalog!F20</f>
        <v/>
      </c>
      <c r="C47" s="15">
        <f>IF(Catalog!I20="","",Catalog!I20)&amp;IF(AND(Catalog!I20&lt;&gt;"",Catalog!J20&lt;&gt;""),"; ","")&amp;IF(Catalog!J20="","",Catalog!J20)</f>
        <v/>
      </c>
      <c r="D47" s="15">
        <f>Catalog!P20</f>
        <v/>
      </c>
      <c r="E47" s="15">
        <f>Catalog!R20</f>
        <v/>
      </c>
      <c r="F47" s="15">
        <f>Catalog!M20</f>
        <v/>
      </c>
      <c r="G47" s="15">
        <f>Catalog!K20</f>
        <v/>
      </c>
      <c r="H47" s="15">
        <f>IF(Catalog!S20&lt;&gt;"","ISBN:"&amp;Catalog!S20,IF(Catalog!T20&lt;&gt;"","ISSN:"&amp;Catalog!T20,""))</f>
        <v/>
      </c>
      <c r="I47" s="15">
        <f>Catalog!B20</f>
        <v/>
      </c>
      <c r="J47" s="15">
        <f>Catalog!L20</f>
        <v/>
      </c>
      <c r="K47" s="15">
        <f>IF(Catalog!AG20&lt;&gt;"",Catalog!AG20,Catalog!AE20)</f>
        <v/>
      </c>
      <c r="L47" s="15">
        <f>Catalog!AD20</f>
        <v/>
      </c>
      <c r="M47" s="15">
        <f>Catalog!V20</f>
        <v/>
      </c>
      <c r="N47" s="15">
        <f>Catalog!Q20</f>
        <v/>
      </c>
      <c r="O47" s="15">
        <f>Catalog!AF20</f>
        <v/>
      </c>
    </row>
    <row r="48">
      <c r="A48" s="15">
        <f>Catalog!D21</f>
        <v/>
      </c>
      <c r="B48" s="15">
        <f>Catalog!F21</f>
        <v/>
      </c>
      <c r="C48" s="15">
        <f>IF(Catalog!I21="","",Catalog!I21)&amp;IF(AND(Catalog!I21&lt;&gt;"",Catalog!J21&lt;&gt;""),"; ","")&amp;IF(Catalog!J21="","",Catalog!J21)</f>
        <v/>
      </c>
      <c r="D48" s="15">
        <f>Catalog!P21</f>
        <v/>
      </c>
      <c r="E48" s="15">
        <f>Catalog!R21</f>
        <v/>
      </c>
      <c r="F48" s="15">
        <f>Catalog!M21</f>
        <v/>
      </c>
      <c r="G48" s="15">
        <f>Catalog!K21</f>
        <v/>
      </c>
      <c r="H48" s="15">
        <f>IF(Catalog!S21&lt;&gt;"","ISBN:"&amp;Catalog!S21,IF(Catalog!T21&lt;&gt;"","ISSN:"&amp;Catalog!T21,""))</f>
        <v/>
      </c>
      <c r="I48" s="15">
        <f>Catalog!B21</f>
        <v/>
      </c>
      <c r="J48" s="15">
        <f>Catalog!L21</f>
        <v/>
      </c>
      <c r="K48" s="15">
        <f>IF(Catalog!AG21&lt;&gt;"",Catalog!AG21,Catalog!AE21)</f>
        <v/>
      </c>
      <c r="L48" s="15">
        <f>Catalog!AD21</f>
        <v/>
      </c>
      <c r="M48" s="15">
        <f>Catalog!V21</f>
        <v/>
      </c>
      <c r="N48" s="15">
        <f>Catalog!Q21</f>
        <v/>
      </c>
      <c r="O48" s="15">
        <f>Catalog!AF21</f>
        <v/>
      </c>
    </row>
    <row r="49">
      <c r="A49" s="15">
        <f>Catalog!D22</f>
        <v/>
      </c>
      <c r="B49" s="15">
        <f>Catalog!F22</f>
        <v/>
      </c>
      <c r="C49" s="15">
        <f>IF(Catalog!I22="","",Catalog!I22)&amp;IF(AND(Catalog!I22&lt;&gt;"",Catalog!J22&lt;&gt;""),"; ","")&amp;IF(Catalog!J22="","",Catalog!J22)</f>
        <v/>
      </c>
      <c r="D49" s="15">
        <f>Catalog!P22</f>
        <v/>
      </c>
      <c r="E49" s="15">
        <f>Catalog!R22</f>
        <v/>
      </c>
      <c r="F49" s="15">
        <f>Catalog!M22</f>
        <v/>
      </c>
      <c r="G49" s="15">
        <f>Catalog!K22</f>
        <v/>
      </c>
      <c r="H49" s="15">
        <f>IF(Catalog!S22&lt;&gt;"","ISBN:"&amp;Catalog!S22,IF(Catalog!T22&lt;&gt;"","ISSN:"&amp;Catalog!T22,""))</f>
        <v/>
      </c>
      <c r="I49" s="15">
        <f>Catalog!B22</f>
        <v/>
      </c>
      <c r="J49" s="15">
        <f>Catalog!L22</f>
        <v/>
      </c>
      <c r="K49" s="15">
        <f>IF(Catalog!AG22&lt;&gt;"",Catalog!AG22,Catalog!AE22)</f>
        <v/>
      </c>
      <c r="L49" s="15">
        <f>Catalog!AD22</f>
        <v/>
      </c>
      <c r="M49" s="15">
        <f>Catalog!V22</f>
        <v/>
      </c>
      <c r="N49" s="15">
        <f>Catalog!Q22</f>
        <v/>
      </c>
      <c r="O49" s="15">
        <f>Catalog!AF22</f>
        <v/>
      </c>
    </row>
    <row r="50">
      <c r="A50" s="15">
        <f>Catalog!D23</f>
        <v/>
      </c>
      <c r="B50" s="15">
        <f>Catalog!F23</f>
        <v/>
      </c>
      <c r="C50" s="15">
        <f>IF(Catalog!I23="","",Catalog!I23)&amp;IF(AND(Catalog!I23&lt;&gt;"",Catalog!J23&lt;&gt;""),"; ","")&amp;IF(Catalog!J23="","",Catalog!J23)</f>
        <v/>
      </c>
      <c r="D50" s="15">
        <f>Catalog!P23</f>
        <v/>
      </c>
      <c r="E50" s="15">
        <f>Catalog!R23</f>
        <v/>
      </c>
      <c r="F50" s="15">
        <f>Catalog!M23</f>
        <v/>
      </c>
      <c r="G50" s="15">
        <f>Catalog!K23</f>
        <v/>
      </c>
      <c r="H50" s="15">
        <f>IF(Catalog!S23&lt;&gt;"","ISBN:"&amp;Catalog!S23,IF(Catalog!T23&lt;&gt;"","ISSN:"&amp;Catalog!T23,""))</f>
        <v/>
      </c>
      <c r="I50" s="15">
        <f>Catalog!B23</f>
        <v/>
      </c>
      <c r="J50" s="15">
        <f>Catalog!L23</f>
        <v/>
      </c>
      <c r="K50" s="15">
        <f>IF(Catalog!AG23&lt;&gt;"",Catalog!AG23,Catalog!AE23)</f>
        <v/>
      </c>
      <c r="L50" s="15">
        <f>Catalog!AD23</f>
        <v/>
      </c>
      <c r="M50" s="15">
        <f>Catalog!V23</f>
        <v/>
      </c>
      <c r="N50" s="15">
        <f>Catalog!Q23</f>
        <v/>
      </c>
      <c r="O50" s="15">
        <f>Catalog!AF23</f>
        <v/>
      </c>
    </row>
    <row r="51">
      <c r="A51" s="15">
        <f>Catalog!D24</f>
        <v/>
      </c>
      <c r="B51" s="15">
        <f>Catalog!F24</f>
        <v/>
      </c>
      <c r="C51" s="15">
        <f>IF(Catalog!I24="","",Catalog!I24)&amp;IF(AND(Catalog!I24&lt;&gt;"",Catalog!J24&lt;&gt;""),"; ","")&amp;IF(Catalog!J24="","",Catalog!J24)</f>
        <v/>
      </c>
      <c r="D51" s="15">
        <f>Catalog!P24</f>
        <v/>
      </c>
      <c r="E51" s="15">
        <f>Catalog!R24</f>
        <v/>
      </c>
      <c r="F51" s="15">
        <f>Catalog!M24</f>
        <v/>
      </c>
      <c r="G51" s="15">
        <f>Catalog!K24</f>
        <v/>
      </c>
      <c r="H51" s="15">
        <f>IF(Catalog!S24&lt;&gt;"","ISBN:"&amp;Catalog!S24,IF(Catalog!T24&lt;&gt;"","ISSN:"&amp;Catalog!T24,""))</f>
        <v/>
      </c>
      <c r="I51" s="15">
        <f>Catalog!B24</f>
        <v/>
      </c>
      <c r="J51" s="15">
        <f>Catalog!L24</f>
        <v/>
      </c>
      <c r="K51" s="15">
        <f>IF(Catalog!AG24&lt;&gt;"",Catalog!AG24,Catalog!AE24)</f>
        <v/>
      </c>
      <c r="L51" s="15">
        <f>Catalog!AD24</f>
        <v/>
      </c>
      <c r="M51" s="15">
        <f>Catalog!V24</f>
        <v/>
      </c>
      <c r="N51" s="15">
        <f>Catalog!Q24</f>
        <v/>
      </c>
      <c r="O51" s="15">
        <f>Catalog!AF24</f>
        <v/>
      </c>
    </row>
    <row r="52">
      <c r="A52" s="15">
        <f>Catalog!D25</f>
        <v/>
      </c>
      <c r="B52" s="15">
        <f>Catalog!F25</f>
        <v/>
      </c>
      <c r="C52" s="15">
        <f>IF(Catalog!I25="","",Catalog!I25)&amp;IF(AND(Catalog!I25&lt;&gt;"",Catalog!J25&lt;&gt;""),"; ","")&amp;IF(Catalog!J25="","",Catalog!J25)</f>
        <v/>
      </c>
      <c r="D52" s="15">
        <f>Catalog!P25</f>
        <v/>
      </c>
      <c r="E52" s="15">
        <f>Catalog!R25</f>
        <v/>
      </c>
      <c r="F52" s="15">
        <f>Catalog!M25</f>
        <v/>
      </c>
      <c r="G52" s="15">
        <f>Catalog!K25</f>
        <v/>
      </c>
      <c r="H52" s="15">
        <f>IF(Catalog!S25&lt;&gt;"","ISBN:"&amp;Catalog!S25,IF(Catalog!T25&lt;&gt;"","ISSN:"&amp;Catalog!T25,""))</f>
        <v/>
      </c>
      <c r="I52" s="15">
        <f>Catalog!B25</f>
        <v/>
      </c>
      <c r="J52" s="15">
        <f>Catalog!L25</f>
        <v/>
      </c>
      <c r="K52" s="15">
        <f>IF(Catalog!AG25&lt;&gt;"",Catalog!AG25,Catalog!AE25)</f>
        <v/>
      </c>
      <c r="L52" s="15">
        <f>Catalog!AD25</f>
        <v/>
      </c>
      <c r="M52" s="15">
        <f>Catalog!V25</f>
        <v/>
      </c>
      <c r="N52" s="15">
        <f>Catalog!Q25</f>
        <v/>
      </c>
      <c r="O52" s="15">
        <f>Catalog!AF25</f>
        <v/>
      </c>
    </row>
    <row r="53">
      <c r="A53" s="15">
        <f>Catalog!D26</f>
        <v/>
      </c>
      <c r="B53" s="15">
        <f>Catalog!F26</f>
        <v/>
      </c>
      <c r="C53" s="15">
        <f>IF(Catalog!I26="","",Catalog!I26)&amp;IF(AND(Catalog!I26&lt;&gt;"",Catalog!J26&lt;&gt;""),"; ","")&amp;IF(Catalog!J26="","",Catalog!J26)</f>
        <v/>
      </c>
      <c r="D53" s="15">
        <f>Catalog!P26</f>
        <v/>
      </c>
      <c r="E53" s="15">
        <f>Catalog!R26</f>
        <v/>
      </c>
      <c r="F53" s="15">
        <f>Catalog!M26</f>
        <v/>
      </c>
      <c r="G53" s="15">
        <f>Catalog!K26</f>
        <v/>
      </c>
      <c r="H53" s="15">
        <f>IF(Catalog!S26&lt;&gt;"","ISBN:"&amp;Catalog!S26,IF(Catalog!T26&lt;&gt;"","ISSN:"&amp;Catalog!T26,""))</f>
        <v/>
      </c>
      <c r="I53" s="15">
        <f>Catalog!B26</f>
        <v/>
      </c>
      <c r="J53" s="15">
        <f>Catalog!L26</f>
        <v/>
      </c>
      <c r="K53" s="15">
        <f>IF(Catalog!AG26&lt;&gt;"",Catalog!AG26,Catalog!AE26)</f>
        <v/>
      </c>
      <c r="L53" s="15">
        <f>Catalog!AD26</f>
        <v/>
      </c>
      <c r="M53" s="15">
        <f>Catalog!V26</f>
        <v/>
      </c>
      <c r="N53" s="15">
        <f>Catalog!Q26</f>
        <v/>
      </c>
      <c r="O53" s="15">
        <f>Catalog!AF26</f>
        <v/>
      </c>
    </row>
    <row r="54">
      <c r="A54" s="15">
        <f>Catalog!D27</f>
        <v/>
      </c>
      <c r="B54" s="15">
        <f>Catalog!F27</f>
        <v/>
      </c>
      <c r="C54" s="15">
        <f>IF(Catalog!I27="","",Catalog!I27)&amp;IF(AND(Catalog!I27&lt;&gt;"",Catalog!J27&lt;&gt;""),"; ","")&amp;IF(Catalog!J27="","",Catalog!J27)</f>
        <v/>
      </c>
      <c r="D54" s="15">
        <f>Catalog!P27</f>
        <v/>
      </c>
      <c r="E54" s="15">
        <f>Catalog!R27</f>
        <v/>
      </c>
      <c r="F54" s="15">
        <f>Catalog!M27</f>
        <v/>
      </c>
      <c r="G54" s="15">
        <f>Catalog!K27</f>
        <v/>
      </c>
      <c r="H54" s="15">
        <f>IF(Catalog!S27&lt;&gt;"","ISBN:"&amp;Catalog!S27,IF(Catalog!T27&lt;&gt;"","ISSN:"&amp;Catalog!T27,""))</f>
        <v/>
      </c>
      <c r="I54" s="15">
        <f>Catalog!B27</f>
        <v/>
      </c>
      <c r="J54" s="15">
        <f>Catalog!L27</f>
        <v/>
      </c>
      <c r="K54" s="15">
        <f>IF(Catalog!AG27&lt;&gt;"",Catalog!AG27,Catalog!AE27)</f>
        <v/>
      </c>
      <c r="L54" s="15">
        <f>Catalog!AD27</f>
        <v/>
      </c>
      <c r="M54" s="15">
        <f>Catalog!V27</f>
        <v/>
      </c>
      <c r="N54" s="15">
        <f>Catalog!Q27</f>
        <v/>
      </c>
      <c r="O54" s="15">
        <f>Catalog!AF27</f>
        <v/>
      </c>
    </row>
    <row r="55">
      <c r="A55" s="15">
        <f>Catalog!D28</f>
        <v/>
      </c>
      <c r="B55" s="15">
        <f>Catalog!F28</f>
        <v/>
      </c>
      <c r="C55" s="15">
        <f>IF(Catalog!I28="","",Catalog!I28)&amp;IF(AND(Catalog!I28&lt;&gt;"",Catalog!J28&lt;&gt;""),"; ","")&amp;IF(Catalog!J28="","",Catalog!J28)</f>
        <v/>
      </c>
      <c r="D55" s="15">
        <f>Catalog!P28</f>
        <v/>
      </c>
      <c r="E55" s="15">
        <f>Catalog!R28</f>
        <v/>
      </c>
      <c r="F55" s="15">
        <f>Catalog!M28</f>
        <v/>
      </c>
      <c r="G55" s="15">
        <f>Catalog!K28</f>
        <v/>
      </c>
      <c r="H55" s="15">
        <f>IF(Catalog!S28&lt;&gt;"","ISBN:"&amp;Catalog!S28,IF(Catalog!T28&lt;&gt;"","ISSN:"&amp;Catalog!T28,""))</f>
        <v/>
      </c>
      <c r="I55" s="15">
        <f>Catalog!B28</f>
        <v/>
      </c>
      <c r="J55" s="15">
        <f>Catalog!L28</f>
        <v/>
      </c>
      <c r="K55" s="15">
        <f>IF(Catalog!AG28&lt;&gt;"",Catalog!AG28,Catalog!AE28)</f>
        <v/>
      </c>
      <c r="L55" s="15">
        <f>Catalog!AD28</f>
        <v/>
      </c>
      <c r="M55" s="15">
        <f>Catalog!V28</f>
        <v/>
      </c>
      <c r="N55" s="15">
        <f>Catalog!Q28</f>
        <v/>
      </c>
      <c r="O55" s="15">
        <f>Catalog!AF28</f>
        <v/>
      </c>
    </row>
    <row r="56">
      <c r="A56" s="15">
        <f>Catalog!D29</f>
        <v/>
      </c>
      <c r="B56" s="15">
        <f>Catalog!F29</f>
        <v/>
      </c>
      <c r="C56" s="15">
        <f>IF(Catalog!I29="","",Catalog!I29)&amp;IF(AND(Catalog!I29&lt;&gt;"",Catalog!J29&lt;&gt;""),"; ","")&amp;IF(Catalog!J29="","",Catalog!J29)</f>
        <v/>
      </c>
      <c r="D56" s="15">
        <f>Catalog!P29</f>
        <v/>
      </c>
      <c r="E56" s="15">
        <f>Catalog!R29</f>
        <v/>
      </c>
      <c r="F56" s="15">
        <f>Catalog!M29</f>
        <v/>
      </c>
      <c r="G56" s="15">
        <f>Catalog!K29</f>
        <v/>
      </c>
      <c r="H56" s="15">
        <f>IF(Catalog!S29&lt;&gt;"","ISBN:"&amp;Catalog!S29,IF(Catalog!T29&lt;&gt;"","ISSN:"&amp;Catalog!T29,""))</f>
        <v/>
      </c>
      <c r="I56" s="15">
        <f>Catalog!B29</f>
        <v/>
      </c>
      <c r="J56" s="15">
        <f>Catalog!L29</f>
        <v/>
      </c>
      <c r="K56" s="15">
        <f>IF(Catalog!AG29&lt;&gt;"",Catalog!AG29,Catalog!AE29)</f>
        <v/>
      </c>
      <c r="L56" s="15">
        <f>Catalog!AD29</f>
        <v/>
      </c>
      <c r="M56" s="15">
        <f>Catalog!V29</f>
        <v/>
      </c>
      <c r="N56" s="15">
        <f>Catalog!Q29</f>
        <v/>
      </c>
      <c r="O56" s="15">
        <f>Catalog!AF29</f>
        <v/>
      </c>
    </row>
    <row r="57">
      <c r="A57" s="15">
        <f>Catalog!D30</f>
        <v/>
      </c>
      <c r="B57" s="15">
        <f>Catalog!F30</f>
        <v/>
      </c>
      <c r="C57" s="15">
        <f>IF(Catalog!I30="","",Catalog!I30)&amp;IF(AND(Catalog!I30&lt;&gt;"",Catalog!J30&lt;&gt;""),"; ","")&amp;IF(Catalog!J30="","",Catalog!J30)</f>
        <v/>
      </c>
      <c r="D57" s="15">
        <f>Catalog!P30</f>
        <v/>
      </c>
      <c r="E57" s="15">
        <f>Catalog!R30</f>
        <v/>
      </c>
      <c r="F57" s="15">
        <f>Catalog!M30</f>
        <v/>
      </c>
      <c r="G57" s="15">
        <f>Catalog!K30</f>
        <v/>
      </c>
      <c r="H57" s="15">
        <f>IF(Catalog!S30&lt;&gt;"","ISBN:"&amp;Catalog!S30,IF(Catalog!T30&lt;&gt;"","ISSN:"&amp;Catalog!T30,""))</f>
        <v/>
      </c>
      <c r="I57" s="15">
        <f>Catalog!B30</f>
        <v/>
      </c>
      <c r="J57" s="15">
        <f>Catalog!L30</f>
        <v/>
      </c>
      <c r="K57" s="15">
        <f>IF(Catalog!AG30&lt;&gt;"",Catalog!AG30,Catalog!AE30)</f>
        <v/>
      </c>
      <c r="L57" s="15">
        <f>Catalog!AD30</f>
        <v/>
      </c>
      <c r="M57" s="15">
        <f>Catalog!V30</f>
        <v/>
      </c>
      <c r="N57" s="15">
        <f>Catalog!Q30</f>
        <v/>
      </c>
      <c r="O57" s="15">
        <f>Catalog!AF30</f>
        <v/>
      </c>
    </row>
    <row r="58">
      <c r="A58" s="15">
        <f>Catalog!D31</f>
        <v/>
      </c>
      <c r="B58" s="15">
        <f>Catalog!F31</f>
        <v/>
      </c>
      <c r="C58" s="15">
        <f>IF(Catalog!I31="","",Catalog!I31)&amp;IF(AND(Catalog!I31&lt;&gt;"",Catalog!J31&lt;&gt;""),"; ","")&amp;IF(Catalog!J31="","",Catalog!J31)</f>
        <v/>
      </c>
      <c r="D58" s="15">
        <f>Catalog!P31</f>
        <v/>
      </c>
      <c r="E58" s="15">
        <f>Catalog!R31</f>
        <v/>
      </c>
      <c r="F58" s="15">
        <f>Catalog!M31</f>
        <v/>
      </c>
      <c r="G58" s="15">
        <f>Catalog!K31</f>
        <v/>
      </c>
      <c r="H58" s="15">
        <f>IF(Catalog!S31&lt;&gt;"","ISBN:"&amp;Catalog!S31,IF(Catalog!T31&lt;&gt;"","ISSN:"&amp;Catalog!T31,""))</f>
        <v/>
      </c>
      <c r="I58" s="15">
        <f>Catalog!B31</f>
        <v/>
      </c>
      <c r="J58" s="15">
        <f>Catalog!L31</f>
        <v/>
      </c>
      <c r="K58" s="15">
        <f>IF(Catalog!AG31&lt;&gt;"",Catalog!AG31,Catalog!AE31)</f>
        <v/>
      </c>
      <c r="L58" s="15">
        <f>Catalog!AD31</f>
        <v/>
      </c>
      <c r="M58" s="15">
        <f>Catalog!V31</f>
        <v/>
      </c>
      <c r="N58" s="15">
        <f>Catalog!Q31</f>
        <v/>
      </c>
      <c r="O58" s="15">
        <f>Catalog!AF31</f>
        <v/>
      </c>
    </row>
    <row r="59">
      <c r="A59" s="15">
        <f>Catalog!D32</f>
        <v/>
      </c>
      <c r="B59" s="15">
        <f>Catalog!F32</f>
        <v/>
      </c>
      <c r="C59" s="15">
        <f>IF(Catalog!I32="","",Catalog!I32)&amp;IF(AND(Catalog!I32&lt;&gt;"",Catalog!J32&lt;&gt;""),"; ","")&amp;IF(Catalog!J32="","",Catalog!J32)</f>
        <v/>
      </c>
      <c r="D59" s="15">
        <f>Catalog!P32</f>
        <v/>
      </c>
      <c r="E59" s="15">
        <f>Catalog!R32</f>
        <v/>
      </c>
      <c r="F59" s="15">
        <f>Catalog!M32</f>
        <v/>
      </c>
      <c r="G59" s="15">
        <f>Catalog!K32</f>
        <v/>
      </c>
      <c r="H59" s="15">
        <f>IF(Catalog!S32&lt;&gt;"","ISBN:"&amp;Catalog!S32,IF(Catalog!T32&lt;&gt;"","ISSN:"&amp;Catalog!T32,""))</f>
        <v/>
      </c>
      <c r="I59" s="15">
        <f>Catalog!B32</f>
        <v/>
      </c>
      <c r="J59" s="15">
        <f>Catalog!L32</f>
        <v/>
      </c>
      <c r="K59" s="15">
        <f>IF(Catalog!AG32&lt;&gt;"",Catalog!AG32,Catalog!AE32)</f>
        <v/>
      </c>
      <c r="L59" s="15">
        <f>Catalog!AD32</f>
        <v/>
      </c>
      <c r="M59" s="15">
        <f>Catalog!V32</f>
        <v/>
      </c>
      <c r="N59" s="15">
        <f>Catalog!Q32</f>
        <v/>
      </c>
      <c r="O59" s="15">
        <f>Catalog!AF32</f>
        <v/>
      </c>
    </row>
    <row r="60">
      <c r="A60" s="15">
        <f>Catalog!D33</f>
        <v/>
      </c>
      <c r="B60" s="15">
        <f>Catalog!F33</f>
        <v/>
      </c>
      <c r="C60" s="15">
        <f>IF(Catalog!I33="","",Catalog!I33)&amp;IF(AND(Catalog!I33&lt;&gt;"",Catalog!J33&lt;&gt;""),"; ","")&amp;IF(Catalog!J33="","",Catalog!J33)</f>
        <v/>
      </c>
      <c r="D60" s="15">
        <f>Catalog!P33</f>
        <v/>
      </c>
      <c r="E60" s="15">
        <f>Catalog!R33</f>
        <v/>
      </c>
      <c r="F60" s="15">
        <f>Catalog!M33</f>
        <v/>
      </c>
      <c r="G60" s="15">
        <f>Catalog!K33</f>
        <v/>
      </c>
      <c r="H60" s="15">
        <f>IF(Catalog!S33&lt;&gt;"","ISBN:"&amp;Catalog!S33,IF(Catalog!T33&lt;&gt;"","ISSN:"&amp;Catalog!T33,""))</f>
        <v/>
      </c>
      <c r="I60" s="15">
        <f>Catalog!B33</f>
        <v/>
      </c>
      <c r="J60" s="15">
        <f>Catalog!L33</f>
        <v/>
      </c>
      <c r="K60" s="15">
        <f>IF(Catalog!AG33&lt;&gt;"",Catalog!AG33,Catalog!AE33)</f>
        <v/>
      </c>
      <c r="L60" s="15">
        <f>Catalog!AD33</f>
        <v/>
      </c>
      <c r="M60" s="15">
        <f>Catalog!V33</f>
        <v/>
      </c>
      <c r="N60" s="15">
        <f>Catalog!Q33</f>
        <v/>
      </c>
      <c r="O60" s="15">
        <f>Catalog!AF33</f>
        <v/>
      </c>
    </row>
    <row r="61">
      <c r="A61" s="15">
        <f>Catalog!D34</f>
        <v/>
      </c>
      <c r="B61" s="15">
        <f>Catalog!F34</f>
        <v/>
      </c>
      <c r="C61" s="15">
        <f>IF(Catalog!I34="","",Catalog!I34)&amp;IF(AND(Catalog!I34&lt;&gt;"",Catalog!J34&lt;&gt;""),"; ","")&amp;IF(Catalog!J34="","",Catalog!J34)</f>
        <v/>
      </c>
      <c r="D61" s="15">
        <f>Catalog!P34</f>
        <v/>
      </c>
      <c r="E61" s="15">
        <f>Catalog!R34</f>
        <v/>
      </c>
      <c r="F61" s="15">
        <f>Catalog!M34</f>
        <v/>
      </c>
      <c r="G61" s="15">
        <f>Catalog!K34</f>
        <v/>
      </c>
      <c r="H61" s="15">
        <f>IF(Catalog!S34&lt;&gt;"","ISBN:"&amp;Catalog!S34,IF(Catalog!T34&lt;&gt;"","ISSN:"&amp;Catalog!T34,""))</f>
        <v/>
      </c>
      <c r="I61" s="15">
        <f>Catalog!B34</f>
        <v/>
      </c>
      <c r="J61" s="15">
        <f>Catalog!L34</f>
        <v/>
      </c>
      <c r="K61" s="15">
        <f>IF(Catalog!AG34&lt;&gt;"",Catalog!AG34,Catalog!AE34)</f>
        <v/>
      </c>
      <c r="L61" s="15">
        <f>Catalog!AD34</f>
        <v/>
      </c>
      <c r="M61" s="15">
        <f>Catalog!V34</f>
        <v/>
      </c>
      <c r="N61" s="15">
        <f>Catalog!Q34</f>
        <v/>
      </c>
      <c r="O61" s="15">
        <f>Catalog!AF34</f>
        <v/>
      </c>
    </row>
    <row r="62">
      <c r="A62" s="15">
        <f>Catalog!D35</f>
        <v/>
      </c>
      <c r="B62" s="15">
        <f>Catalog!F35</f>
        <v/>
      </c>
      <c r="C62" s="15">
        <f>IF(Catalog!I35="","",Catalog!I35)&amp;IF(AND(Catalog!I35&lt;&gt;"",Catalog!J35&lt;&gt;""),"; ","")&amp;IF(Catalog!J35="","",Catalog!J35)</f>
        <v/>
      </c>
      <c r="D62" s="15">
        <f>Catalog!P35</f>
        <v/>
      </c>
      <c r="E62" s="15">
        <f>Catalog!R35</f>
        <v/>
      </c>
      <c r="F62" s="15">
        <f>Catalog!M35</f>
        <v/>
      </c>
      <c r="G62" s="15">
        <f>Catalog!K35</f>
        <v/>
      </c>
      <c r="H62" s="15">
        <f>IF(Catalog!S35&lt;&gt;"","ISBN:"&amp;Catalog!S35,IF(Catalog!T35&lt;&gt;"","ISSN:"&amp;Catalog!T35,""))</f>
        <v/>
      </c>
      <c r="I62" s="15">
        <f>Catalog!B35</f>
        <v/>
      </c>
      <c r="J62" s="15">
        <f>Catalog!L35</f>
        <v/>
      </c>
      <c r="K62" s="15">
        <f>IF(Catalog!AG35&lt;&gt;"",Catalog!AG35,Catalog!AE35)</f>
        <v/>
      </c>
      <c r="L62" s="15">
        <f>Catalog!AD35</f>
        <v/>
      </c>
      <c r="M62" s="15">
        <f>Catalog!V35</f>
        <v/>
      </c>
      <c r="N62" s="15">
        <f>Catalog!Q35</f>
        <v/>
      </c>
      <c r="O62" s="15">
        <f>Catalog!AF35</f>
        <v/>
      </c>
    </row>
    <row r="63">
      <c r="A63" s="15">
        <f>Catalog!D36</f>
        <v/>
      </c>
      <c r="B63" s="15">
        <f>Catalog!F36</f>
        <v/>
      </c>
      <c r="C63" s="15">
        <f>IF(Catalog!I36="","",Catalog!I36)&amp;IF(AND(Catalog!I36&lt;&gt;"",Catalog!J36&lt;&gt;""),"; ","")&amp;IF(Catalog!J36="","",Catalog!J36)</f>
        <v/>
      </c>
      <c r="D63" s="15">
        <f>Catalog!P36</f>
        <v/>
      </c>
      <c r="E63" s="15">
        <f>Catalog!R36</f>
        <v/>
      </c>
      <c r="F63" s="15">
        <f>Catalog!M36</f>
        <v/>
      </c>
      <c r="G63" s="15">
        <f>Catalog!K36</f>
        <v/>
      </c>
      <c r="H63" s="15">
        <f>IF(Catalog!S36&lt;&gt;"","ISBN:"&amp;Catalog!S36,IF(Catalog!T36&lt;&gt;"","ISSN:"&amp;Catalog!T36,""))</f>
        <v/>
      </c>
      <c r="I63" s="15">
        <f>Catalog!B36</f>
        <v/>
      </c>
      <c r="J63" s="15">
        <f>Catalog!L36</f>
        <v/>
      </c>
      <c r="K63" s="15">
        <f>IF(Catalog!AG36&lt;&gt;"",Catalog!AG36,Catalog!AE36)</f>
        <v/>
      </c>
      <c r="L63" s="15">
        <f>Catalog!AD36</f>
        <v/>
      </c>
      <c r="M63" s="15">
        <f>Catalog!V36</f>
        <v/>
      </c>
      <c r="N63" s="15">
        <f>Catalog!Q36</f>
        <v/>
      </c>
      <c r="O63" s="15">
        <f>Catalog!AF36</f>
        <v/>
      </c>
    </row>
    <row r="64">
      <c r="A64" s="15">
        <f>Catalog!D37</f>
        <v/>
      </c>
      <c r="B64" s="15">
        <f>Catalog!F37</f>
        <v/>
      </c>
      <c r="C64" s="15">
        <f>IF(Catalog!I37="","",Catalog!I37)&amp;IF(AND(Catalog!I37&lt;&gt;"",Catalog!J37&lt;&gt;""),"; ","")&amp;IF(Catalog!J37="","",Catalog!J37)</f>
        <v/>
      </c>
      <c r="D64" s="15">
        <f>Catalog!P37</f>
        <v/>
      </c>
      <c r="E64" s="15">
        <f>Catalog!R37</f>
        <v/>
      </c>
      <c r="F64" s="15">
        <f>Catalog!M37</f>
        <v/>
      </c>
      <c r="G64" s="15">
        <f>Catalog!K37</f>
        <v/>
      </c>
      <c r="H64" s="15">
        <f>IF(Catalog!S37&lt;&gt;"","ISBN:"&amp;Catalog!S37,IF(Catalog!T37&lt;&gt;"","ISSN:"&amp;Catalog!T37,""))</f>
        <v/>
      </c>
      <c r="I64" s="15">
        <f>Catalog!B37</f>
        <v/>
      </c>
      <c r="J64" s="15">
        <f>Catalog!L37</f>
        <v/>
      </c>
      <c r="K64" s="15">
        <f>IF(Catalog!AG37&lt;&gt;"",Catalog!AG37,Catalog!AE37)</f>
        <v/>
      </c>
      <c r="L64" s="15">
        <f>Catalog!AD37</f>
        <v/>
      </c>
      <c r="M64" s="15">
        <f>Catalog!V37</f>
        <v/>
      </c>
      <c r="N64" s="15">
        <f>Catalog!Q37</f>
        <v/>
      </c>
      <c r="O64" s="15">
        <f>Catalog!AF37</f>
        <v/>
      </c>
    </row>
    <row r="65">
      <c r="A65" s="15">
        <f>Catalog!D38</f>
        <v/>
      </c>
      <c r="B65" s="15">
        <f>Catalog!F38</f>
        <v/>
      </c>
      <c r="C65" s="15">
        <f>IF(Catalog!I38="","",Catalog!I38)&amp;IF(AND(Catalog!I38&lt;&gt;"",Catalog!J38&lt;&gt;""),"; ","")&amp;IF(Catalog!J38="","",Catalog!J38)</f>
        <v/>
      </c>
      <c r="D65" s="15">
        <f>Catalog!P38</f>
        <v/>
      </c>
      <c r="E65" s="15">
        <f>Catalog!R38</f>
        <v/>
      </c>
      <c r="F65" s="15">
        <f>Catalog!M38</f>
        <v/>
      </c>
      <c r="G65" s="15">
        <f>Catalog!K38</f>
        <v/>
      </c>
      <c r="H65" s="15">
        <f>IF(Catalog!S38&lt;&gt;"","ISBN:"&amp;Catalog!S38,IF(Catalog!T38&lt;&gt;"","ISSN:"&amp;Catalog!T38,""))</f>
        <v/>
      </c>
      <c r="I65" s="15">
        <f>Catalog!B38</f>
        <v/>
      </c>
      <c r="J65" s="15">
        <f>Catalog!L38</f>
        <v/>
      </c>
      <c r="K65" s="15">
        <f>IF(Catalog!AG38&lt;&gt;"",Catalog!AG38,Catalog!AE38)</f>
        <v/>
      </c>
      <c r="L65" s="15">
        <f>Catalog!AD38</f>
        <v/>
      </c>
      <c r="M65" s="15">
        <f>Catalog!V38</f>
        <v/>
      </c>
      <c r="N65" s="15">
        <f>Catalog!Q38</f>
        <v/>
      </c>
      <c r="O65" s="15">
        <f>Catalog!AF38</f>
        <v/>
      </c>
    </row>
    <row r="66">
      <c r="A66" s="15">
        <f>Catalog!D39</f>
        <v/>
      </c>
      <c r="B66" s="15">
        <f>Catalog!F39</f>
        <v/>
      </c>
      <c r="C66" s="15">
        <f>IF(Catalog!I39="","",Catalog!I39)&amp;IF(AND(Catalog!I39&lt;&gt;"",Catalog!J39&lt;&gt;""),"; ","")&amp;IF(Catalog!J39="","",Catalog!J39)</f>
        <v/>
      </c>
      <c r="D66" s="15">
        <f>Catalog!P39</f>
        <v/>
      </c>
      <c r="E66" s="15">
        <f>Catalog!R39</f>
        <v/>
      </c>
      <c r="F66" s="15">
        <f>Catalog!M39</f>
        <v/>
      </c>
      <c r="G66" s="15">
        <f>Catalog!K39</f>
        <v/>
      </c>
      <c r="H66" s="15">
        <f>IF(Catalog!S39&lt;&gt;"","ISBN:"&amp;Catalog!S39,IF(Catalog!T39&lt;&gt;"","ISSN:"&amp;Catalog!T39,""))</f>
        <v/>
      </c>
      <c r="I66" s="15">
        <f>Catalog!B39</f>
        <v/>
      </c>
      <c r="J66" s="15">
        <f>Catalog!L39</f>
        <v/>
      </c>
      <c r="K66" s="15">
        <f>IF(Catalog!AG39&lt;&gt;"",Catalog!AG39,Catalog!AE39)</f>
        <v/>
      </c>
      <c r="L66" s="15">
        <f>Catalog!AD39</f>
        <v/>
      </c>
      <c r="M66" s="15">
        <f>Catalog!V39</f>
        <v/>
      </c>
      <c r="N66" s="15">
        <f>Catalog!Q39</f>
        <v/>
      </c>
      <c r="O66" s="15">
        <f>Catalog!AF39</f>
        <v/>
      </c>
    </row>
    <row r="67">
      <c r="A67" s="15">
        <f>Catalog!D40</f>
        <v/>
      </c>
      <c r="B67" s="15">
        <f>Catalog!F40</f>
        <v/>
      </c>
      <c r="C67" s="15">
        <f>IF(Catalog!I40="","",Catalog!I40)&amp;IF(AND(Catalog!I40&lt;&gt;"",Catalog!J40&lt;&gt;""),"; ","")&amp;IF(Catalog!J40="","",Catalog!J40)</f>
        <v/>
      </c>
      <c r="D67" s="15">
        <f>Catalog!P40</f>
        <v/>
      </c>
      <c r="E67" s="15">
        <f>Catalog!R40</f>
        <v/>
      </c>
      <c r="F67" s="15">
        <f>Catalog!M40</f>
        <v/>
      </c>
      <c r="G67" s="15">
        <f>Catalog!K40</f>
        <v/>
      </c>
      <c r="H67" s="15">
        <f>IF(Catalog!S40&lt;&gt;"","ISBN:"&amp;Catalog!S40,IF(Catalog!T40&lt;&gt;"","ISSN:"&amp;Catalog!T40,""))</f>
        <v/>
      </c>
      <c r="I67" s="15">
        <f>Catalog!B40</f>
        <v/>
      </c>
      <c r="J67" s="15">
        <f>Catalog!L40</f>
        <v/>
      </c>
      <c r="K67" s="15">
        <f>IF(Catalog!AG40&lt;&gt;"",Catalog!AG40,Catalog!AE40)</f>
        <v/>
      </c>
      <c r="L67" s="15">
        <f>Catalog!AD40</f>
        <v/>
      </c>
      <c r="M67" s="15">
        <f>Catalog!V40</f>
        <v/>
      </c>
      <c r="N67" s="15">
        <f>Catalog!Q40</f>
        <v/>
      </c>
      <c r="O67" s="15">
        <f>Catalog!AF40</f>
        <v/>
      </c>
    </row>
    <row r="68">
      <c r="A68" s="15">
        <f>Catalog!D41</f>
        <v/>
      </c>
      <c r="B68" s="15">
        <f>Catalog!F41</f>
        <v/>
      </c>
      <c r="C68" s="15">
        <f>IF(Catalog!I41="","",Catalog!I41)&amp;IF(AND(Catalog!I41&lt;&gt;"",Catalog!J41&lt;&gt;""),"; ","")&amp;IF(Catalog!J41="","",Catalog!J41)</f>
        <v/>
      </c>
      <c r="D68" s="15">
        <f>Catalog!P41</f>
        <v/>
      </c>
      <c r="E68" s="15">
        <f>Catalog!R41</f>
        <v/>
      </c>
      <c r="F68" s="15">
        <f>Catalog!M41</f>
        <v/>
      </c>
      <c r="G68" s="15">
        <f>Catalog!K41</f>
        <v/>
      </c>
      <c r="H68" s="15">
        <f>IF(Catalog!S41&lt;&gt;"","ISBN:"&amp;Catalog!S41,IF(Catalog!T41&lt;&gt;"","ISSN:"&amp;Catalog!T41,""))</f>
        <v/>
      </c>
      <c r="I68" s="15">
        <f>Catalog!B41</f>
        <v/>
      </c>
      <c r="J68" s="15">
        <f>Catalog!L41</f>
        <v/>
      </c>
      <c r="K68" s="15">
        <f>IF(Catalog!AG41&lt;&gt;"",Catalog!AG41,Catalog!AE41)</f>
        <v/>
      </c>
      <c r="L68" s="15">
        <f>Catalog!AD41</f>
        <v/>
      </c>
      <c r="M68" s="15">
        <f>Catalog!V41</f>
        <v/>
      </c>
      <c r="N68" s="15">
        <f>Catalog!Q41</f>
        <v/>
      </c>
      <c r="O68" s="15">
        <f>Catalog!AF41</f>
        <v/>
      </c>
    </row>
    <row r="69">
      <c r="A69" s="15">
        <f>Catalog!D42</f>
        <v/>
      </c>
      <c r="B69" s="15">
        <f>Catalog!F42</f>
        <v/>
      </c>
      <c r="C69" s="15">
        <f>IF(Catalog!I42="","",Catalog!I42)&amp;IF(AND(Catalog!I42&lt;&gt;"",Catalog!J42&lt;&gt;""),"; ","")&amp;IF(Catalog!J42="","",Catalog!J42)</f>
        <v/>
      </c>
      <c r="D69" s="15">
        <f>Catalog!P42</f>
        <v/>
      </c>
      <c r="E69" s="15">
        <f>Catalog!R42</f>
        <v/>
      </c>
      <c r="F69" s="15">
        <f>Catalog!M42</f>
        <v/>
      </c>
      <c r="G69" s="15">
        <f>Catalog!K42</f>
        <v/>
      </c>
      <c r="H69" s="15">
        <f>IF(Catalog!S42&lt;&gt;"","ISBN:"&amp;Catalog!S42,IF(Catalog!T42&lt;&gt;"","ISSN:"&amp;Catalog!T42,""))</f>
        <v/>
      </c>
      <c r="I69" s="15">
        <f>Catalog!B42</f>
        <v/>
      </c>
      <c r="J69" s="15">
        <f>Catalog!L42</f>
        <v/>
      </c>
      <c r="K69" s="15">
        <f>IF(Catalog!AG42&lt;&gt;"",Catalog!AG42,Catalog!AE42)</f>
        <v/>
      </c>
      <c r="L69" s="15">
        <f>Catalog!AD42</f>
        <v/>
      </c>
      <c r="M69" s="15">
        <f>Catalog!V42</f>
        <v/>
      </c>
      <c r="N69" s="15">
        <f>Catalog!Q42</f>
        <v/>
      </c>
      <c r="O69" s="15">
        <f>Catalog!AF42</f>
        <v/>
      </c>
    </row>
    <row r="70">
      <c r="A70" s="15">
        <f>Catalog!D43</f>
        <v/>
      </c>
      <c r="B70" s="15">
        <f>Catalog!F43</f>
        <v/>
      </c>
      <c r="C70" s="15">
        <f>IF(Catalog!I43="","",Catalog!I43)&amp;IF(AND(Catalog!I43&lt;&gt;"",Catalog!J43&lt;&gt;""),"; ","")&amp;IF(Catalog!J43="","",Catalog!J43)</f>
        <v/>
      </c>
      <c r="D70" s="15">
        <f>Catalog!P43</f>
        <v/>
      </c>
      <c r="E70" s="15">
        <f>Catalog!R43</f>
        <v/>
      </c>
      <c r="F70" s="15">
        <f>Catalog!M43</f>
        <v/>
      </c>
      <c r="G70" s="15">
        <f>Catalog!K43</f>
        <v/>
      </c>
      <c r="H70" s="15">
        <f>IF(Catalog!S43&lt;&gt;"","ISBN:"&amp;Catalog!S43,IF(Catalog!T43&lt;&gt;"","ISSN:"&amp;Catalog!T43,""))</f>
        <v/>
      </c>
      <c r="I70" s="15">
        <f>Catalog!B43</f>
        <v/>
      </c>
      <c r="J70" s="15">
        <f>Catalog!L43</f>
        <v/>
      </c>
      <c r="K70" s="15">
        <f>IF(Catalog!AG43&lt;&gt;"",Catalog!AG43,Catalog!AE43)</f>
        <v/>
      </c>
      <c r="L70" s="15">
        <f>Catalog!AD43</f>
        <v/>
      </c>
      <c r="M70" s="15">
        <f>Catalog!V43</f>
        <v/>
      </c>
      <c r="N70" s="15">
        <f>Catalog!Q43</f>
        <v/>
      </c>
      <c r="O70" s="15">
        <f>Catalog!AF43</f>
        <v/>
      </c>
    </row>
    <row r="71">
      <c r="A71" s="15">
        <f>Catalog!D44</f>
        <v/>
      </c>
      <c r="B71" s="15">
        <f>Catalog!F44</f>
        <v/>
      </c>
      <c r="C71" s="15">
        <f>IF(Catalog!I44="","",Catalog!I44)&amp;IF(AND(Catalog!I44&lt;&gt;"",Catalog!J44&lt;&gt;""),"; ","")&amp;IF(Catalog!J44="","",Catalog!J44)</f>
        <v/>
      </c>
      <c r="D71" s="15">
        <f>Catalog!P44</f>
        <v/>
      </c>
      <c r="E71" s="15">
        <f>Catalog!R44</f>
        <v/>
      </c>
      <c r="F71" s="15">
        <f>Catalog!M44</f>
        <v/>
      </c>
      <c r="G71" s="15">
        <f>Catalog!K44</f>
        <v/>
      </c>
      <c r="H71" s="15">
        <f>IF(Catalog!S44&lt;&gt;"","ISBN:"&amp;Catalog!S44,IF(Catalog!T44&lt;&gt;"","ISSN:"&amp;Catalog!T44,""))</f>
        <v/>
      </c>
      <c r="I71" s="15">
        <f>Catalog!B44</f>
        <v/>
      </c>
      <c r="J71" s="15">
        <f>Catalog!L44</f>
        <v/>
      </c>
      <c r="K71" s="15">
        <f>IF(Catalog!AG44&lt;&gt;"",Catalog!AG44,Catalog!AE44)</f>
        <v/>
      </c>
      <c r="L71" s="15">
        <f>Catalog!AD44</f>
        <v/>
      </c>
      <c r="M71" s="15">
        <f>Catalog!V44</f>
        <v/>
      </c>
      <c r="N71" s="15">
        <f>Catalog!Q44</f>
        <v/>
      </c>
      <c r="O71" s="15">
        <f>Catalog!AF44</f>
        <v/>
      </c>
    </row>
    <row r="72">
      <c r="A72" s="15">
        <f>Catalog!D45</f>
        <v/>
      </c>
      <c r="B72" s="15">
        <f>Catalog!F45</f>
        <v/>
      </c>
      <c r="C72" s="15">
        <f>IF(Catalog!I45="","",Catalog!I45)&amp;IF(AND(Catalog!I45&lt;&gt;"",Catalog!J45&lt;&gt;""),"; ","")&amp;IF(Catalog!J45="","",Catalog!J45)</f>
        <v/>
      </c>
      <c r="D72" s="15">
        <f>Catalog!P45</f>
        <v/>
      </c>
      <c r="E72" s="15">
        <f>Catalog!R45</f>
        <v/>
      </c>
      <c r="F72" s="15">
        <f>Catalog!M45</f>
        <v/>
      </c>
      <c r="G72" s="15">
        <f>Catalog!K45</f>
        <v/>
      </c>
      <c r="H72" s="15">
        <f>IF(Catalog!S45&lt;&gt;"","ISBN:"&amp;Catalog!S45,IF(Catalog!T45&lt;&gt;"","ISSN:"&amp;Catalog!T45,""))</f>
        <v/>
      </c>
      <c r="I72" s="15">
        <f>Catalog!B45</f>
        <v/>
      </c>
      <c r="J72" s="15">
        <f>Catalog!L45</f>
        <v/>
      </c>
      <c r="K72" s="15">
        <f>IF(Catalog!AG45&lt;&gt;"",Catalog!AG45,Catalog!AE45)</f>
        <v/>
      </c>
      <c r="L72" s="15">
        <f>Catalog!AD45</f>
        <v/>
      </c>
      <c r="M72" s="15">
        <f>Catalog!V45</f>
        <v/>
      </c>
      <c r="N72" s="15">
        <f>Catalog!Q45</f>
        <v/>
      </c>
      <c r="O72" s="15">
        <f>Catalog!AF45</f>
        <v/>
      </c>
    </row>
    <row r="73">
      <c r="A73" s="15">
        <f>Catalog!D46</f>
        <v/>
      </c>
      <c r="B73" s="15">
        <f>Catalog!F46</f>
        <v/>
      </c>
      <c r="C73" s="15">
        <f>IF(Catalog!I46="","",Catalog!I46)&amp;IF(AND(Catalog!I46&lt;&gt;"",Catalog!J46&lt;&gt;""),"; ","")&amp;IF(Catalog!J46="","",Catalog!J46)</f>
        <v/>
      </c>
      <c r="D73" s="15">
        <f>Catalog!P46</f>
        <v/>
      </c>
      <c r="E73" s="15">
        <f>Catalog!R46</f>
        <v/>
      </c>
      <c r="F73" s="15">
        <f>Catalog!M46</f>
        <v/>
      </c>
      <c r="G73" s="15">
        <f>Catalog!K46</f>
        <v/>
      </c>
      <c r="H73" s="15">
        <f>IF(Catalog!S46&lt;&gt;"","ISBN:"&amp;Catalog!S46,IF(Catalog!T46&lt;&gt;"","ISSN:"&amp;Catalog!T46,""))</f>
        <v/>
      </c>
      <c r="I73" s="15">
        <f>Catalog!B46</f>
        <v/>
      </c>
      <c r="J73" s="15">
        <f>Catalog!L46</f>
        <v/>
      </c>
      <c r="K73" s="15">
        <f>IF(Catalog!AG46&lt;&gt;"",Catalog!AG46,Catalog!AE46)</f>
        <v/>
      </c>
      <c r="L73" s="15">
        <f>Catalog!AD46</f>
        <v/>
      </c>
      <c r="M73" s="15">
        <f>Catalog!V46</f>
        <v/>
      </c>
      <c r="N73" s="15">
        <f>Catalog!Q46</f>
        <v/>
      </c>
      <c r="O73" s="15">
        <f>Catalog!AF46</f>
        <v/>
      </c>
    </row>
    <row r="74">
      <c r="A74" s="15">
        <f>Catalog!D47</f>
        <v/>
      </c>
      <c r="B74" s="15">
        <f>Catalog!F47</f>
        <v/>
      </c>
      <c r="C74" s="15">
        <f>IF(Catalog!I47="","",Catalog!I47)&amp;IF(AND(Catalog!I47&lt;&gt;"",Catalog!J47&lt;&gt;""),"; ","")&amp;IF(Catalog!J47="","",Catalog!J47)</f>
        <v/>
      </c>
      <c r="D74" s="15">
        <f>Catalog!P47</f>
        <v/>
      </c>
      <c r="E74" s="15">
        <f>Catalog!R47</f>
        <v/>
      </c>
      <c r="F74" s="15">
        <f>Catalog!M47</f>
        <v/>
      </c>
      <c r="G74" s="15">
        <f>Catalog!K47</f>
        <v/>
      </c>
      <c r="H74" s="15">
        <f>IF(Catalog!S47&lt;&gt;"","ISBN:"&amp;Catalog!S47,IF(Catalog!T47&lt;&gt;"","ISSN:"&amp;Catalog!T47,""))</f>
        <v/>
      </c>
      <c r="I74" s="15">
        <f>Catalog!B47</f>
        <v/>
      </c>
      <c r="J74" s="15">
        <f>Catalog!L47</f>
        <v/>
      </c>
      <c r="K74" s="15">
        <f>IF(Catalog!AG47&lt;&gt;"",Catalog!AG47,Catalog!AE47)</f>
        <v/>
      </c>
      <c r="L74" s="15">
        <f>Catalog!AD47</f>
        <v/>
      </c>
      <c r="M74" s="15">
        <f>Catalog!V47</f>
        <v/>
      </c>
      <c r="N74" s="15">
        <f>Catalog!Q47</f>
        <v/>
      </c>
      <c r="O74" s="15">
        <f>Catalog!AF47</f>
        <v/>
      </c>
    </row>
    <row r="75">
      <c r="A75" s="15">
        <f>Catalog!D48</f>
        <v/>
      </c>
      <c r="B75" s="15">
        <f>Catalog!F48</f>
        <v/>
      </c>
      <c r="C75" s="15">
        <f>IF(Catalog!I48="","",Catalog!I48)&amp;IF(AND(Catalog!I48&lt;&gt;"",Catalog!J48&lt;&gt;""),"; ","")&amp;IF(Catalog!J48="","",Catalog!J48)</f>
        <v/>
      </c>
      <c r="D75" s="15">
        <f>Catalog!P48</f>
        <v/>
      </c>
      <c r="E75" s="15">
        <f>Catalog!R48</f>
        <v/>
      </c>
      <c r="F75" s="15">
        <f>Catalog!M48</f>
        <v/>
      </c>
      <c r="G75" s="15">
        <f>Catalog!K48</f>
        <v/>
      </c>
      <c r="H75" s="15">
        <f>IF(Catalog!S48&lt;&gt;"","ISBN:"&amp;Catalog!S48,IF(Catalog!T48&lt;&gt;"","ISSN:"&amp;Catalog!T48,""))</f>
        <v/>
      </c>
      <c r="I75" s="15">
        <f>Catalog!B48</f>
        <v/>
      </c>
      <c r="J75" s="15">
        <f>Catalog!L48</f>
        <v/>
      </c>
      <c r="K75" s="15">
        <f>IF(Catalog!AG48&lt;&gt;"",Catalog!AG48,Catalog!AE48)</f>
        <v/>
      </c>
      <c r="L75" s="15">
        <f>Catalog!AD48</f>
        <v/>
      </c>
      <c r="M75" s="15">
        <f>Catalog!V48</f>
        <v/>
      </c>
      <c r="N75" s="15">
        <f>Catalog!Q48</f>
        <v/>
      </c>
      <c r="O75" s="15">
        <f>Catalog!AF48</f>
        <v/>
      </c>
    </row>
    <row r="76">
      <c r="A76" s="15">
        <f>Catalog!D49</f>
        <v/>
      </c>
      <c r="B76" s="15">
        <f>Catalog!F49</f>
        <v/>
      </c>
      <c r="C76" s="15">
        <f>IF(Catalog!I49="","",Catalog!I49)&amp;IF(AND(Catalog!I49&lt;&gt;"",Catalog!J49&lt;&gt;""),"; ","")&amp;IF(Catalog!J49="","",Catalog!J49)</f>
        <v/>
      </c>
      <c r="D76" s="15">
        <f>Catalog!P49</f>
        <v/>
      </c>
      <c r="E76" s="15">
        <f>Catalog!R49</f>
        <v/>
      </c>
      <c r="F76" s="15">
        <f>Catalog!M49</f>
        <v/>
      </c>
      <c r="G76" s="15">
        <f>Catalog!K49</f>
        <v/>
      </c>
      <c r="H76" s="15">
        <f>IF(Catalog!S49&lt;&gt;"","ISBN:"&amp;Catalog!S49,IF(Catalog!T49&lt;&gt;"","ISSN:"&amp;Catalog!T49,""))</f>
        <v/>
      </c>
      <c r="I76" s="15">
        <f>Catalog!B49</f>
        <v/>
      </c>
      <c r="J76" s="15">
        <f>Catalog!L49</f>
        <v/>
      </c>
      <c r="K76" s="15">
        <f>IF(Catalog!AG49&lt;&gt;"",Catalog!AG49,Catalog!AE49)</f>
        <v/>
      </c>
      <c r="L76" s="15">
        <f>Catalog!AD49</f>
        <v/>
      </c>
      <c r="M76" s="15">
        <f>Catalog!V49</f>
        <v/>
      </c>
      <c r="N76" s="15">
        <f>Catalog!Q49</f>
        <v/>
      </c>
      <c r="O76" s="15">
        <f>Catalog!AF49</f>
        <v/>
      </c>
    </row>
    <row r="77">
      <c r="A77" s="15">
        <f>Catalog!D50</f>
        <v/>
      </c>
      <c r="B77" s="15">
        <f>Catalog!F50</f>
        <v/>
      </c>
      <c r="C77" s="15">
        <f>IF(Catalog!I50="","",Catalog!I50)&amp;IF(AND(Catalog!I50&lt;&gt;"",Catalog!J50&lt;&gt;""),"; ","")&amp;IF(Catalog!J50="","",Catalog!J50)</f>
        <v/>
      </c>
      <c r="D77" s="15">
        <f>Catalog!P50</f>
        <v/>
      </c>
      <c r="E77" s="15">
        <f>Catalog!R50</f>
        <v/>
      </c>
      <c r="F77" s="15">
        <f>Catalog!M50</f>
        <v/>
      </c>
      <c r="G77" s="15">
        <f>Catalog!K50</f>
        <v/>
      </c>
      <c r="H77" s="15">
        <f>IF(Catalog!S50&lt;&gt;"","ISBN:"&amp;Catalog!S50,IF(Catalog!T50&lt;&gt;"","ISSN:"&amp;Catalog!T50,""))</f>
        <v/>
      </c>
      <c r="I77" s="15">
        <f>Catalog!B50</f>
        <v/>
      </c>
      <c r="J77" s="15">
        <f>Catalog!L50</f>
        <v/>
      </c>
      <c r="K77" s="15">
        <f>IF(Catalog!AG50&lt;&gt;"",Catalog!AG50,Catalog!AE50)</f>
        <v/>
      </c>
      <c r="L77" s="15">
        <f>Catalog!AD50</f>
        <v/>
      </c>
      <c r="M77" s="15">
        <f>Catalog!V50</f>
        <v/>
      </c>
      <c r="N77" s="15">
        <f>Catalog!Q50</f>
        <v/>
      </c>
      <c r="O77" s="15">
        <f>Catalog!AF50</f>
        <v/>
      </c>
    </row>
    <row r="78">
      <c r="A78" s="15">
        <f>Catalog!D51</f>
        <v/>
      </c>
      <c r="B78" s="15">
        <f>Catalog!F51</f>
        <v/>
      </c>
      <c r="C78" s="15">
        <f>IF(Catalog!I51="","",Catalog!I51)&amp;IF(AND(Catalog!I51&lt;&gt;"",Catalog!J51&lt;&gt;""),"; ","")&amp;IF(Catalog!J51="","",Catalog!J51)</f>
        <v/>
      </c>
      <c r="D78" s="15">
        <f>Catalog!P51</f>
        <v/>
      </c>
      <c r="E78" s="15">
        <f>Catalog!R51</f>
        <v/>
      </c>
      <c r="F78" s="15">
        <f>Catalog!M51</f>
        <v/>
      </c>
      <c r="G78" s="15">
        <f>Catalog!K51</f>
        <v/>
      </c>
      <c r="H78" s="15">
        <f>IF(Catalog!S51&lt;&gt;"","ISBN:"&amp;Catalog!S51,IF(Catalog!T51&lt;&gt;"","ISSN:"&amp;Catalog!T51,""))</f>
        <v/>
      </c>
      <c r="I78" s="15">
        <f>Catalog!B51</f>
        <v/>
      </c>
      <c r="J78" s="15">
        <f>Catalog!L51</f>
        <v/>
      </c>
      <c r="K78" s="15">
        <f>IF(Catalog!AG51&lt;&gt;"",Catalog!AG51,Catalog!AE51)</f>
        <v/>
      </c>
      <c r="L78" s="15">
        <f>Catalog!AD51</f>
        <v/>
      </c>
      <c r="M78" s="15">
        <f>Catalog!V51</f>
        <v/>
      </c>
      <c r="N78" s="15">
        <f>Catalog!Q51</f>
        <v/>
      </c>
      <c r="O78" s="15">
        <f>Catalog!AF51</f>
        <v/>
      </c>
    </row>
    <row r="79">
      <c r="A79" s="15">
        <f>Catalog!D52</f>
        <v/>
      </c>
      <c r="B79" s="15">
        <f>Catalog!F52</f>
        <v/>
      </c>
      <c r="C79" s="15">
        <f>IF(Catalog!I52="","",Catalog!I52)&amp;IF(AND(Catalog!I52&lt;&gt;"",Catalog!J52&lt;&gt;""),"; ","")&amp;IF(Catalog!J52="","",Catalog!J52)</f>
        <v/>
      </c>
      <c r="D79" s="15">
        <f>Catalog!P52</f>
        <v/>
      </c>
      <c r="E79" s="15">
        <f>Catalog!R52</f>
        <v/>
      </c>
      <c r="F79" s="15">
        <f>Catalog!M52</f>
        <v/>
      </c>
      <c r="G79" s="15">
        <f>Catalog!K52</f>
        <v/>
      </c>
      <c r="H79" s="15">
        <f>IF(Catalog!S52&lt;&gt;"","ISBN:"&amp;Catalog!S52,IF(Catalog!T52&lt;&gt;"","ISSN:"&amp;Catalog!T52,""))</f>
        <v/>
      </c>
      <c r="I79" s="15">
        <f>Catalog!B52</f>
        <v/>
      </c>
      <c r="J79" s="15">
        <f>Catalog!L52</f>
        <v/>
      </c>
      <c r="K79" s="15">
        <f>IF(Catalog!AG52&lt;&gt;"",Catalog!AG52,Catalog!AE52)</f>
        <v/>
      </c>
      <c r="L79" s="15">
        <f>Catalog!AD52</f>
        <v/>
      </c>
      <c r="M79" s="15">
        <f>Catalog!V52</f>
        <v/>
      </c>
      <c r="N79" s="15">
        <f>Catalog!Q52</f>
        <v/>
      </c>
      <c r="O79" s="15">
        <f>Catalog!AF52</f>
        <v/>
      </c>
    </row>
    <row r="80">
      <c r="A80" s="15">
        <f>Catalog!D53</f>
        <v/>
      </c>
      <c r="B80" s="15">
        <f>Catalog!F53</f>
        <v/>
      </c>
      <c r="C80" s="15">
        <f>IF(Catalog!I53="","",Catalog!I53)&amp;IF(AND(Catalog!I53&lt;&gt;"",Catalog!J53&lt;&gt;""),"; ","")&amp;IF(Catalog!J53="","",Catalog!J53)</f>
        <v/>
      </c>
      <c r="D80" s="15">
        <f>Catalog!P53</f>
        <v/>
      </c>
      <c r="E80" s="15">
        <f>Catalog!R53</f>
        <v/>
      </c>
      <c r="F80" s="15">
        <f>Catalog!M53</f>
        <v/>
      </c>
      <c r="G80" s="15">
        <f>Catalog!K53</f>
        <v/>
      </c>
      <c r="H80" s="15">
        <f>IF(Catalog!S53&lt;&gt;"","ISBN:"&amp;Catalog!S53,IF(Catalog!T53&lt;&gt;"","ISSN:"&amp;Catalog!T53,""))</f>
        <v/>
      </c>
      <c r="I80" s="15">
        <f>Catalog!B53</f>
        <v/>
      </c>
      <c r="J80" s="15">
        <f>Catalog!L53</f>
        <v/>
      </c>
      <c r="K80" s="15">
        <f>IF(Catalog!AG53&lt;&gt;"",Catalog!AG53,Catalog!AE53)</f>
        <v/>
      </c>
      <c r="L80" s="15">
        <f>Catalog!AD53</f>
        <v/>
      </c>
      <c r="M80" s="15">
        <f>Catalog!V53</f>
        <v/>
      </c>
      <c r="N80" s="15">
        <f>Catalog!Q53</f>
        <v/>
      </c>
      <c r="O80" s="15">
        <f>Catalog!AF53</f>
        <v/>
      </c>
    </row>
    <row r="81">
      <c r="A81" s="15">
        <f>Catalog!D54</f>
        <v/>
      </c>
      <c r="B81" s="15">
        <f>Catalog!F54</f>
        <v/>
      </c>
      <c r="C81" s="15">
        <f>IF(Catalog!I54="","",Catalog!I54)&amp;IF(AND(Catalog!I54&lt;&gt;"",Catalog!J54&lt;&gt;""),"; ","")&amp;IF(Catalog!J54="","",Catalog!J54)</f>
        <v/>
      </c>
      <c r="D81" s="15">
        <f>Catalog!P54</f>
        <v/>
      </c>
      <c r="E81" s="15">
        <f>Catalog!R54</f>
        <v/>
      </c>
      <c r="F81" s="15">
        <f>Catalog!M54</f>
        <v/>
      </c>
      <c r="G81" s="15">
        <f>Catalog!K54</f>
        <v/>
      </c>
      <c r="H81" s="15">
        <f>IF(Catalog!S54&lt;&gt;"","ISBN:"&amp;Catalog!S54,IF(Catalog!T54&lt;&gt;"","ISSN:"&amp;Catalog!T54,""))</f>
        <v/>
      </c>
      <c r="I81" s="15">
        <f>Catalog!B54</f>
        <v/>
      </c>
      <c r="J81" s="15">
        <f>Catalog!L54</f>
        <v/>
      </c>
      <c r="K81" s="15">
        <f>IF(Catalog!AG54&lt;&gt;"",Catalog!AG54,Catalog!AE54)</f>
        <v/>
      </c>
      <c r="L81" s="15">
        <f>Catalog!AD54</f>
        <v/>
      </c>
      <c r="M81" s="15">
        <f>Catalog!V54</f>
        <v/>
      </c>
      <c r="N81" s="15">
        <f>Catalog!Q54</f>
        <v/>
      </c>
      <c r="O81" s="15">
        <f>Catalog!AF54</f>
        <v/>
      </c>
    </row>
    <row r="82">
      <c r="A82" s="15">
        <f>Catalog!D55</f>
        <v/>
      </c>
      <c r="B82" s="15">
        <f>Catalog!F55</f>
        <v/>
      </c>
      <c r="C82" s="15">
        <f>IF(Catalog!I55="","",Catalog!I55)&amp;IF(AND(Catalog!I55&lt;&gt;"",Catalog!J55&lt;&gt;""),"; ","")&amp;IF(Catalog!J55="","",Catalog!J55)</f>
        <v/>
      </c>
      <c r="D82" s="15">
        <f>Catalog!P55</f>
        <v/>
      </c>
      <c r="E82" s="15">
        <f>Catalog!R55</f>
        <v/>
      </c>
      <c r="F82" s="15">
        <f>Catalog!M55</f>
        <v/>
      </c>
      <c r="G82" s="15">
        <f>Catalog!K55</f>
        <v/>
      </c>
      <c r="H82" s="15">
        <f>IF(Catalog!S55&lt;&gt;"","ISBN:"&amp;Catalog!S55,IF(Catalog!T55&lt;&gt;"","ISSN:"&amp;Catalog!T55,""))</f>
        <v/>
      </c>
      <c r="I82" s="15">
        <f>Catalog!B55</f>
        <v/>
      </c>
      <c r="J82" s="15">
        <f>Catalog!L55</f>
        <v/>
      </c>
      <c r="K82" s="15">
        <f>IF(Catalog!AG55&lt;&gt;"",Catalog!AG55,Catalog!AE55)</f>
        <v/>
      </c>
      <c r="L82" s="15">
        <f>Catalog!AD55</f>
        <v/>
      </c>
      <c r="M82" s="15">
        <f>Catalog!V55</f>
        <v/>
      </c>
      <c r="N82" s="15">
        <f>Catalog!Q55</f>
        <v/>
      </c>
      <c r="O82" s="15">
        <f>Catalog!AF55</f>
        <v/>
      </c>
    </row>
    <row r="83">
      <c r="A83" s="15">
        <f>Catalog!D56</f>
        <v/>
      </c>
      <c r="B83" s="15">
        <f>Catalog!F56</f>
        <v/>
      </c>
      <c r="C83" s="15">
        <f>IF(Catalog!I56="","",Catalog!I56)&amp;IF(AND(Catalog!I56&lt;&gt;"",Catalog!J56&lt;&gt;""),"; ","")&amp;IF(Catalog!J56="","",Catalog!J56)</f>
        <v/>
      </c>
      <c r="D83" s="15">
        <f>Catalog!P56</f>
        <v/>
      </c>
      <c r="E83" s="15">
        <f>Catalog!R56</f>
        <v/>
      </c>
      <c r="F83" s="15">
        <f>Catalog!M56</f>
        <v/>
      </c>
      <c r="G83" s="15">
        <f>Catalog!K56</f>
        <v/>
      </c>
      <c r="H83" s="15">
        <f>IF(Catalog!S56&lt;&gt;"","ISBN:"&amp;Catalog!S56,IF(Catalog!T56&lt;&gt;"","ISSN:"&amp;Catalog!T56,""))</f>
        <v/>
      </c>
      <c r="I83" s="15">
        <f>Catalog!B56</f>
        <v/>
      </c>
      <c r="J83" s="15">
        <f>Catalog!L56</f>
        <v/>
      </c>
      <c r="K83" s="15">
        <f>IF(Catalog!AG56&lt;&gt;"",Catalog!AG56,Catalog!AE56)</f>
        <v/>
      </c>
      <c r="L83" s="15">
        <f>Catalog!AD56</f>
        <v/>
      </c>
      <c r="M83" s="15">
        <f>Catalog!V56</f>
        <v/>
      </c>
      <c r="N83" s="15">
        <f>Catalog!Q56</f>
        <v/>
      </c>
      <c r="O83" s="15">
        <f>Catalog!AF56</f>
        <v/>
      </c>
    </row>
    <row r="84">
      <c r="A84" s="15">
        <f>Catalog!D57</f>
        <v/>
      </c>
      <c r="B84" s="15">
        <f>Catalog!F57</f>
        <v/>
      </c>
      <c r="C84" s="15">
        <f>IF(Catalog!I57="","",Catalog!I57)&amp;IF(AND(Catalog!I57&lt;&gt;"",Catalog!J57&lt;&gt;""),"; ","")&amp;IF(Catalog!J57="","",Catalog!J57)</f>
        <v/>
      </c>
      <c r="D84" s="15">
        <f>Catalog!P57</f>
        <v/>
      </c>
      <c r="E84" s="15">
        <f>Catalog!R57</f>
        <v/>
      </c>
      <c r="F84" s="15">
        <f>Catalog!M57</f>
        <v/>
      </c>
      <c r="G84" s="15">
        <f>Catalog!K57</f>
        <v/>
      </c>
      <c r="H84" s="15">
        <f>IF(Catalog!S57&lt;&gt;"","ISBN:"&amp;Catalog!S57,IF(Catalog!T57&lt;&gt;"","ISSN:"&amp;Catalog!T57,""))</f>
        <v/>
      </c>
      <c r="I84" s="15">
        <f>Catalog!B57</f>
        <v/>
      </c>
      <c r="J84" s="15">
        <f>Catalog!L57</f>
        <v/>
      </c>
      <c r="K84" s="15">
        <f>IF(Catalog!AG57&lt;&gt;"",Catalog!AG57,Catalog!AE57)</f>
        <v/>
      </c>
      <c r="L84" s="15">
        <f>Catalog!AD57</f>
        <v/>
      </c>
      <c r="M84" s="15">
        <f>Catalog!V57</f>
        <v/>
      </c>
      <c r="N84" s="15">
        <f>Catalog!Q57</f>
        <v/>
      </c>
      <c r="O84" s="15">
        <f>Catalog!AF57</f>
        <v/>
      </c>
    </row>
    <row r="85">
      <c r="A85" s="15">
        <f>Catalog!D58</f>
        <v/>
      </c>
      <c r="B85" s="15">
        <f>Catalog!F58</f>
        <v/>
      </c>
      <c r="C85" s="15">
        <f>IF(Catalog!I58="","",Catalog!I58)&amp;IF(AND(Catalog!I58&lt;&gt;"",Catalog!J58&lt;&gt;""),"; ","")&amp;IF(Catalog!J58="","",Catalog!J58)</f>
        <v/>
      </c>
      <c r="D85" s="15">
        <f>Catalog!P58</f>
        <v/>
      </c>
      <c r="E85" s="15">
        <f>Catalog!R58</f>
        <v/>
      </c>
      <c r="F85" s="15">
        <f>Catalog!M58</f>
        <v/>
      </c>
      <c r="G85" s="15">
        <f>Catalog!K58</f>
        <v/>
      </c>
      <c r="H85" s="15">
        <f>IF(Catalog!S58&lt;&gt;"","ISBN:"&amp;Catalog!S58,IF(Catalog!T58&lt;&gt;"","ISSN:"&amp;Catalog!T58,""))</f>
        <v/>
      </c>
      <c r="I85" s="15">
        <f>Catalog!B58</f>
        <v/>
      </c>
      <c r="J85" s="15">
        <f>Catalog!L58</f>
        <v/>
      </c>
      <c r="K85" s="15">
        <f>IF(Catalog!AG58&lt;&gt;"",Catalog!AG58,Catalog!AE58)</f>
        <v/>
      </c>
      <c r="L85" s="15">
        <f>Catalog!AD58</f>
        <v/>
      </c>
      <c r="M85" s="15">
        <f>Catalog!V58</f>
        <v/>
      </c>
      <c r="N85" s="15">
        <f>Catalog!Q58</f>
        <v/>
      </c>
      <c r="O85" s="15">
        <f>Catalog!AF58</f>
        <v/>
      </c>
    </row>
    <row r="86">
      <c r="A86" s="15">
        <f>Catalog!D59</f>
        <v/>
      </c>
      <c r="B86" s="15">
        <f>Catalog!F59</f>
        <v/>
      </c>
      <c r="C86" s="15">
        <f>IF(Catalog!I59="","",Catalog!I59)&amp;IF(AND(Catalog!I59&lt;&gt;"",Catalog!J59&lt;&gt;""),"; ","")&amp;IF(Catalog!J59="","",Catalog!J59)</f>
        <v/>
      </c>
      <c r="D86" s="15">
        <f>Catalog!P59</f>
        <v/>
      </c>
      <c r="E86" s="15">
        <f>Catalog!R59</f>
        <v/>
      </c>
      <c r="F86" s="15">
        <f>Catalog!M59</f>
        <v/>
      </c>
      <c r="G86" s="15">
        <f>Catalog!K59</f>
        <v/>
      </c>
      <c r="H86" s="15">
        <f>IF(Catalog!S59&lt;&gt;"","ISBN:"&amp;Catalog!S59,IF(Catalog!T59&lt;&gt;"","ISSN:"&amp;Catalog!T59,""))</f>
        <v/>
      </c>
      <c r="I86" s="15">
        <f>Catalog!B59</f>
        <v/>
      </c>
      <c r="J86" s="15">
        <f>Catalog!L59</f>
        <v/>
      </c>
      <c r="K86" s="15">
        <f>IF(Catalog!AG59&lt;&gt;"",Catalog!AG59,Catalog!AE59)</f>
        <v/>
      </c>
      <c r="L86" s="15">
        <f>Catalog!AD59</f>
        <v/>
      </c>
      <c r="M86" s="15">
        <f>Catalog!V59</f>
        <v/>
      </c>
      <c r="N86" s="15">
        <f>Catalog!Q59</f>
        <v/>
      </c>
      <c r="O86" s="15">
        <f>Catalog!AF59</f>
        <v/>
      </c>
    </row>
    <row r="87">
      <c r="A87" s="15">
        <f>Catalog!D60</f>
        <v/>
      </c>
      <c r="B87" s="15">
        <f>Catalog!F60</f>
        <v/>
      </c>
      <c r="C87" s="15">
        <f>IF(Catalog!I60="","",Catalog!I60)&amp;IF(AND(Catalog!I60&lt;&gt;"",Catalog!J60&lt;&gt;""),"; ","")&amp;IF(Catalog!J60="","",Catalog!J60)</f>
        <v/>
      </c>
      <c r="D87" s="15">
        <f>Catalog!P60</f>
        <v/>
      </c>
      <c r="E87" s="15">
        <f>Catalog!R60</f>
        <v/>
      </c>
      <c r="F87" s="15">
        <f>Catalog!M60</f>
        <v/>
      </c>
      <c r="G87" s="15">
        <f>Catalog!K60</f>
        <v/>
      </c>
      <c r="H87" s="15">
        <f>IF(Catalog!S60&lt;&gt;"","ISBN:"&amp;Catalog!S60,IF(Catalog!T60&lt;&gt;"","ISSN:"&amp;Catalog!T60,""))</f>
        <v/>
      </c>
      <c r="I87" s="15">
        <f>Catalog!B60</f>
        <v/>
      </c>
      <c r="J87" s="15">
        <f>Catalog!L60</f>
        <v/>
      </c>
      <c r="K87" s="15">
        <f>IF(Catalog!AG60&lt;&gt;"",Catalog!AG60,Catalog!AE60)</f>
        <v/>
      </c>
      <c r="L87" s="15">
        <f>Catalog!AD60</f>
        <v/>
      </c>
      <c r="M87" s="15">
        <f>Catalog!V60</f>
        <v/>
      </c>
      <c r="N87" s="15">
        <f>Catalog!Q60</f>
        <v/>
      </c>
      <c r="O87" s="15">
        <f>Catalog!AF60</f>
        <v/>
      </c>
    </row>
    <row r="88">
      <c r="A88" s="15">
        <f>Catalog!D61</f>
        <v/>
      </c>
      <c r="B88" s="15">
        <f>Catalog!F61</f>
        <v/>
      </c>
      <c r="C88" s="15">
        <f>IF(Catalog!I61="","",Catalog!I61)&amp;IF(AND(Catalog!I61&lt;&gt;"",Catalog!J61&lt;&gt;""),"; ","")&amp;IF(Catalog!J61="","",Catalog!J61)</f>
        <v/>
      </c>
      <c r="D88" s="15">
        <f>Catalog!P61</f>
        <v/>
      </c>
      <c r="E88" s="15">
        <f>Catalog!R61</f>
        <v/>
      </c>
      <c r="F88" s="15">
        <f>Catalog!M61</f>
        <v/>
      </c>
      <c r="G88" s="15">
        <f>Catalog!K61</f>
        <v/>
      </c>
      <c r="H88" s="15">
        <f>IF(Catalog!S61&lt;&gt;"","ISBN:"&amp;Catalog!S61,IF(Catalog!T61&lt;&gt;"","ISSN:"&amp;Catalog!T61,""))</f>
        <v/>
      </c>
      <c r="I88" s="15">
        <f>Catalog!B61</f>
        <v/>
      </c>
      <c r="J88" s="15">
        <f>Catalog!L61</f>
        <v/>
      </c>
      <c r="K88" s="15">
        <f>IF(Catalog!AG61&lt;&gt;"",Catalog!AG61,Catalog!AE61)</f>
        <v/>
      </c>
      <c r="L88" s="15">
        <f>Catalog!AD61</f>
        <v/>
      </c>
      <c r="M88" s="15">
        <f>Catalog!V61</f>
        <v/>
      </c>
      <c r="N88" s="15">
        <f>Catalog!Q61</f>
        <v/>
      </c>
      <c r="O88" s="15">
        <f>Catalog!AF61</f>
        <v/>
      </c>
    </row>
    <row r="89">
      <c r="A89" s="15">
        <f>Catalog!D62</f>
        <v/>
      </c>
      <c r="B89" s="15">
        <f>Catalog!F62</f>
        <v/>
      </c>
      <c r="C89" s="15">
        <f>IF(Catalog!I62="","",Catalog!I62)&amp;IF(AND(Catalog!I62&lt;&gt;"",Catalog!J62&lt;&gt;""),"; ","")&amp;IF(Catalog!J62="","",Catalog!J62)</f>
        <v/>
      </c>
      <c r="D89" s="15">
        <f>Catalog!P62</f>
        <v/>
      </c>
      <c r="E89" s="15">
        <f>Catalog!R62</f>
        <v/>
      </c>
      <c r="F89" s="15">
        <f>Catalog!M62</f>
        <v/>
      </c>
      <c r="G89" s="15">
        <f>Catalog!K62</f>
        <v/>
      </c>
      <c r="H89" s="15">
        <f>IF(Catalog!S62&lt;&gt;"","ISBN:"&amp;Catalog!S62,IF(Catalog!T62&lt;&gt;"","ISSN:"&amp;Catalog!T62,""))</f>
        <v/>
      </c>
      <c r="I89" s="15">
        <f>Catalog!B62</f>
        <v/>
      </c>
      <c r="J89" s="15">
        <f>Catalog!L62</f>
        <v/>
      </c>
      <c r="K89" s="15">
        <f>IF(Catalog!AG62&lt;&gt;"",Catalog!AG62,Catalog!AE62)</f>
        <v/>
      </c>
      <c r="L89" s="15">
        <f>Catalog!AD62</f>
        <v/>
      </c>
      <c r="M89" s="15">
        <f>Catalog!V62</f>
        <v/>
      </c>
      <c r="N89" s="15">
        <f>Catalog!Q62</f>
        <v/>
      </c>
      <c r="O89" s="15">
        <f>Catalog!AF62</f>
        <v/>
      </c>
    </row>
    <row r="90">
      <c r="A90" s="15">
        <f>Catalog!D63</f>
        <v/>
      </c>
      <c r="B90" s="15">
        <f>Catalog!F63</f>
        <v/>
      </c>
      <c r="C90" s="15">
        <f>IF(Catalog!I63="","",Catalog!I63)&amp;IF(AND(Catalog!I63&lt;&gt;"",Catalog!J63&lt;&gt;""),"; ","")&amp;IF(Catalog!J63="","",Catalog!J63)</f>
        <v/>
      </c>
      <c r="D90" s="15">
        <f>Catalog!P63</f>
        <v/>
      </c>
      <c r="E90" s="15">
        <f>Catalog!R63</f>
        <v/>
      </c>
      <c r="F90" s="15">
        <f>Catalog!M63</f>
        <v/>
      </c>
      <c r="G90" s="15">
        <f>Catalog!K63</f>
        <v/>
      </c>
      <c r="H90" s="15">
        <f>IF(Catalog!S63&lt;&gt;"","ISBN:"&amp;Catalog!S63,IF(Catalog!T63&lt;&gt;"","ISSN:"&amp;Catalog!T63,""))</f>
        <v/>
      </c>
      <c r="I90" s="15">
        <f>Catalog!B63</f>
        <v/>
      </c>
      <c r="J90" s="15">
        <f>Catalog!L63</f>
        <v/>
      </c>
      <c r="K90" s="15">
        <f>IF(Catalog!AG63&lt;&gt;"",Catalog!AG63,Catalog!AE63)</f>
        <v/>
      </c>
      <c r="L90" s="15">
        <f>Catalog!AD63</f>
        <v/>
      </c>
      <c r="M90" s="15">
        <f>Catalog!V63</f>
        <v/>
      </c>
      <c r="N90" s="15">
        <f>Catalog!Q63</f>
        <v/>
      </c>
      <c r="O90" s="15">
        <f>Catalog!AF63</f>
        <v/>
      </c>
    </row>
    <row r="91">
      <c r="A91" s="15">
        <f>Catalog!D64</f>
        <v/>
      </c>
      <c r="B91" s="15">
        <f>Catalog!F64</f>
        <v/>
      </c>
      <c r="C91" s="15">
        <f>IF(Catalog!I64="","",Catalog!I64)&amp;IF(AND(Catalog!I64&lt;&gt;"",Catalog!J64&lt;&gt;""),"; ","")&amp;IF(Catalog!J64="","",Catalog!J64)</f>
        <v/>
      </c>
      <c r="D91" s="15">
        <f>Catalog!P64</f>
        <v/>
      </c>
      <c r="E91" s="15">
        <f>Catalog!R64</f>
        <v/>
      </c>
      <c r="F91" s="15">
        <f>Catalog!M64</f>
        <v/>
      </c>
      <c r="G91" s="15">
        <f>Catalog!K64</f>
        <v/>
      </c>
      <c r="H91" s="15">
        <f>IF(Catalog!S64&lt;&gt;"","ISBN:"&amp;Catalog!S64,IF(Catalog!T64&lt;&gt;"","ISSN:"&amp;Catalog!T64,""))</f>
        <v/>
      </c>
      <c r="I91" s="15">
        <f>Catalog!B64</f>
        <v/>
      </c>
      <c r="J91" s="15">
        <f>Catalog!L64</f>
        <v/>
      </c>
      <c r="K91" s="15">
        <f>IF(Catalog!AG64&lt;&gt;"",Catalog!AG64,Catalog!AE64)</f>
        <v/>
      </c>
      <c r="L91" s="15">
        <f>Catalog!AD64</f>
        <v/>
      </c>
      <c r="M91" s="15">
        <f>Catalog!V64</f>
        <v/>
      </c>
      <c r="N91" s="15">
        <f>Catalog!Q64</f>
        <v/>
      </c>
      <c r="O91" s="15">
        <f>Catalog!AF64</f>
        <v/>
      </c>
    </row>
    <row r="92">
      <c r="A92" s="15">
        <f>Catalog!D65</f>
        <v/>
      </c>
      <c r="B92" s="15">
        <f>Catalog!F65</f>
        <v/>
      </c>
      <c r="C92" s="15">
        <f>IF(Catalog!I65="","",Catalog!I65)&amp;IF(AND(Catalog!I65&lt;&gt;"",Catalog!J65&lt;&gt;""),"; ","")&amp;IF(Catalog!J65="","",Catalog!J65)</f>
        <v/>
      </c>
      <c r="D92" s="15">
        <f>Catalog!P65</f>
        <v/>
      </c>
      <c r="E92" s="15">
        <f>Catalog!R65</f>
        <v/>
      </c>
      <c r="F92" s="15">
        <f>Catalog!M65</f>
        <v/>
      </c>
      <c r="G92" s="15">
        <f>Catalog!K65</f>
        <v/>
      </c>
      <c r="H92" s="15">
        <f>IF(Catalog!S65&lt;&gt;"","ISBN:"&amp;Catalog!S65,IF(Catalog!T65&lt;&gt;"","ISSN:"&amp;Catalog!T65,""))</f>
        <v/>
      </c>
      <c r="I92" s="15">
        <f>Catalog!B65</f>
        <v/>
      </c>
      <c r="J92" s="15">
        <f>Catalog!L65</f>
        <v/>
      </c>
      <c r="K92" s="15">
        <f>IF(Catalog!AG65&lt;&gt;"",Catalog!AG65,Catalog!AE65)</f>
        <v/>
      </c>
      <c r="L92" s="15">
        <f>Catalog!AD65</f>
        <v/>
      </c>
      <c r="M92" s="15">
        <f>Catalog!V65</f>
        <v/>
      </c>
      <c r="N92" s="15">
        <f>Catalog!Q65</f>
        <v/>
      </c>
      <c r="O92" s="15">
        <f>Catalog!AF65</f>
        <v/>
      </c>
    </row>
    <row r="93">
      <c r="A93" s="15">
        <f>Catalog!D66</f>
        <v/>
      </c>
      <c r="B93" s="15">
        <f>Catalog!F66</f>
        <v/>
      </c>
      <c r="C93" s="15">
        <f>IF(Catalog!I66="","",Catalog!I66)&amp;IF(AND(Catalog!I66&lt;&gt;"",Catalog!J66&lt;&gt;""),"; ","")&amp;IF(Catalog!J66="","",Catalog!J66)</f>
        <v/>
      </c>
      <c r="D93" s="15">
        <f>Catalog!P66</f>
        <v/>
      </c>
      <c r="E93" s="15">
        <f>Catalog!R66</f>
        <v/>
      </c>
      <c r="F93" s="15">
        <f>Catalog!M66</f>
        <v/>
      </c>
      <c r="G93" s="15">
        <f>Catalog!K66</f>
        <v/>
      </c>
      <c r="H93" s="15">
        <f>IF(Catalog!S66&lt;&gt;"","ISBN:"&amp;Catalog!S66,IF(Catalog!T66&lt;&gt;"","ISSN:"&amp;Catalog!T66,""))</f>
        <v/>
      </c>
      <c r="I93" s="15">
        <f>Catalog!B66</f>
        <v/>
      </c>
      <c r="J93" s="15">
        <f>Catalog!L66</f>
        <v/>
      </c>
      <c r="K93" s="15">
        <f>IF(Catalog!AG66&lt;&gt;"",Catalog!AG66,Catalog!AE66)</f>
        <v/>
      </c>
      <c r="L93" s="15">
        <f>Catalog!AD66</f>
        <v/>
      </c>
      <c r="M93" s="15">
        <f>Catalog!V66</f>
        <v/>
      </c>
      <c r="N93" s="15">
        <f>Catalog!Q66</f>
        <v/>
      </c>
      <c r="O93" s="15">
        <f>Catalog!AF66</f>
        <v/>
      </c>
    </row>
    <row r="94">
      <c r="A94" s="15">
        <f>Catalog!D67</f>
        <v/>
      </c>
      <c r="B94" s="15">
        <f>Catalog!F67</f>
        <v/>
      </c>
      <c r="C94" s="15">
        <f>IF(Catalog!I67="","",Catalog!I67)&amp;IF(AND(Catalog!I67&lt;&gt;"",Catalog!J67&lt;&gt;""),"; ","")&amp;IF(Catalog!J67="","",Catalog!J67)</f>
        <v/>
      </c>
      <c r="D94" s="15">
        <f>Catalog!P67</f>
        <v/>
      </c>
      <c r="E94" s="15">
        <f>Catalog!R67</f>
        <v/>
      </c>
      <c r="F94" s="15">
        <f>Catalog!M67</f>
        <v/>
      </c>
      <c r="G94" s="15">
        <f>Catalog!K67</f>
        <v/>
      </c>
      <c r="H94" s="15">
        <f>IF(Catalog!S67&lt;&gt;"","ISBN:"&amp;Catalog!S67,IF(Catalog!T67&lt;&gt;"","ISSN:"&amp;Catalog!T67,""))</f>
        <v/>
      </c>
      <c r="I94" s="15">
        <f>Catalog!B67</f>
        <v/>
      </c>
      <c r="J94" s="15">
        <f>Catalog!L67</f>
        <v/>
      </c>
      <c r="K94" s="15">
        <f>IF(Catalog!AG67&lt;&gt;"",Catalog!AG67,Catalog!AE67)</f>
        <v/>
      </c>
      <c r="L94" s="15">
        <f>Catalog!AD67</f>
        <v/>
      </c>
      <c r="M94" s="15">
        <f>Catalog!V67</f>
        <v/>
      </c>
      <c r="N94" s="15">
        <f>Catalog!Q67</f>
        <v/>
      </c>
      <c r="O94" s="15">
        <f>Catalog!AF67</f>
        <v/>
      </c>
    </row>
    <row r="95">
      <c r="A95" s="15">
        <f>Catalog!D68</f>
        <v/>
      </c>
      <c r="B95" s="15">
        <f>Catalog!F68</f>
        <v/>
      </c>
      <c r="C95" s="15">
        <f>IF(Catalog!I68="","",Catalog!I68)&amp;IF(AND(Catalog!I68&lt;&gt;"",Catalog!J68&lt;&gt;""),"; ","")&amp;IF(Catalog!J68="","",Catalog!J68)</f>
        <v/>
      </c>
      <c r="D95" s="15">
        <f>Catalog!P68</f>
        <v/>
      </c>
      <c r="E95" s="15">
        <f>Catalog!R68</f>
        <v/>
      </c>
      <c r="F95" s="15">
        <f>Catalog!M68</f>
        <v/>
      </c>
      <c r="G95" s="15">
        <f>Catalog!K68</f>
        <v/>
      </c>
      <c r="H95" s="15">
        <f>IF(Catalog!S68&lt;&gt;"","ISBN:"&amp;Catalog!S68,IF(Catalog!T68&lt;&gt;"","ISSN:"&amp;Catalog!T68,""))</f>
        <v/>
      </c>
      <c r="I95" s="15">
        <f>Catalog!B68</f>
        <v/>
      </c>
      <c r="J95" s="15">
        <f>Catalog!L68</f>
        <v/>
      </c>
      <c r="K95" s="15">
        <f>IF(Catalog!AG68&lt;&gt;"",Catalog!AG68,Catalog!AE68)</f>
        <v/>
      </c>
      <c r="L95" s="15">
        <f>Catalog!AD68</f>
        <v/>
      </c>
      <c r="M95" s="15">
        <f>Catalog!V68</f>
        <v/>
      </c>
      <c r="N95" s="15">
        <f>Catalog!Q68</f>
        <v/>
      </c>
      <c r="O95" s="15">
        <f>Catalog!AF68</f>
        <v/>
      </c>
    </row>
    <row r="96">
      <c r="A96" s="15">
        <f>Catalog!D69</f>
        <v/>
      </c>
      <c r="B96" s="15">
        <f>Catalog!F69</f>
        <v/>
      </c>
      <c r="C96" s="15">
        <f>IF(Catalog!I69="","",Catalog!I69)&amp;IF(AND(Catalog!I69&lt;&gt;"",Catalog!J69&lt;&gt;""),"; ","")&amp;IF(Catalog!J69="","",Catalog!J69)</f>
        <v/>
      </c>
      <c r="D96" s="15">
        <f>Catalog!P69</f>
        <v/>
      </c>
      <c r="E96" s="15">
        <f>Catalog!R69</f>
        <v/>
      </c>
      <c r="F96" s="15">
        <f>Catalog!M69</f>
        <v/>
      </c>
      <c r="G96" s="15">
        <f>Catalog!K69</f>
        <v/>
      </c>
      <c r="H96" s="15">
        <f>IF(Catalog!S69&lt;&gt;"","ISBN:"&amp;Catalog!S69,IF(Catalog!T69&lt;&gt;"","ISSN:"&amp;Catalog!T69,""))</f>
        <v/>
      </c>
      <c r="I96" s="15">
        <f>Catalog!B69</f>
        <v/>
      </c>
      <c r="J96" s="15">
        <f>Catalog!L69</f>
        <v/>
      </c>
      <c r="K96" s="15">
        <f>IF(Catalog!AG69&lt;&gt;"",Catalog!AG69,Catalog!AE69)</f>
        <v/>
      </c>
      <c r="L96" s="15">
        <f>Catalog!AD69</f>
        <v/>
      </c>
      <c r="M96" s="15">
        <f>Catalog!V69</f>
        <v/>
      </c>
      <c r="N96" s="15">
        <f>Catalog!Q69</f>
        <v/>
      </c>
      <c r="O96" s="15">
        <f>Catalog!AF69</f>
        <v/>
      </c>
    </row>
    <row r="97">
      <c r="A97" s="15">
        <f>Catalog!D70</f>
        <v/>
      </c>
      <c r="B97" s="15">
        <f>Catalog!F70</f>
        <v/>
      </c>
      <c r="C97" s="15">
        <f>IF(Catalog!I70="","",Catalog!I70)&amp;IF(AND(Catalog!I70&lt;&gt;"",Catalog!J70&lt;&gt;""),"; ","")&amp;IF(Catalog!J70="","",Catalog!J70)</f>
        <v/>
      </c>
      <c r="D97" s="15">
        <f>Catalog!P70</f>
        <v/>
      </c>
      <c r="E97" s="15">
        <f>Catalog!R70</f>
        <v/>
      </c>
      <c r="F97" s="15">
        <f>Catalog!M70</f>
        <v/>
      </c>
      <c r="G97" s="15">
        <f>Catalog!K70</f>
        <v/>
      </c>
      <c r="H97" s="15">
        <f>IF(Catalog!S70&lt;&gt;"","ISBN:"&amp;Catalog!S70,IF(Catalog!T70&lt;&gt;"","ISSN:"&amp;Catalog!T70,""))</f>
        <v/>
      </c>
      <c r="I97" s="15">
        <f>Catalog!B70</f>
        <v/>
      </c>
      <c r="J97" s="15">
        <f>Catalog!L70</f>
        <v/>
      </c>
      <c r="K97" s="15">
        <f>IF(Catalog!AG70&lt;&gt;"",Catalog!AG70,Catalog!AE70)</f>
        <v/>
      </c>
      <c r="L97" s="15">
        <f>Catalog!AD70</f>
        <v/>
      </c>
      <c r="M97" s="15">
        <f>Catalog!V70</f>
        <v/>
      </c>
      <c r="N97" s="15">
        <f>Catalog!Q70</f>
        <v/>
      </c>
      <c r="O97" s="15">
        <f>Catalog!AF70</f>
        <v/>
      </c>
    </row>
    <row r="98">
      <c r="A98" s="15">
        <f>Catalog!D71</f>
        <v/>
      </c>
      <c r="B98" s="15">
        <f>Catalog!F71</f>
        <v/>
      </c>
      <c r="C98" s="15">
        <f>IF(Catalog!I71="","",Catalog!I71)&amp;IF(AND(Catalog!I71&lt;&gt;"",Catalog!J71&lt;&gt;""),"; ","")&amp;IF(Catalog!J71="","",Catalog!J71)</f>
        <v/>
      </c>
      <c r="D98" s="15">
        <f>Catalog!P71</f>
        <v/>
      </c>
      <c r="E98" s="15">
        <f>Catalog!R71</f>
        <v/>
      </c>
      <c r="F98" s="15">
        <f>Catalog!M71</f>
        <v/>
      </c>
      <c r="G98" s="15">
        <f>Catalog!K71</f>
        <v/>
      </c>
      <c r="H98" s="15">
        <f>IF(Catalog!S71&lt;&gt;"","ISBN:"&amp;Catalog!S71,IF(Catalog!T71&lt;&gt;"","ISSN:"&amp;Catalog!T71,""))</f>
        <v/>
      </c>
      <c r="I98" s="15">
        <f>Catalog!B71</f>
        <v/>
      </c>
      <c r="J98" s="15">
        <f>Catalog!L71</f>
        <v/>
      </c>
      <c r="K98" s="15">
        <f>IF(Catalog!AG71&lt;&gt;"",Catalog!AG71,Catalog!AE71)</f>
        <v/>
      </c>
      <c r="L98" s="15">
        <f>Catalog!AD71</f>
        <v/>
      </c>
      <c r="M98" s="15">
        <f>Catalog!V71</f>
        <v/>
      </c>
      <c r="N98" s="15">
        <f>Catalog!Q71</f>
        <v/>
      </c>
      <c r="O98" s="15">
        <f>Catalog!AF71</f>
        <v/>
      </c>
    </row>
    <row r="99">
      <c r="A99" s="15">
        <f>Catalog!D72</f>
        <v/>
      </c>
      <c r="B99" s="15">
        <f>Catalog!F72</f>
        <v/>
      </c>
      <c r="C99" s="15">
        <f>IF(Catalog!I72="","",Catalog!I72)&amp;IF(AND(Catalog!I72&lt;&gt;"",Catalog!J72&lt;&gt;""),"; ","")&amp;IF(Catalog!J72="","",Catalog!J72)</f>
        <v/>
      </c>
      <c r="D99" s="15">
        <f>Catalog!P72</f>
        <v/>
      </c>
      <c r="E99" s="15">
        <f>Catalog!R72</f>
        <v/>
      </c>
      <c r="F99" s="15">
        <f>Catalog!M72</f>
        <v/>
      </c>
      <c r="G99" s="15">
        <f>Catalog!K72</f>
        <v/>
      </c>
      <c r="H99" s="15">
        <f>IF(Catalog!S72&lt;&gt;"","ISBN:"&amp;Catalog!S72,IF(Catalog!T72&lt;&gt;"","ISSN:"&amp;Catalog!T72,""))</f>
        <v/>
      </c>
      <c r="I99" s="15">
        <f>Catalog!B72</f>
        <v/>
      </c>
      <c r="J99" s="15">
        <f>Catalog!L72</f>
        <v/>
      </c>
      <c r="K99" s="15">
        <f>IF(Catalog!AG72&lt;&gt;"",Catalog!AG72,Catalog!AE72)</f>
        <v/>
      </c>
      <c r="L99" s="15">
        <f>Catalog!AD72</f>
        <v/>
      </c>
      <c r="M99" s="15">
        <f>Catalog!V72</f>
        <v/>
      </c>
      <c r="N99" s="15">
        <f>Catalog!Q72</f>
        <v/>
      </c>
      <c r="O99" s="15">
        <f>Catalog!AF72</f>
        <v/>
      </c>
    </row>
    <row r="100">
      <c r="A100" s="15">
        <f>Catalog!D73</f>
        <v/>
      </c>
      <c r="B100" s="15">
        <f>Catalog!F73</f>
        <v/>
      </c>
      <c r="C100" s="15">
        <f>IF(Catalog!I73="","",Catalog!I73)&amp;IF(AND(Catalog!I73&lt;&gt;"",Catalog!J73&lt;&gt;""),"; ","")&amp;IF(Catalog!J73="","",Catalog!J73)</f>
        <v/>
      </c>
      <c r="D100" s="15">
        <f>Catalog!P73</f>
        <v/>
      </c>
      <c r="E100" s="15">
        <f>Catalog!R73</f>
        <v/>
      </c>
      <c r="F100" s="15">
        <f>Catalog!M73</f>
        <v/>
      </c>
      <c r="G100" s="15">
        <f>Catalog!K73</f>
        <v/>
      </c>
      <c r="H100" s="15">
        <f>IF(Catalog!S73&lt;&gt;"","ISBN:"&amp;Catalog!S73,IF(Catalog!T73&lt;&gt;"","ISSN:"&amp;Catalog!T73,""))</f>
        <v/>
      </c>
      <c r="I100" s="15">
        <f>Catalog!B73</f>
        <v/>
      </c>
      <c r="J100" s="15">
        <f>Catalog!L73</f>
        <v/>
      </c>
      <c r="K100" s="15">
        <f>IF(Catalog!AG73&lt;&gt;"",Catalog!AG73,Catalog!AE73)</f>
        <v/>
      </c>
      <c r="L100" s="15">
        <f>Catalog!AD73</f>
        <v/>
      </c>
      <c r="M100" s="15">
        <f>Catalog!V73</f>
        <v/>
      </c>
      <c r="N100" s="15">
        <f>Catalog!Q73</f>
        <v/>
      </c>
      <c r="O100" s="15">
        <f>Catalog!AF73</f>
        <v/>
      </c>
    </row>
    <row r="101">
      <c r="A101" s="15">
        <f>Catalog!D74</f>
        <v/>
      </c>
      <c r="B101" s="15">
        <f>Catalog!F74</f>
        <v/>
      </c>
      <c r="C101" s="15">
        <f>IF(Catalog!I74="","",Catalog!I74)&amp;IF(AND(Catalog!I74&lt;&gt;"",Catalog!J74&lt;&gt;""),"; ","")&amp;IF(Catalog!J74="","",Catalog!J74)</f>
        <v/>
      </c>
      <c r="D101" s="15">
        <f>Catalog!P74</f>
        <v/>
      </c>
      <c r="E101" s="15">
        <f>Catalog!R74</f>
        <v/>
      </c>
      <c r="F101" s="15">
        <f>Catalog!M74</f>
        <v/>
      </c>
      <c r="G101" s="15">
        <f>Catalog!K74</f>
        <v/>
      </c>
      <c r="H101" s="15">
        <f>IF(Catalog!S74&lt;&gt;"","ISBN:"&amp;Catalog!S74,IF(Catalog!T74&lt;&gt;"","ISSN:"&amp;Catalog!T74,""))</f>
        <v/>
      </c>
      <c r="I101" s="15">
        <f>Catalog!B74</f>
        <v/>
      </c>
      <c r="J101" s="15">
        <f>Catalog!L74</f>
        <v/>
      </c>
      <c r="K101" s="15">
        <f>IF(Catalog!AG74&lt;&gt;"",Catalog!AG74,Catalog!AE74)</f>
        <v/>
      </c>
      <c r="L101" s="15">
        <f>Catalog!AD74</f>
        <v/>
      </c>
      <c r="M101" s="15">
        <f>Catalog!V74</f>
        <v/>
      </c>
      <c r="N101" s="15">
        <f>Catalog!Q74</f>
        <v/>
      </c>
      <c r="O101" s="15">
        <f>Catalog!AF74</f>
        <v/>
      </c>
    </row>
    <row r="102">
      <c r="A102" s="15">
        <f>Catalog!D75</f>
        <v/>
      </c>
      <c r="B102" s="15">
        <f>Catalog!F75</f>
        <v/>
      </c>
      <c r="C102" s="15">
        <f>IF(Catalog!I75="","",Catalog!I75)&amp;IF(AND(Catalog!I75&lt;&gt;"",Catalog!J75&lt;&gt;""),"; ","")&amp;IF(Catalog!J75="","",Catalog!J75)</f>
        <v/>
      </c>
      <c r="D102" s="15">
        <f>Catalog!P75</f>
        <v/>
      </c>
      <c r="E102" s="15">
        <f>Catalog!R75</f>
        <v/>
      </c>
      <c r="F102" s="15">
        <f>Catalog!M75</f>
        <v/>
      </c>
      <c r="G102" s="15">
        <f>Catalog!K75</f>
        <v/>
      </c>
      <c r="H102" s="15">
        <f>IF(Catalog!S75&lt;&gt;"","ISBN:"&amp;Catalog!S75,IF(Catalog!T75&lt;&gt;"","ISSN:"&amp;Catalog!T75,""))</f>
        <v/>
      </c>
      <c r="I102" s="15">
        <f>Catalog!B75</f>
        <v/>
      </c>
      <c r="J102" s="15">
        <f>Catalog!L75</f>
        <v/>
      </c>
      <c r="K102" s="15">
        <f>IF(Catalog!AG75&lt;&gt;"",Catalog!AG75,Catalog!AE75)</f>
        <v/>
      </c>
      <c r="L102" s="15">
        <f>Catalog!AD75</f>
        <v/>
      </c>
      <c r="M102" s="15">
        <f>Catalog!V75</f>
        <v/>
      </c>
      <c r="N102" s="15">
        <f>Catalog!Q75</f>
        <v/>
      </c>
      <c r="O102" s="15">
        <f>Catalog!AF75</f>
        <v/>
      </c>
    </row>
    <row r="103">
      <c r="A103" s="15">
        <f>Catalog!D76</f>
        <v/>
      </c>
      <c r="B103" s="15">
        <f>Catalog!F76</f>
        <v/>
      </c>
      <c r="C103" s="15">
        <f>IF(Catalog!I76="","",Catalog!I76)&amp;IF(AND(Catalog!I76&lt;&gt;"",Catalog!J76&lt;&gt;""),"; ","")&amp;IF(Catalog!J76="","",Catalog!J76)</f>
        <v/>
      </c>
      <c r="D103" s="15">
        <f>Catalog!P76</f>
        <v/>
      </c>
      <c r="E103" s="15">
        <f>Catalog!R76</f>
        <v/>
      </c>
      <c r="F103" s="15">
        <f>Catalog!M76</f>
        <v/>
      </c>
      <c r="G103" s="15">
        <f>Catalog!K76</f>
        <v/>
      </c>
      <c r="H103" s="15">
        <f>IF(Catalog!S76&lt;&gt;"","ISBN:"&amp;Catalog!S76,IF(Catalog!T76&lt;&gt;"","ISSN:"&amp;Catalog!T76,""))</f>
        <v/>
      </c>
      <c r="I103" s="15">
        <f>Catalog!B76</f>
        <v/>
      </c>
      <c r="J103" s="15">
        <f>Catalog!L76</f>
        <v/>
      </c>
      <c r="K103" s="15">
        <f>IF(Catalog!AG76&lt;&gt;"",Catalog!AG76,Catalog!AE76)</f>
        <v/>
      </c>
      <c r="L103" s="15">
        <f>Catalog!AD76</f>
        <v/>
      </c>
      <c r="M103" s="15">
        <f>Catalog!V76</f>
        <v/>
      </c>
      <c r="N103" s="15">
        <f>Catalog!Q76</f>
        <v/>
      </c>
      <c r="O103" s="15">
        <f>Catalog!AF76</f>
        <v/>
      </c>
    </row>
    <row r="104">
      <c r="A104" s="15">
        <f>Catalog!D77</f>
        <v/>
      </c>
      <c r="B104" s="15">
        <f>Catalog!F77</f>
        <v/>
      </c>
      <c r="C104" s="15">
        <f>IF(Catalog!I77="","",Catalog!I77)&amp;IF(AND(Catalog!I77&lt;&gt;"",Catalog!J77&lt;&gt;""),"; ","")&amp;IF(Catalog!J77="","",Catalog!J77)</f>
        <v/>
      </c>
      <c r="D104" s="15">
        <f>Catalog!P77</f>
        <v/>
      </c>
      <c r="E104" s="15">
        <f>Catalog!R77</f>
        <v/>
      </c>
      <c r="F104" s="15">
        <f>Catalog!M77</f>
        <v/>
      </c>
      <c r="G104" s="15">
        <f>Catalog!K77</f>
        <v/>
      </c>
      <c r="H104" s="15">
        <f>IF(Catalog!S77&lt;&gt;"","ISBN:"&amp;Catalog!S77,IF(Catalog!T77&lt;&gt;"","ISSN:"&amp;Catalog!T77,""))</f>
        <v/>
      </c>
      <c r="I104" s="15">
        <f>Catalog!B77</f>
        <v/>
      </c>
      <c r="J104" s="15">
        <f>Catalog!L77</f>
        <v/>
      </c>
      <c r="K104" s="15">
        <f>IF(Catalog!AG77&lt;&gt;"",Catalog!AG77,Catalog!AE77)</f>
        <v/>
      </c>
      <c r="L104" s="15">
        <f>Catalog!AD77</f>
        <v/>
      </c>
      <c r="M104" s="15">
        <f>Catalog!V77</f>
        <v/>
      </c>
      <c r="N104" s="15">
        <f>Catalog!Q77</f>
        <v/>
      </c>
      <c r="O104" s="15">
        <f>Catalog!AF77</f>
        <v/>
      </c>
    </row>
    <row r="105">
      <c r="A105" s="15">
        <f>Catalog!D78</f>
        <v/>
      </c>
      <c r="B105" s="15">
        <f>Catalog!F78</f>
        <v/>
      </c>
      <c r="C105" s="15">
        <f>IF(Catalog!I78="","",Catalog!I78)&amp;IF(AND(Catalog!I78&lt;&gt;"",Catalog!J78&lt;&gt;""),"; ","")&amp;IF(Catalog!J78="","",Catalog!J78)</f>
        <v/>
      </c>
      <c r="D105" s="15">
        <f>Catalog!P78</f>
        <v/>
      </c>
      <c r="E105" s="15">
        <f>Catalog!R78</f>
        <v/>
      </c>
      <c r="F105" s="15">
        <f>Catalog!M78</f>
        <v/>
      </c>
      <c r="G105" s="15">
        <f>Catalog!K78</f>
        <v/>
      </c>
      <c r="H105" s="15">
        <f>IF(Catalog!S78&lt;&gt;"","ISBN:"&amp;Catalog!S78,IF(Catalog!T78&lt;&gt;"","ISSN:"&amp;Catalog!T78,""))</f>
        <v/>
      </c>
      <c r="I105" s="15">
        <f>Catalog!B78</f>
        <v/>
      </c>
      <c r="J105" s="15">
        <f>Catalog!L78</f>
        <v/>
      </c>
      <c r="K105" s="15">
        <f>IF(Catalog!AG78&lt;&gt;"",Catalog!AG78,Catalog!AE78)</f>
        <v/>
      </c>
      <c r="L105" s="15">
        <f>Catalog!AD78</f>
        <v/>
      </c>
      <c r="M105" s="15">
        <f>Catalog!V78</f>
        <v/>
      </c>
      <c r="N105" s="15">
        <f>Catalog!Q78</f>
        <v/>
      </c>
      <c r="O105" s="15">
        <f>Catalog!AF78</f>
        <v/>
      </c>
    </row>
    <row r="106">
      <c r="A106" s="15">
        <f>Catalog!D79</f>
        <v/>
      </c>
      <c r="B106" s="15">
        <f>Catalog!F79</f>
        <v/>
      </c>
      <c r="C106" s="15">
        <f>IF(Catalog!I79="","",Catalog!I79)&amp;IF(AND(Catalog!I79&lt;&gt;"",Catalog!J79&lt;&gt;""),"; ","")&amp;IF(Catalog!J79="","",Catalog!J79)</f>
        <v/>
      </c>
      <c r="D106" s="15">
        <f>Catalog!P79</f>
        <v/>
      </c>
      <c r="E106" s="15">
        <f>Catalog!R79</f>
        <v/>
      </c>
      <c r="F106" s="15">
        <f>Catalog!M79</f>
        <v/>
      </c>
      <c r="G106" s="15">
        <f>Catalog!K79</f>
        <v/>
      </c>
      <c r="H106" s="15">
        <f>IF(Catalog!S79&lt;&gt;"","ISBN:"&amp;Catalog!S79,IF(Catalog!T79&lt;&gt;"","ISSN:"&amp;Catalog!T79,""))</f>
        <v/>
      </c>
      <c r="I106" s="15">
        <f>Catalog!B79</f>
        <v/>
      </c>
      <c r="J106" s="15">
        <f>Catalog!L79</f>
        <v/>
      </c>
      <c r="K106" s="15">
        <f>IF(Catalog!AG79&lt;&gt;"",Catalog!AG79,Catalog!AE79)</f>
        <v/>
      </c>
      <c r="L106" s="15">
        <f>Catalog!AD79</f>
        <v/>
      </c>
      <c r="M106" s="15">
        <f>Catalog!V79</f>
        <v/>
      </c>
      <c r="N106" s="15">
        <f>Catalog!Q79</f>
        <v/>
      </c>
      <c r="O106" s="15">
        <f>Catalog!AF79</f>
        <v/>
      </c>
    </row>
    <row r="107">
      <c r="A107" s="15">
        <f>Catalog!D80</f>
        <v/>
      </c>
      <c r="B107" s="15">
        <f>Catalog!F80</f>
        <v/>
      </c>
      <c r="C107" s="15">
        <f>IF(Catalog!I80="","",Catalog!I80)&amp;IF(AND(Catalog!I80&lt;&gt;"",Catalog!J80&lt;&gt;""),"; ","")&amp;IF(Catalog!J80="","",Catalog!J80)</f>
        <v/>
      </c>
      <c r="D107" s="15">
        <f>Catalog!P80</f>
        <v/>
      </c>
      <c r="E107" s="15">
        <f>Catalog!R80</f>
        <v/>
      </c>
      <c r="F107" s="15">
        <f>Catalog!M80</f>
        <v/>
      </c>
      <c r="G107" s="15">
        <f>Catalog!K80</f>
        <v/>
      </c>
      <c r="H107" s="15">
        <f>IF(Catalog!S80&lt;&gt;"","ISBN:"&amp;Catalog!S80,IF(Catalog!T80&lt;&gt;"","ISSN:"&amp;Catalog!T80,""))</f>
        <v/>
      </c>
      <c r="I107" s="15">
        <f>Catalog!B80</f>
        <v/>
      </c>
      <c r="J107" s="15">
        <f>Catalog!L80</f>
        <v/>
      </c>
      <c r="K107" s="15">
        <f>IF(Catalog!AG80&lt;&gt;"",Catalog!AG80,Catalog!AE80)</f>
        <v/>
      </c>
      <c r="L107" s="15">
        <f>Catalog!AD80</f>
        <v/>
      </c>
      <c r="M107" s="15">
        <f>Catalog!V80</f>
        <v/>
      </c>
      <c r="N107" s="15">
        <f>Catalog!Q80</f>
        <v/>
      </c>
      <c r="O107" s="15">
        <f>Catalog!AF80</f>
        <v/>
      </c>
    </row>
    <row r="108">
      <c r="A108" s="15">
        <f>Catalog!D81</f>
        <v/>
      </c>
      <c r="B108" s="15">
        <f>Catalog!F81</f>
        <v/>
      </c>
      <c r="C108" s="15">
        <f>IF(Catalog!I81="","",Catalog!I81)&amp;IF(AND(Catalog!I81&lt;&gt;"",Catalog!J81&lt;&gt;""),"; ","")&amp;IF(Catalog!J81="","",Catalog!J81)</f>
        <v/>
      </c>
      <c r="D108" s="15">
        <f>Catalog!P81</f>
        <v/>
      </c>
      <c r="E108" s="15">
        <f>Catalog!R81</f>
        <v/>
      </c>
      <c r="F108" s="15">
        <f>Catalog!M81</f>
        <v/>
      </c>
      <c r="G108" s="15">
        <f>Catalog!K81</f>
        <v/>
      </c>
      <c r="H108" s="15">
        <f>IF(Catalog!S81&lt;&gt;"","ISBN:"&amp;Catalog!S81,IF(Catalog!T81&lt;&gt;"","ISSN:"&amp;Catalog!T81,""))</f>
        <v/>
      </c>
      <c r="I108" s="15">
        <f>Catalog!B81</f>
        <v/>
      </c>
      <c r="J108" s="15">
        <f>Catalog!L81</f>
        <v/>
      </c>
      <c r="K108" s="15">
        <f>IF(Catalog!AG81&lt;&gt;"",Catalog!AG81,Catalog!AE81)</f>
        <v/>
      </c>
      <c r="L108" s="15">
        <f>Catalog!AD81</f>
        <v/>
      </c>
      <c r="M108" s="15">
        <f>Catalog!V81</f>
        <v/>
      </c>
      <c r="N108" s="15">
        <f>Catalog!Q81</f>
        <v/>
      </c>
      <c r="O108" s="15">
        <f>Catalog!AF81</f>
        <v/>
      </c>
    </row>
    <row r="109">
      <c r="A109" s="15">
        <f>Catalog!D82</f>
        <v/>
      </c>
      <c r="B109" s="15">
        <f>Catalog!F82</f>
        <v/>
      </c>
      <c r="C109" s="15">
        <f>IF(Catalog!I82="","",Catalog!I82)&amp;IF(AND(Catalog!I82&lt;&gt;"",Catalog!J82&lt;&gt;""),"; ","")&amp;IF(Catalog!J82="","",Catalog!J82)</f>
        <v/>
      </c>
      <c r="D109" s="15">
        <f>Catalog!P82</f>
        <v/>
      </c>
      <c r="E109" s="15">
        <f>Catalog!R82</f>
        <v/>
      </c>
      <c r="F109" s="15">
        <f>Catalog!M82</f>
        <v/>
      </c>
      <c r="G109" s="15">
        <f>Catalog!K82</f>
        <v/>
      </c>
      <c r="H109" s="15">
        <f>IF(Catalog!S82&lt;&gt;"","ISBN:"&amp;Catalog!S82,IF(Catalog!T82&lt;&gt;"","ISSN:"&amp;Catalog!T82,""))</f>
        <v/>
      </c>
      <c r="I109" s="15">
        <f>Catalog!B82</f>
        <v/>
      </c>
      <c r="J109" s="15">
        <f>Catalog!L82</f>
        <v/>
      </c>
      <c r="K109" s="15">
        <f>IF(Catalog!AG82&lt;&gt;"",Catalog!AG82,Catalog!AE82)</f>
        <v/>
      </c>
      <c r="L109" s="15">
        <f>Catalog!AD82</f>
        <v/>
      </c>
      <c r="M109" s="15">
        <f>Catalog!V82</f>
        <v/>
      </c>
      <c r="N109" s="15">
        <f>Catalog!Q82</f>
        <v/>
      </c>
      <c r="O109" s="15">
        <f>Catalog!AF82</f>
        <v/>
      </c>
    </row>
    <row r="110">
      <c r="A110" s="15">
        <f>Catalog!D83</f>
        <v/>
      </c>
      <c r="B110" s="15">
        <f>Catalog!F83</f>
        <v/>
      </c>
      <c r="C110" s="15">
        <f>IF(Catalog!I83="","",Catalog!I83)&amp;IF(AND(Catalog!I83&lt;&gt;"",Catalog!J83&lt;&gt;""),"; ","")&amp;IF(Catalog!J83="","",Catalog!J83)</f>
        <v/>
      </c>
      <c r="D110" s="15">
        <f>Catalog!P83</f>
        <v/>
      </c>
      <c r="E110" s="15">
        <f>Catalog!R83</f>
        <v/>
      </c>
      <c r="F110" s="15">
        <f>Catalog!M83</f>
        <v/>
      </c>
      <c r="G110" s="15">
        <f>Catalog!K83</f>
        <v/>
      </c>
      <c r="H110" s="15">
        <f>IF(Catalog!S83&lt;&gt;"","ISBN:"&amp;Catalog!S83,IF(Catalog!T83&lt;&gt;"","ISSN:"&amp;Catalog!T83,""))</f>
        <v/>
      </c>
      <c r="I110" s="15">
        <f>Catalog!B83</f>
        <v/>
      </c>
      <c r="J110" s="15">
        <f>Catalog!L83</f>
        <v/>
      </c>
      <c r="K110" s="15">
        <f>IF(Catalog!AG83&lt;&gt;"",Catalog!AG83,Catalog!AE83)</f>
        <v/>
      </c>
      <c r="L110" s="15">
        <f>Catalog!AD83</f>
        <v/>
      </c>
      <c r="M110" s="15">
        <f>Catalog!V83</f>
        <v/>
      </c>
      <c r="N110" s="15">
        <f>Catalog!Q83</f>
        <v/>
      </c>
      <c r="O110" s="15">
        <f>Catalog!AF83</f>
        <v/>
      </c>
    </row>
    <row r="111">
      <c r="A111" s="15">
        <f>Catalog!D84</f>
        <v/>
      </c>
      <c r="B111" s="15">
        <f>Catalog!F84</f>
        <v/>
      </c>
      <c r="C111" s="15">
        <f>IF(Catalog!I84="","",Catalog!I84)&amp;IF(AND(Catalog!I84&lt;&gt;"",Catalog!J84&lt;&gt;""),"; ","")&amp;IF(Catalog!J84="","",Catalog!J84)</f>
        <v/>
      </c>
      <c r="D111" s="15">
        <f>Catalog!P84</f>
        <v/>
      </c>
      <c r="E111" s="15">
        <f>Catalog!R84</f>
        <v/>
      </c>
      <c r="F111" s="15">
        <f>Catalog!M84</f>
        <v/>
      </c>
      <c r="G111" s="15">
        <f>Catalog!K84</f>
        <v/>
      </c>
      <c r="H111" s="15">
        <f>IF(Catalog!S84&lt;&gt;"","ISBN:"&amp;Catalog!S84,IF(Catalog!T84&lt;&gt;"","ISSN:"&amp;Catalog!T84,""))</f>
        <v/>
      </c>
      <c r="I111" s="15">
        <f>Catalog!B84</f>
        <v/>
      </c>
      <c r="J111" s="15">
        <f>Catalog!L84</f>
        <v/>
      </c>
      <c r="K111" s="15">
        <f>IF(Catalog!AG84&lt;&gt;"",Catalog!AG84,Catalog!AE84)</f>
        <v/>
      </c>
      <c r="L111" s="15">
        <f>Catalog!AD84</f>
        <v/>
      </c>
      <c r="M111" s="15">
        <f>Catalog!V84</f>
        <v/>
      </c>
      <c r="N111" s="15">
        <f>Catalog!Q84</f>
        <v/>
      </c>
      <c r="O111" s="15">
        <f>Catalog!AF84</f>
        <v/>
      </c>
    </row>
    <row r="112">
      <c r="A112" s="15">
        <f>Catalog!D85</f>
        <v/>
      </c>
      <c r="B112" s="15">
        <f>Catalog!F85</f>
        <v/>
      </c>
      <c r="C112" s="15">
        <f>IF(Catalog!I85="","",Catalog!I85)&amp;IF(AND(Catalog!I85&lt;&gt;"",Catalog!J85&lt;&gt;""),"; ","")&amp;IF(Catalog!J85="","",Catalog!J85)</f>
        <v/>
      </c>
      <c r="D112" s="15">
        <f>Catalog!P85</f>
        <v/>
      </c>
      <c r="E112" s="15">
        <f>Catalog!R85</f>
        <v/>
      </c>
      <c r="F112" s="15">
        <f>Catalog!M85</f>
        <v/>
      </c>
      <c r="G112" s="15">
        <f>Catalog!K85</f>
        <v/>
      </c>
      <c r="H112" s="15">
        <f>IF(Catalog!S85&lt;&gt;"","ISBN:"&amp;Catalog!S85,IF(Catalog!T85&lt;&gt;"","ISSN:"&amp;Catalog!T85,""))</f>
        <v/>
      </c>
      <c r="I112" s="15">
        <f>Catalog!B85</f>
        <v/>
      </c>
      <c r="J112" s="15">
        <f>Catalog!L85</f>
        <v/>
      </c>
      <c r="K112" s="15">
        <f>IF(Catalog!AG85&lt;&gt;"",Catalog!AG85,Catalog!AE85)</f>
        <v/>
      </c>
      <c r="L112" s="15">
        <f>Catalog!AD85</f>
        <v/>
      </c>
      <c r="M112" s="15">
        <f>Catalog!V85</f>
        <v/>
      </c>
      <c r="N112" s="15">
        <f>Catalog!Q85</f>
        <v/>
      </c>
      <c r="O112" s="15">
        <f>Catalog!AF85</f>
        <v/>
      </c>
    </row>
    <row r="113">
      <c r="A113" s="15">
        <f>Catalog!D86</f>
        <v/>
      </c>
      <c r="B113" s="15">
        <f>Catalog!F86</f>
        <v/>
      </c>
      <c r="C113" s="15">
        <f>IF(Catalog!I86="","",Catalog!I86)&amp;IF(AND(Catalog!I86&lt;&gt;"",Catalog!J86&lt;&gt;""),"; ","")&amp;IF(Catalog!J86="","",Catalog!J86)</f>
        <v/>
      </c>
      <c r="D113" s="15">
        <f>Catalog!P86</f>
        <v/>
      </c>
      <c r="E113" s="15">
        <f>Catalog!R86</f>
        <v/>
      </c>
      <c r="F113" s="15">
        <f>Catalog!M86</f>
        <v/>
      </c>
      <c r="G113" s="15">
        <f>Catalog!K86</f>
        <v/>
      </c>
      <c r="H113" s="15">
        <f>IF(Catalog!S86&lt;&gt;"","ISBN:"&amp;Catalog!S86,IF(Catalog!T86&lt;&gt;"","ISSN:"&amp;Catalog!T86,""))</f>
        <v/>
      </c>
      <c r="I113" s="15">
        <f>Catalog!B86</f>
        <v/>
      </c>
      <c r="J113" s="15">
        <f>Catalog!L86</f>
        <v/>
      </c>
      <c r="K113" s="15">
        <f>IF(Catalog!AG86&lt;&gt;"",Catalog!AG86,Catalog!AE86)</f>
        <v/>
      </c>
      <c r="L113" s="15">
        <f>Catalog!AD86</f>
        <v/>
      </c>
      <c r="M113" s="15">
        <f>Catalog!V86</f>
        <v/>
      </c>
      <c r="N113" s="15">
        <f>Catalog!Q86</f>
        <v/>
      </c>
      <c r="O113" s="15">
        <f>Catalog!AF86</f>
        <v/>
      </c>
    </row>
    <row r="114">
      <c r="A114" s="15">
        <f>Catalog!D87</f>
        <v/>
      </c>
      <c r="B114" s="15">
        <f>Catalog!F87</f>
        <v/>
      </c>
      <c r="C114" s="15">
        <f>IF(Catalog!I87="","",Catalog!I87)&amp;IF(AND(Catalog!I87&lt;&gt;"",Catalog!J87&lt;&gt;""),"; ","")&amp;IF(Catalog!J87="","",Catalog!J87)</f>
        <v/>
      </c>
      <c r="D114" s="15">
        <f>Catalog!P87</f>
        <v/>
      </c>
      <c r="E114" s="15">
        <f>Catalog!R87</f>
        <v/>
      </c>
      <c r="F114" s="15">
        <f>Catalog!M87</f>
        <v/>
      </c>
      <c r="G114" s="15">
        <f>Catalog!K87</f>
        <v/>
      </c>
      <c r="H114" s="15">
        <f>IF(Catalog!S87&lt;&gt;"","ISBN:"&amp;Catalog!S87,IF(Catalog!T87&lt;&gt;"","ISSN:"&amp;Catalog!T87,""))</f>
        <v/>
      </c>
      <c r="I114" s="15">
        <f>Catalog!B87</f>
        <v/>
      </c>
      <c r="J114" s="15">
        <f>Catalog!L87</f>
        <v/>
      </c>
      <c r="K114" s="15">
        <f>IF(Catalog!AG87&lt;&gt;"",Catalog!AG87,Catalog!AE87)</f>
        <v/>
      </c>
      <c r="L114" s="15">
        <f>Catalog!AD87</f>
        <v/>
      </c>
      <c r="M114" s="15">
        <f>Catalog!V87</f>
        <v/>
      </c>
      <c r="N114" s="15">
        <f>Catalog!Q87</f>
        <v/>
      </c>
      <c r="O114" s="15">
        <f>Catalog!AF87</f>
        <v/>
      </c>
    </row>
    <row r="115">
      <c r="A115" s="15">
        <f>Catalog!D88</f>
        <v/>
      </c>
      <c r="B115" s="15">
        <f>Catalog!F88</f>
        <v/>
      </c>
      <c r="C115" s="15">
        <f>IF(Catalog!I88="","",Catalog!I88)&amp;IF(AND(Catalog!I88&lt;&gt;"",Catalog!J88&lt;&gt;""),"; ","")&amp;IF(Catalog!J88="","",Catalog!J88)</f>
        <v/>
      </c>
      <c r="D115" s="15">
        <f>Catalog!P88</f>
        <v/>
      </c>
      <c r="E115" s="15">
        <f>Catalog!R88</f>
        <v/>
      </c>
      <c r="F115" s="15">
        <f>Catalog!M88</f>
        <v/>
      </c>
      <c r="G115" s="15">
        <f>Catalog!K88</f>
        <v/>
      </c>
      <c r="H115" s="15">
        <f>IF(Catalog!S88&lt;&gt;"","ISBN:"&amp;Catalog!S88,IF(Catalog!T88&lt;&gt;"","ISSN:"&amp;Catalog!T88,""))</f>
        <v/>
      </c>
      <c r="I115" s="15">
        <f>Catalog!B88</f>
        <v/>
      </c>
      <c r="J115" s="15">
        <f>Catalog!L88</f>
        <v/>
      </c>
      <c r="K115" s="15">
        <f>IF(Catalog!AG88&lt;&gt;"",Catalog!AG88,Catalog!AE88)</f>
        <v/>
      </c>
      <c r="L115" s="15">
        <f>Catalog!AD88</f>
        <v/>
      </c>
      <c r="M115" s="15">
        <f>Catalog!V88</f>
        <v/>
      </c>
      <c r="N115" s="15">
        <f>Catalog!Q88</f>
        <v/>
      </c>
      <c r="O115" s="15">
        <f>Catalog!AF88</f>
        <v/>
      </c>
    </row>
    <row r="116">
      <c r="A116" s="15">
        <f>Catalog!D89</f>
        <v/>
      </c>
      <c r="B116" s="15">
        <f>Catalog!F89</f>
        <v/>
      </c>
      <c r="C116" s="15">
        <f>IF(Catalog!I89="","",Catalog!I89)&amp;IF(AND(Catalog!I89&lt;&gt;"",Catalog!J89&lt;&gt;""),"; ","")&amp;IF(Catalog!J89="","",Catalog!J89)</f>
        <v/>
      </c>
      <c r="D116" s="15">
        <f>Catalog!P89</f>
        <v/>
      </c>
      <c r="E116" s="15">
        <f>Catalog!R89</f>
        <v/>
      </c>
      <c r="F116" s="15">
        <f>Catalog!M89</f>
        <v/>
      </c>
      <c r="G116" s="15">
        <f>Catalog!K89</f>
        <v/>
      </c>
      <c r="H116" s="15">
        <f>IF(Catalog!S89&lt;&gt;"","ISBN:"&amp;Catalog!S89,IF(Catalog!T89&lt;&gt;"","ISSN:"&amp;Catalog!T89,""))</f>
        <v/>
      </c>
      <c r="I116" s="15">
        <f>Catalog!B89</f>
        <v/>
      </c>
      <c r="J116" s="15">
        <f>Catalog!L89</f>
        <v/>
      </c>
      <c r="K116" s="15">
        <f>IF(Catalog!AG89&lt;&gt;"",Catalog!AG89,Catalog!AE89)</f>
        <v/>
      </c>
      <c r="L116" s="15">
        <f>Catalog!AD89</f>
        <v/>
      </c>
      <c r="M116" s="15">
        <f>Catalog!V89</f>
        <v/>
      </c>
      <c r="N116" s="15">
        <f>Catalog!Q89</f>
        <v/>
      </c>
      <c r="O116" s="15">
        <f>Catalog!AF89</f>
        <v/>
      </c>
    </row>
    <row r="117">
      <c r="A117" s="15">
        <f>Catalog!D90</f>
        <v/>
      </c>
      <c r="B117" s="15">
        <f>Catalog!F90</f>
        <v/>
      </c>
      <c r="C117" s="15">
        <f>IF(Catalog!I90="","",Catalog!I90)&amp;IF(AND(Catalog!I90&lt;&gt;"",Catalog!J90&lt;&gt;""),"; ","")&amp;IF(Catalog!J90="","",Catalog!J90)</f>
        <v/>
      </c>
      <c r="D117" s="15">
        <f>Catalog!P90</f>
        <v/>
      </c>
      <c r="E117" s="15">
        <f>Catalog!R90</f>
        <v/>
      </c>
      <c r="F117" s="15">
        <f>Catalog!M90</f>
        <v/>
      </c>
      <c r="G117" s="15">
        <f>Catalog!K90</f>
        <v/>
      </c>
      <c r="H117" s="15">
        <f>IF(Catalog!S90&lt;&gt;"","ISBN:"&amp;Catalog!S90,IF(Catalog!T90&lt;&gt;"","ISSN:"&amp;Catalog!T90,""))</f>
        <v/>
      </c>
      <c r="I117" s="15">
        <f>Catalog!B90</f>
        <v/>
      </c>
      <c r="J117" s="15">
        <f>Catalog!L90</f>
        <v/>
      </c>
      <c r="K117" s="15">
        <f>IF(Catalog!AG90&lt;&gt;"",Catalog!AG90,Catalog!AE90)</f>
        <v/>
      </c>
      <c r="L117" s="15">
        <f>Catalog!AD90</f>
        <v/>
      </c>
      <c r="M117" s="15">
        <f>Catalog!V90</f>
        <v/>
      </c>
      <c r="N117" s="15">
        <f>Catalog!Q90</f>
        <v/>
      </c>
      <c r="O117" s="15">
        <f>Catalog!AF90</f>
        <v/>
      </c>
    </row>
    <row r="118">
      <c r="A118" s="15">
        <f>Catalog!D91</f>
        <v/>
      </c>
      <c r="B118" s="15">
        <f>Catalog!F91</f>
        <v/>
      </c>
      <c r="C118" s="15">
        <f>IF(Catalog!I91="","",Catalog!I91)&amp;IF(AND(Catalog!I91&lt;&gt;"",Catalog!J91&lt;&gt;""),"; ","")&amp;IF(Catalog!J91="","",Catalog!J91)</f>
        <v/>
      </c>
      <c r="D118" s="15">
        <f>Catalog!P91</f>
        <v/>
      </c>
      <c r="E118" s="15">
        <f>Catalog!R91</f>
        <v/>
      </c>
      <c r="F118" s="15">
        <f>Catalog!M91</f>
        <v/>
      </c>
      <c r="G118" s="15">
        <f>Catalog!K91</f>
        <v/>
      </c>
      <c r="H118" s="15">
        <f>IF(Catalog!S91&lt;&gt;"","ISBN:"&amp;Catalog!S91,IF(Catalog!T91&lt;&gt;"","ISSN:"&amp;Catalog!T91,""))</f>
        <v/>
      </c>
      <c r="I118" s="15">
        <f>Catalog!B91</f>
        <v/>
      </c>
      <c r="J118" s="15">
        <f>Catalog!L91</f>
        <v/>
      </c>
      <c r="K118" s="15">
        <f>IF(Catalog!AG91&lt;&gt;"",Catalog!AG91,Catalog!AE91)</f>
        <v/>
      </c>
      <c r="L118" s="15">
        <f>Catalog!AD91</f>
        <v/>
      </c>
      <c r="M118" s="15">
        <f>Catalog!V91</f>
        <v/>
      </c>
      <c r="N118" s="15">
        <f>Catalog!Q91</f>
        <v/>
      </c>
      <c r="O118" s="15">
        <f>Catalog!AF91</f>
        <v/>
      </c>
    </row>
    <row r="119">
      <c r="A119" s="15">
        <f>Catalog!D92</f>
        <v/>
      </c>
      <c r="B119" s="15">
        <f>Catalog!F92</f>
        <v/>
      </c>
      <c r="C119" s="15">
        <f>IF(Catalog!I92="","",Catalog!I92)&amp;IF(AND(Catalog!I92&lt;&gt;"",Catalog!J92&lt;&gt;""),"; ","")&amp;IF(Catalog!J92="","",Catalog!J92)</f>
        <v/>
      </c>
      <c r="D119" s="15">
        <f>Catalog!P92</f>
        <v/>
      </c>
      <c r="E119" s="15">
        <f>Catalog!R92</f>
        <v/>
      </c>
      <c r="F119" s="15">
        <f>Catalog!M92</f>
        <v/>
      </c>
      <c r="G119" s="15">
        <f>Catalog!K92</f>
        <v/>
      </c>
      <c r="H119" s="15">
        <f>IF(Catalog!S92&lt;&gt;"","ISBN:"&amp;Catalog!S92,IF(Catalog!T92&lt;&gt;"","ISSN:"&amp;Catalog!T92,""))</f>
        <v/>
      </c>
      <c r="I119" s="15">
        <f>Catalog!B92</f>
        <v/>
      </c>
      <c r="J119" s="15">
        <f>Catalog!L92</f>
        <v/>
      </c>
      <c r="K119" s="15">
        <f>IF(Catalog!AG92&lt;&gt;"",Catalog!AG92,Catalog!AE92)</f>
        <v/>
      </c>
      <c r="L119" s="15">
        <f>Catalog!AD92</f>
        <v/>
      </c>
      <c r="M119" s="15">
        <f>Catalog!V92</f>
        <v/>
      </c>
      <c r="N119" s="15">
        <f>Catalog!Q92</f>
        <v/>
      </c>
      <c r="O119" s="15">
        <f>Catalog!AF92</f>
        <v/>
      </c>
    </row>
    <row r="120">
      <c r="A120" s="15">
        <f>Catalog!D93</f>
        <v/>
      </c>
      <c r="B120" s="15">
        <f>Catalog!F93</f>
        <v/>
      </c>
      <c r="C120" s="15">
        <f>IF(Catalog!I93="","",Catalog!I93)&amp;IF(AND(Catalog!I93&lt;&gt;"",Catalog!J93&lt;&gt;""),"; ","")&amp;IF(Catalog!J93="","",Catalog!J93)</f>
        <v/>
      </c>
      <c r="D120" s="15">
        <f>Catalog!P93</f>
        <v/>
      </c>
      <c r="E120" s="15">
        <f>Catalog!R93</f>
        <v/>
      </c>
      <c r="F120" s="15">
        <f>Catalog!M93</f>
        <v/>
      </c>
      <c r="G120" s="15">
        <f>Catalog!K93</f>
        <v/>
      </c>
      <c r="H120" s="15">
        <f>IF(Catalog!S93&lt;&gt;"","ISBN:"&amp;Catalog!S93,IF(Catalog!T93&lt;&gt;"","ISSN:"&amp;Catalog!T93,""))</f>
        <v/>
      </c>
      <c r="I120" s="15">
        <f>Catalog!B93</f>
        <v/>
      </c>
      <c r="J120" s="15">
        <f>Catalog!L93</f>
        <v/>
      </c>
      <c r="K120" s="15">
        <f>IF(Catalog!AG93&lt;&gt;"",Catalog!AG93,Catalog!AE93)</f>
        <v/>
      </c>
      <c r="L120" s="15">
        <f>Catalog!AD93</f>
        <v/>
      </c>
      <c r="M120" s="15">
        <f>Catalog!V93</f>
        <v/>
      </c>
      <c r="N120" s="15">
        <f>Catalog!Q93</f>
        <v/>
      </c>
      <c r="O120" s="15">
        <f>Catalog!AF93</f>
        <v/>
      </c>
    </row>
    <row r="121">
      <c r="A121" s="15">
        <f>Catalog!D94</f>
        <v/>
      </c>
      <c r="B121" s="15">
        <f>Catalog!F94</f>
        <v/>
      </c>
      <c r="C121" s="15">
        <f>IF(Catalog!I94="","",Catalog!I94)&amp;IF(AND(Catalog!I94&lt;&gt;"",Catalog!J94&lt;&gt;""),"; ","")&amp;IF(Catalog!J94="","",Catalog!J94)</f>
        <v/>
      </c>
      <c r="D121" s="15">
        <f>Catalog!P94</f>
        <v/>
      </c>
      <c r="E121" s="15">
        <f>Catalog!R94</f>
        <v/>
      </c>
      <c r="F121" s="15">
        <f>Catalog!M94</f>
        <v/>
      </c>
      <c r="G121" s="15">
        <f>Catalog!K94</f>
        <v/>
      </c>
      <c r="H121" s="15">
        <f>IF(Catalog!S94&lt;&gt;"","ISBN:"&amp;Catalog!S94,IF(Catalog!T94&lt;&gt;"","ISSN:"&amp;Catalog!T94,""))</f>
        <v/>
      </c>
      <c r="I121" s="15">
        <f>Catalog!B94</f>
        <v/>
      </c>
      <c r="J121" s="15">
        <f>Catalog!L94</f>
        <v/>
      </c>
      <c r="K121" s="15">
        <f>IF(Catalog!AG94&lt;&gt;"",Catalog!AG94,Catalog!AE94)</f>
        <v/>
      </c>
      <c r="L121" s="15">
        <f>Catalog!AD94</f>
        <v/>
      </c>
      <c r="M121" s="15">
        <f>Catalog!V94</f>
        <v/>
      </c>
      <c r="N121" s="15">
        <f>Catalog!Q94</f>
        <v/>
      </c>
      <c r="O121" s="15">
        <f>Catalog!AF94</f>
        <v/>
      </c>
    </row>
    <row r="122">
      <c r="A122" s="15">
        <f>Catalog!D95</f>
        <v/>
      </c>
      <c r="B122" s="15">
        <f>Catalog!F95</f>
        <v/>
      </c>
      <c r="C122" s="15">
        <f>IF(Catalog!I95="","",Catalog!I95)&amp;IF(AND(Catalog!I95&lt;&gt;"",Catalog!J95&lt;&gt;""),"; ","")&amp;IF(Catalog!J95="","",Catalog!J95)</f>
        <v/>
      </c>
      <c r="D122" s="15">
        <f>Catalog!P95</f>
        <v/>
      </c>
      <c r="E122" s="15">
        <f>Catalog!R95</f>
        <v/>
      </c>
      <c r="F122" s="15">
        <f>Catalog!M95</f>
        <v/>
      </c>
      <c r="G122" s="15">
        <f>Catalog!K95</f>
        <v/>
      </c>
      <c r="H122" s="15">
        <f>IF(Catalog!S95&lt;&gt;"","ISBN:"&amp;Catalog!S95,IF(Catalog!T95&lt;&gt;"","ISSN:"&amp;Catalog!T95,""))</f>
        <v/>
      </c>
      <c r="I122" s="15">
        <f>Catalog!B95</f>
        <v/>
      </c>
      <c r="J122" s="15">
        <f>Catalog!L95</f>
        <v/>
      </c>
      <c r="K122" s="15">
        <f>IF(Catalog!AG95&lt;&gt;"",Catalog!AG95,Catalog!AE95)</f>
        <v/>
      </c>
      <c r="L122" s="15">
        <f>Catalog!AD95</f>
        <v/>
      </c>
      <c r="M122" s="15">
        <f>Catalog!V95</f>
        <v/>
      </c>
      <c r="N122" s="15">
        <f>Catalog!Q95</f>
        <v/>
      </c>
      <c r="O122" s="15">
        <f>Catalog!AF95</f>
        <v/>
      </c>
    </row>
    <row r="123">
      <c r="A123" s="15">
        <f>Catalog!D96</f>
        <v/>
      </c>
      <c r="B123" s="15">
        <f>Catalog!F96</f>
        <v/>
      </c>
      <c r="C123" s="15">
        <f>IF(Catalog!I96="","",Catalog!I96)&amp;IF(AND(Catalog!I96&lt;&gt;"",Catalog!J96&lt;&gt;""),"; ","")&amp;IF(Catalog!J96="","",Catalog!J96)</f>
        <v/>
      </c>
      <c r="D123" s="15">
        <f>Catalog!P96</f>
        <v/>
      </c>
      <c r="E123" s="15">
        <f>Catalog!R96</f>
        <v/>
      </c>
      <c r="F123" s="15">
        <f>Catalog!M96</f>
        <v/>
      </c>
      <c r="G123" s="15">
        <f>Catalog!K96</f>
        <v/>
      </c>
      <c r="H123" s="15">
        <f>IF(Catalog!S96&lt;&gt;"","ISBN:"&amp;Catalog!S96,IF(Catalog!T96&lt;&gt;"","ISSN:"&amp;Catalog!T96,""))</f>
        <v/>
      </c>
      <c r="I123" s="15">
        <f>Catalog!B96</f>
        <v/>
      </c>
      <c r="J123" s="15">
        <f>Catalog!L96</f>
        <v/>
      </c>
      <c r="K123" s="15">
        <f>IF(Catalog!AG96&lt;&gt;"",Catalog!AG96,Catalog!AE96)</f>
        <v/>
      </c>
      <c r="L123" s="15">
        <f>Catalog!AD96</f>
        <v/>
      </c>
      <c r="M123" s="15">
        <f>Catalog!V96</f>
        <v/>
      </c>
      <c r="N123" s="15">
        <f>Catalog!Q96</f>
        <v/>
      </c>
      <c r="O123" s="15">
        <f>Catalog!AF96</f>
        <v/>
      </c>
    </row>
    <row r="124">
      <c r="A124" s="15">
        <f>Catalog!D97</f>
        <v/>
      </c>
      <c r="B124" s="15">
        <f>Catalog!F97</f>
        <v/>
      </c>
      <c r="C124" s="15">
        <f>IF(Catalog!I97="","",Catalog!I97)&amp;IF(AND(Catalog!I97&lt;&gt;"",Catalog!J97&lt;&gt;""),"; ","")&amp;IF(Catalog!J97="","",Catalog!J97)</f>
        <v/>
      </c>
      <c r="D124" s="15">
        <f>Catalog!P97</f>
        <v/>
      </c>
      <c r="E124" s="15">
        <f>Catalog!R97</f>
        <v/>
      </c>
      <c r="F124" s="15">
        <f>Catalog!M97</f>
        <v/>
      </c>
      <c r="G124" s="15">
        <f>Catalog!K97</f>
        <v/>
      </c>
      <c r="H124" s="15">
        <f>IF(Catalog!S97&lt;&gt;"","ISBN:"&amp;Catalog!S97,IF(Catalog!T97&lt;&gt;"","ISSN:"&amp;Catalog!T97,""))</f>
        <v/>
      </c>
      <c r="I124" s="15">
        <f>Catalog!B97</f>
        <v/>
      </c>
      <c r="J124" s="15">
        <f>Catalog!L97</f>
        <v/>
      </c>
      <c r="K124" s="15">
        <f>IF(Catalog!AG97&lt;&gt;"",Catalog!AG97,Catalog!AE97)</f>
        <v/>
      </c>
      <c r="L124" s="15">
        <f>Catalog!AD97</f>
        <v/>
      </c>
      <c r="M124" s="15">
        <f>Catalog!V97</f>
        <v/>
      </c>
      <c r="N124" s="15">
        <f>Catalog!Q97</f>
        <v/>
      </c>
      <c r="O124" s="15">
        <f>Catalog!AF97</f>
        <v/>
      </c>
    </row>
    <row r="125">
      <c r="A125" s="15">
        <f>Catalog!D98</f>
        <v/>
      </c>
      <c r="B125" s="15">
        <f>Catalog!F98</f>
        <v/>
      </c>
      <c r="C125" s="15">
        <f>IF(Catalog!I98="","",Catalog!I98)&amp;IF(AND(Catalog!I98&lt;&gt;"",Catalog!J98&lt;&gt;""),"; ","")&amp;IF(Catalog!J98="","",Catalog!J98)</f>
        <v/>
      </c>
      <c r="D125" s="15">
        <f>Catalog!P98</f>
        <v/>
      </c>
      <c r="E125" s="15">
        <f>Catalog!R98</f>
        <v/>
      </c>
      <c r="F125" s="15">
        <f>Catalog!M98</f>
        <v/>
      </c>
      <c r="G125" s="15">
        <f>Catalog!K98</f>
        <v/>
      </c>
      <c r="H125" s="15">
        <f>IF(Catalog!S98&lt;&gt;"","ISBN:"&amp;Catalog!S98,IF(Catalog!T98&lt;&gt;"","ISSN:"&amp;Catalog!T98,""))</f>
        <v/>
      </c>
      <c r="I125" s="15">
        <f>Catalog!B98</f>
        <v/>
      </c>
      <c r="J125" s="15">
        <f>Catalog!L98</f>
        <v/>
      </c>
      <c r="K125" s="15">
        <f>IF(Catalog!AG98&lt;&gt;"",Catalog!AG98,Catalog!AE98)</f>
        <v/>
      </c>
      <c r="L125" s="15">
        <f>Catalog!AD98</f>
        <v/>
      </c>
      <c r="M125" s="15">
        <f>Catalog!V98</f>
        <v/>
      </c>
      <c r="N125" s="15">
        <f>Catalog!Q98</f>
        <v/>
      </c>
      <c r="O125" s="15">
        <f>Catalog!AF98</f>
        <v/>
      </c>
    </row>
    <row r="126">
      <c r="A126" s="15">
        <f>Catalog!D99</f>
        <v/>
      </c>
      <c r="B126" s="15">
        <f>Catalog!F99</f>
        <v/>
      </c>
      <c r="C126" s="15">
        <f>IF(Catalog!I99="","",Catalog!I99)&amp;IF(AND(Catalog!I99&lt;&gt;"",Catalog!J99&lt;&gt;""),"; ","")&amp;IF(Catalog!J99="","",Catalog!J99)</f>
        <v/>
      </c>
      <c r="D126" s="15">
        <f>Catalog!P99</f>
        <v/>
      </c>
      <c r="E126" s="15">
        <f>Catalog!R99</f>
        <v/>
      </c>
      <c r="F126" s="15">
        <f>Catalog!M99</f>
        <v/>
      </c>
      <c r="G126" s="15">
        <f>Catalog!K99</f>
        <v/>
      </c>
      <c r="H126" s="15">
        <f>IF(Catalog!S99&lt;&gt;"","ISBN:"&amp;Catalog!S99,IF(Catalog!T99&lt;&gt;"","ISSN:"&amp;Catalog!T99,""))</f>
        <v/>
      </c>
      <c r="I126" s="15">
        <f>Catalog!B99</f>
        <v/>
      </c>
      <c r="J126" s="15">
        <f>Catalog!L99</f>
        <v/>
      </c>
      <c r="K126" s="15">
        <f>IF(Catalog!AG99&lt;&gt;"",Catalog!AG99,Catalog!AE99)</f>
        <v/>
      </c>
      <c r="L126" s="15">
        <f>Catalog!AD99</f>
        <v/>
      </c>
      <c r="M126" s="15">
        <f>Catalog!V99</f>
        <v/>
      </c>
      <c r="N126" s="15">
        <f>Catalog!Q99</f>
        <v/>
      </c>
      <c r="O126" s="15">
        <f>Catalog!AF99</f>
        <v/>
      </c>
    </row>
    <row r="127">
      <c r="A127" s="15">
        <f>Catalog!D100</f>
        <v/>
      </c>
      <c r="B127" s="15">
        <f>Catalog!F100</f>
        <v/>
      </c>
      <c r="C127" s="15">
        <f>IF(Catalog!I100="","",Catalog!I100)&amp;IF(AND(Catalog!I100&lt;&gt;"",Catalog!J100&lt;&gt;""),"; ","")&amp;IF(Catalog!J100="","",Catalog!J100)</f>
        <v/>
      </c>
      <c r="D127" s="15">
        <f>Catalog!P100</f>
        <v/>
      </c>
      <c r="E127" s="15">
        <f>Catalog!R100</f>
        <v/>
      </c>
      <c r="F127" s="15">
        <f>Catalog!M100</f>
        <v/>
      </c>
      <c r="G127" s="15">
        <f>Catalog!K100</f>
        <v/>
      </c>
      <c r="H127" s="15">
        <f>IF(Catalog!S100&lt;&gt;"","ISBN:"&amp;Catalog!S100,IF(Catalog!T100&lt;&gt;"","ISSN:"&amp;Catalog!T100,""))</f>
        <v/>
      </c>
      <c r="I127" s="15">
        <f>Catalog!B100</f>
        <v/>
      </c>
      <c r="J127" s="15">
        <f>Catalog!L100</f>
        <v/>
      </c>
      <c r="K127" s="15">
        <f>IF(Catalog!AG100&lt;&gt;"",Catalog!AG100,Catalog!AE100)</f>
        <v/>
      </c>
      <c r="L127" s="15">
        <f>Catalog!AD100</f>
        <v/>
      </c>
      <c r="M127" s="15">
        <f>Catalog!V100</f>
        <v/>
      </c>
      <c r="N127" s="15">
        <f>Catalog!Q100</f>
        <v/>
      </c>
      <c r="O127" s="15">
        <f>Catalog!AF100</f>
        <v/>
      </c>
    </row>
    <row r="128">
      <c r="A128" s="15">
        <f>Catalog!D101</f>
        <v/>
      </c>
      <c r="B128" s="15">
        <f>Catalog!F101</f>
        <v/>
      </c>
      <c r="C128" s="15">
        <f>IF(Catalog!I101="","",Catalog!I101)&amp;IF(AND(Catalog!I101&lt;&gt;"",Catalog!J101&lt;&gt;""),"; ","")&amp;IF(Catalog!J101="","",Catalog!J101)</f>
        <v/>
      </c>
      <c r="D128" s="15">
        <f>Catalog!P101</f>
        <v/>
      </c>
      <c r="E128" s="15">
        <f>Catalog!R101</f>
        <v/>
      </c>
      <c r="F128" s="15">
        <f>Catalog!M101</f>
        <v/>
      </c>
      <c r="G128" s="15">
        <f>Catalog!K101</f>
        <v/>
      </c>
      <c r="H128" s="15">
        <f>IF(Catalog!S101&lt;&gt;"","ISBN:"&amp;Catalog!S101,IF(Catalog!T101&lt;&gt;"","ISSN:"&amp;Catalog!T101,""))</f>
        <v/>
      </c>
      <c r="I128" s="15">
        <f>Catalog!B101</f>
        <v/>
      </c>
      <c r="J128" s="15">
        <f>Catalog!L101</f>
        <v/>
      </c>
      <c r="K128" s="15">
        <f>IF(Catalog!AG101&lt;&gt;"",Catalog!AG101,Catalog!AE101)</f>
        <v/>
      </c>
      <c r="L128" s="15">
        <f>Catalog!AD101</f>
        <v/>
      </c>
      <c r="M128" s="15">
        <f>Catalog!V101</f>
        <v/>
      </c>
      <c r="N128" s="15">
        <f>Catalog!Q101</f>
        <v/>
      </c>
      <c r="O128" s="15">
        <f>Catalog!AF101</f>
        <v/>
      </c>
    </row>
    <row r="129">
      <c r="A129" s="15">
        <f>Catalog!D102</f>
        <v/>
      </c>
      <c r="B129" s="15">
        <f>Catalog!F102</f>
        <v/>
      </c>
      <c r="C129" s="15">
        <f>IF(Catalog!I102="","",Catalog!I102)&amp;IF(AND(Catalog!I102&lt;&gt;"",Catalog!J102&lt;&gt;""),"; ","")&amp;IF(Catalog!J102="","",Catalog!J102)</f>
        <v/>
      </c>
      <c r="D129" s="15">
        <f>Catalog!P102</f>
        <v/>
      </c>
      <c r="E129" s="15">
        <f>Catalog!R102</f>
        <v/>
      </c>
      <c r="F129" s="15">
        <f>Catalog!M102</f>
        <v/>
      </c>
      <c r="G129" s="15">
        <f>Catalog!K102</f>
        <v/>
      </c>
      <c r="H129" s="15">
        <f>IF(Catalog!S102&lt;&gt;"","ISBN:"&amp;Catalog!S102,IF(Catalog!T102&lt;&gt;"","ISSN:"&amp;Catalog!T102,""))</f>
        <v/>
      </c>
      <c r="I129" s="15">
        <f>Catalog!B102</f>
        <v/>
      </c>
      <c r="J129" s="15">
        <f>Catalog!L102</f>
        <v/>
      </c>
      <c r="K129" s="15">
        <f>IF(Catalog!AG102&lt;&gt;"",Catalog!AG102,Catalog!AE102)</f>
        <v/>
      </c>
      <c r="L129" s="15">
        <f>Catalog!AD102</f>
        <v/>
      </c>
      <c r="M129" s="15">
        <f>Catalog!V102</f>
        <v/>
      </c>
      <c r="N129" s="15">
        <f>Catalog!Q102</f>
        <v/>
      </c>
      <c r="O129" s="15">
        <f>Catalog!AF102</f>
        <v/>
      </c>
    </row>
    <row r="130">
      <c r="A130" s="15">
        <f>Catalog!D103</f>
        <v/>
      </c>
      <c r="B130" s="15">
        <f>Catalog!F103</f>
        <v/>
      </c>
      <c r="C130" s="15">
        <f>IF(Catalog!I103="","",Catalog!I103)&amp;IF(AND(Catalog!I103&lt;&gt;"",Catalog!J103&lt;&gt;""),"; ","")&amp;IF(Catalog!J103="","",Catalog!J103)</f>
        <v/>
      </c>
      <c r="D130" s="15">
        <f>Catalog!P103</f>
        <v/>
      </c>
      <c r="E130" s="15">
        <f>Catalog!R103</f>
        <v/>
      </c>
      <c r="F130" s="15">
        <f>Catalog!M103</f>
        <v/>
      </c>
      <c r="G130" s="15">
        <f>Catalog!K103</f>
        <v/>
      </c>
      <c r="H130" s="15">
        <f>IF(Catalog!S103&lt;&gt;"","ISBN:"&amp;Catalog!S103,IF(Catalog!T103&lt;&gt;"","ISSN:"&amp;Catalog!T103,""))</f>
        <v/>
      </c>
      <c r="I130" s="15">
        <f>Catalog!B103</f>
        <v/>
      </c>
      <c r="J130" s="15">
        <f>Catalog!L103</f>
        <v/>
      </c>
      <c r="K130" s="15">
        <f>IF(Catalog!AG103&lt;&gt;"",Catalog!AG103,Catalog!AE103)</f>
        <v/>
      </c>
      <c r="L130" s="15">
        <f>Catalog!AD103</f>
        <v/>
      </c>
      <c r="M130" s="15">
        <f>Catalog!V103</f>
        <v/>
      </c>
      <c r="N130" s="15">
        <f>Catalog!Q103</f>
        <v/>
      </c>
      <c r="O130" s="15">
        <f>Catalog!AF103</f>
        <v/>
      </c>
    </row>
    <row r="131">
      <c r="A131" s="15">
        <f>Catalog!D104</f>
        <v/>
      </c>
      <c r="B131" s="15">
        <f>Catalog!F104</f>
        <v/>
      </c>
      <c r="C131" s="15">
        <f>IF(Catalog!I104="","",Catalog!I104)&amp;IF(AND(Catalog!I104&lt;&gt;"",Catalog!J104&lt;&gt;""),"; ","")&amp;IF(Catalog!J104="","",Catalog!J104)</f>
        <v/>
      </c>
      <c r="D131" s="15">
        <f>Catalog!P104</f>
        <v/>
      </c>
      <c r="E131" s="15">
        <f>Catalog!R104</f>
        <v/>
      </c>
      <c r="F131" s="15">
        <f>Catalog!M104</f>
        <v/>
      </c>
      <c r="G131" s="15">
        <f>Catalog!K104</f>
        <v/>
      </c>
      <c r="H131" s="15">
        <f>IF(Catalog!S104&lt;&gt;"","ISBN:"&amp;Catalog!S104,IF(Catalog!T104&lt;&gt;"","ISSN:"&amp;Catalog!T104,""))</f>
        <v/>
      </c>
      <c r="I131" s="15">
        <f>Catalog!B104</f>
        <v/>
      </c>
      <c r="J131" s="15">
        <f>Catalog!L104</f>
        <v/>
      </c>
      <c r="K131" s="15">
        <f>IF(Catalog!AG104&lt;&gt;"",Catalog!AG104,Catalog!AE104)</f>
        <v/>
      </c>
      <c r="L131" s="15">
        <f>Catalog!AD104</f>
        <v/>
      </c>
      <c r="M131" s="15">
        <f>Catalog!V104</f>
        <v/>
      </c>
      <c r="N131" s="15">
        <f>Catalog!Q104</f>
        <v/>
      </c>
      <c r="O131" s="15">
        <f>Catalog!AF104</f>
        <v/>
      </c>
    </row>
    <row r="132">
      <c r="A132" s="15">
        <f>Catalog!D105</f>
        <v/>
      </c>
      <c r="B132" s="15">
        <f>Catalog!F105</f>
        <v/>
      </c>
      <c r="C132" s="15">
        <f>IF(Catalog!I105="","",Catalog!I105)&amp;IF(AND(Catalog!I105&lt;&gt;"",Catalog!J105&lt;&gt;""),"; ","")&amp;IF(Catalog!J105="","",Catalog!J105)</f>
        <v/>
      </c>
      <c r="D132" s="15">
        <f>Catalog!P105</f>
        <v/>
      </c>
      <c r="E132" s="15">
        <f>Catalog!R105</f>
        <v/>
      </c>
      <c r="F132" s="15">
        <f>Catalog!M105</f>
        <v/>
      </c>
      <c r="G132" s="15">
        <f>Catalog!K105</f>
        <v/>
      </c>
      <c r="H132" s="15">
        <f>IF(Catalog!S105&lt;&gt;"","ISBN:"&amp;Catalog!S105,IF(Catalog!T105&lt;&gt;"","ISSN:"&amp;Catalog!T105,""))</f>
        <v/>
      </c>
      <c r="I132" s="15">
        <f>Catalog!B105</f>
        <v/>
      </c>
      <c r="J132" s="15">
        <f>Catalog!L105</f>
        <v/>
      </c>
      <c r="K132" s="15">
        <f>IF(Catalog!AG105&lt;&gt;"",Catalog!AG105,Catalog!AE105)</f>
        <v/>
      </c>
      <c r="L132" s="15">
        <f>Catalog!AD105</f>
        <v/>
      </c>
      <c r="M132" s="15">
        <f>Catalog!V105</f>
        <v/>
      </c>
      <c r="N132" s="15">
        <f>Catalog!Q105</f>
        <v/>
      </c>
      <c r="O132" s="15">
        <f>Catalog!AF105</f>
        <v/>
      </c>
    </row>
    <row r="133">
      <c r="A133" s="15">
        <f>Catalog!D106</f>
        <v/>
      </c>
      <c r="B133" s="15">
        <f>Catalog!F106</f>
        <v/>
      </c>
      <c r="C133" s="15">
        <f>IF(Catalog!I106="","",Catalog!I106)&amp;IF(AND(Catalog!I106&lt;&gt;"",Catalog!J106&lt;&gt;""),"; ","")&amp;IF(Catalog!J106="","",Catalog!J106)</f>
        <v/>
      </c>
      <c r="D133" s="15">
        <f>Catalog!P106</f>
        <v/>
      </c>
      <c r="E133" s="15">
        <f>Catalog!R106</f>
        <v/>
      </c>
      <c r="F133" s="15">
        <f>Catalog!M106</f>
        <v/>
      </c>
      <c r="G133" s="15">
        <f>Catalog!K106</f>
        <v/>
      </c>
      <c r="H133" s="15">
        <f>IF(Catalog!S106&lt;&gt;"","ISBN:"&amp;Catalog!S106,IF(Catalog!T106&lt;&gt;"","ISSN:"&amp;Catalog!T106,""))</f>
        <v/>
      </c>
      <c r="I133" s="15">
        <f>Catalog!B106</f>
        <v/>
      </c>
      <c r="J133" s="15">
        <f>Catalog!L106</f>
        <v/>
      </c>
      <c r="K133" s="15">
        <f>IF(Catalog!AG106&lt;&gt;"",Catalog!AG106,Catalog!AE106)</f>
        <v/>
      </c>
      <c r="L133" s="15">
        <f>Catalog!AD106</f>
        <v/>
      </c>
      <c r="M133" s="15">
        <f>Catalog!V106</f>
        <v/>
      </c>
      <c r="N133" s="15">
        <f>Catalog!Q106</f>
        <v/>
      </c>
      <c r="O133" s="15">
        <f>Catalog!AF106</f>
        <v/>
      </c>
    </row>
    <row r="134">
      <c r="A134" s="15">
        <f>Catalog!D107</f>
        <v/>
      </c>
      <c r="B134" s="15">
        <f>Catalog!F107</f>
        <v/>
      </c>
      <c r="C134" s="15">
        <f>IF(Catalog!I107="","",Catalog!I107)&amp;IF(AND(Catalog!I107&lt;&gt;"",Catalog!J107&lt;&gt;""),"; ","")&amp;IF(Catalog!J107="","",Catalog!J107)</f>
        <v/>
      </c>
      <c r="D134" s="15">
        <f>Catalog!P107</f>
        <v/>
      </c>
      <c r="E134" s="15">
        <f>Catalog!R107</f>
        <v/>
      </c>
      <c r="F134" s="15">
        <f>Catalog!M107</f>
        <v/>
      </c>
      <c r="G134" s="15">
        <f>Catalog!K107</f>
        <v/>
      </c>
      <c r="H134" s="15">
        <f>IF(Catalog!S107&lt;&gt;"","ISBN:"&amp;Catalog!S107,IF(Catalog!T107&lt;&gt;"","ISSN:"&amp;Catalog!T107,""))</f>
        <v/>
      </c>
      <c r="I134" s="15">
        <f>Catalog!B107</f>
        <v/>
      </c>
      <c r="J134" s="15">
        <f>Catalog!L107</f>
        <v/>
      </c>
      <c r="K134" s="15">
        <f>IF(Catalog!AG107&lt;&gt;"",Catalog!AG107,Catalog!AE107)</f>
        <v/>
      </c>
      <c r="L134" s="15">
        <f>Catalog!AD107</f>
        <v/>
      </c>
      <c r="M134" s="15">
        <f>Catalog!V107</f>
        <v/>
      </c>
      <c r="N134" s="15">
        <f>Catalog!Q107</f>
        <v/>
      </c>
      <c r="O134" s="15">
        <f>Catalog!AF107</f>
        <v/>
      </c>
    </row>
    <row r="135">
      <c r="A135" s="15">
        <f>Catalog!D108</f>
        <v/>
      </c>
      <c r="B135" s="15">
        <f>Catalog!F108</f>
        <v/>
      </c>
      <c r="C135" s="15">
        <f>IF(Catalog!I108="","",Catalog!I108)&amp;IF(AND(Catalog!I108&lt;&gt;"",Catalog!J108&lt;&gt;""),"; ","")&amp;IF(Catalog!J108="","",Catalog!J108)</f>
        <v/>
      </c>
      <c r="D135" s="15">
        <f>Catalog!P108</f>
        <v/>
      </c>
      <c r="E135" s="15">
        <f>Catalog!R108</f>
        <v/>
      </c>
      <c r="F135" s="15">
        <f>Catalog!M108</f>
        <v/>
      </c>
      <c r="G135" s="15">
        <f>Catalog!K108</f>
        <v/>
      </c>
      <c r="H135" s="15">
        <f>IF(Catalog!S108&lt;&gt;"","ISBN:"&amp;Catalog!S108,IF(Catalog!T108&lt;&gt;"","ISSN:"&amp;Catalog!T108,""))</f>
        <v/>
      </c>
      <c r="I135" s="15">
        <f>Catalog!B108</f>
        <v/>
      </c>
      <c r="J135" s="15">
        <f>Catalog!L108</f>
        <v/>
      </c>
      <c r="K135" s="15">
        <f>IF(Catalog!AG108&lt;&gt;"",Catalog!AG108,Catalog!AE108)</f>
        <v/>
      </c>
      <c r="L135" s="15">
        <f>Catalog!AD108</f>
        <v/>
      </c>
      <c r="M135" s="15">
        <f>Catalog!V108</f>
        <v/>
      </c>
      <c r="N135" s="15">
        <f>Catalog!Q108</f>
        <v/>
      </c>
      <c r="O135" s="15">
        <f>Catalog!AF108</f>
        <v/>
      </c>
    </row>
    <row r="136">
      <c r="A136" s="15">
        <f>Catalog!D109</f>
        <v/>
      </c>
      <c r="B136" s="15">
        <f>Catalog!F109</f>
        <v/>
      </c>
      <c r="C136" s="15">
        <f>IF(Catalog!I109="","",Catalog!I109)&amp;IF(AND(Catalog!I109&lt;&gt;"",Catalog!J109&lt;&gt;""),"; ","")&amp;IF(Catalog!J109="","",Catalog!J109)</f>
        <v/>
      </c>
      <c r="D136" s="15">
        <f>Catalog!P109</f>
        <v/>
      </c>
      <c r="E136" s="15">
        <f>Catalog!R109</f>
        <v/>
      </c>
      <c r="F136" s="15">
        <f>Catalog!M109</f>
        <v/>
      </c>
      <c r="G136" s="15">
        <f>Catalog!K109</f>
        <v/>
      </c>
      <c r="H136" s="15">
        <f>IF(Catalog!S109&lt;&gt;"","ISBN:"&amp;Catalog!S109,IF(Catalog!T109&lt;&gt;"","ISSN:"&amp;Catalog!T109,""))</f>
        <v/>
      </c>
      <c r="I136" s="15">
        <f>Catalog!B109</f>
        <v/>
      </c>
      <c r="J136" s="15">
        <f>Catalog!L109</f>
        <v/>
      </c>
      <c r="K136" s="15">
        <f>IF(Catalog!AG109&lt;&gt;"",Catalog!AG109,Catalog!AE109)</f>
        <v/>
      </c>
      <c r="L136" s="15">
        <f>Catalog!AD109</f>
        <v/>
      </c>
      <c r="M136" s="15">
        <f>Catalog!V109</f>
        <v/>
      </c>
      <c r="N136" s="15">
        <f>Catalog!Q109</f>
        <v/>
      </c>
      <c r="O136" s="15">
        <f>Catalog!AF109</f>
        <v/>
      </c>
    </row>
    <row r="137">
      <c r="A137" s="15">
        <f>Catalog!D110</f>
        <v/>
      </c>
      <c r="B137" s="15">
        <f>Catalog!F110</f>
        <v/>
      </c>
      <c r="C137" s="15">
        <f>IF(Catalog!I110="","",Catalog!I110)&amp;IF(AND(Catalog!I110&lt;&gt;"",Catalog!J110&lt;&gt;""),"; ","")&amp;IF(Catalog!J110="","",Catalog!J110)</f>
        <v/>
      </c>
      <c r="D137" s="15">
        <f>Catalog!P110</f>
        <v/>
      </c>
      <c r="E137" s="15">
        <f>Catalog!R110</f>
        <v/>
      </c>
      <c r="F137" s="15">
        <f>Catalog!M110</f>
        <v/>
      </c>
      <c r="G137" s="15">
        <f>Catalog!K110</f>
        <v/>
      </c>
      <c r="H137" s="15">
        <f>IF(Catalog!S110&lt;&gt;"","ISBN:"&amp;Catalog!S110,IF(Catalog!T110&lt;&gt;"","ISSN:"&amp;Catalog!T110,""))</f>
        <v/>
      </c>
      <c r="I137" s="15">
        <f>Catalog!B110</f>
        <v/>
      </c>
      <c r="J137" s="15">
        <f>Catalog!L110</f>
        <v/>
      </c>
      <c r="K137" s="15">
        <f>IF(Catalog!AG110&lt;&gt;"",Catalog!AG110,Catalog!AE110)</f>
        <v/>
      </c>
      <c r="L137" s="15">
        <f>Catalog!AD110</f>
        <v/>
      </c>
      <c r="M137" s="15">
        <f>Catalog!V110</f>
        <v/>
      </c>
      <c r="N137" s="15">
        <f>Catalog!Q110</f>
        <v/>
      </c>
      <c r="O137" s="15">
        <f>Catalog!AF110</f>
        <v/>
      </c>
    </row>
    <row r="138">
      <c r="A138" s="15">
        <f>Catalog!D111</f>
        <v/>
      </c>
      <c r="B138" s="15">
        <f>Catalog!F111</f>
        <v/>
      </c>
      <c r="C138" s="15">
        <f>IF(Catalog!I111="","",Catalog!I111)&amp;IF(AND(Catalog!I111&lt;&gt;"",Catalog!J111&lt;&gt;""),"; ","")&amp;IF(Catalog!J111="","",Catalog!J111)</f>
        <v/>
      </c>
      <c r="D138" s="15">
        <f>Catalog!P111</f>
        <v/>
      </c>
      <c r="E138" s="15">
        <f>Catalog!R111</f>
        <v/>
      </c>
      <c r="F138" s="15">
        <f>Catalog!M111</f>
        <v/>
      </c>
      <c r="G138" s="15">
        <f>Catalog!K111</f>
        <v/>
      </c>
      <c r="H138" s="15">
        <f>IF(Catalog!S111&lt;&gt;"","ISBN:"&amp;Catalog!S111,IF(Catalog!T111&lt;&gt;"","ISSN:"&amp;Catalog!T111,""))</f>
        <v/>
      </c>
      <c r="I138" s="15">
        <f>Catalog!B111</f>
        <v/>
      </c>
      <c r="J138" s="15">
        <f>Catalog!L111</f>
        <v/>
      </c>
      <c r="K138" s="15">
        <f>IF(Catalog!AG111&lt;&gt;"",Catalog!AG111,Catalog!AE111)</f>
        <v/>
      </c>
      <c r="L138" s="15">
        <f>Catalog!AD111</f>
        <v/>
      </c>
      <c r="M138" s="15">
        <f>Catalog!V111</f>
        <v/>
      </c>
      <c r="N138" s="15">
        <f>Catalog!Q111</f>
        <v/>
      </c>
      <c r="O138" s="15">
        <f>Catalog!AF111</f>
        <v/>
      </c>
    </row>
    <row r="139">
      <c r="A139" s="15">
        <f>Catalog!D112</f>
        <v/>
      </c>
      <c r="B139" s="15">
        <f>Catalog!F112</f>
        <v/>
      </c>
      <c r="C139" s="15">
        <f>IF(Catalog!I112="","",Catalog!I112)&amp;IF(AND(Catalog!I112&lt;&gt;"",Catalog!J112&lt;&gt;""),"; ","")&amp;IF(Catalog!J112="","",Catalog!J112)</f>
        <v/>
      </c>
      <c r="D139" s="15">
        <f>Catalog!P112</f>
        <v/>
      </c>
      <c r="E139" s="15">
        <f>Catalog!R112</f>
        <v/>
      </c>
      <c r="F139" s="15">
        <f>Catalog!M112</f>
        <v/>
      </c>
      <c r="G139" s="15">
        <f>Catalog!K112</f>
        <v/>
      </c>
      <c r="H139" s="15">
        <f>IF(Catalog!S112&lt;&gt;"","ISBN:"&amp;Catalog!S112,IF(Catalog!T112&lt;&gt;"","ISSN:"&amp;Catalog!T112,""))</f>
        <v/>
      </c>
      <c r="I139" s="15">
        <f>Catalog!B112</f>
        <v/>
      </c>
      <c r="J139" s="15">
        <f>Catalog!L112</f>
        <v/>
      </c>
      <c r="K139" s="15">
        <f>IF(Catalog!AG112&lt;&gt;"",Catalog!AG112,Catalog!AE112)</f>
        <v/>
      </c>
      <c r="L139" s="15">
        <f>Catalog!AD112</f>
        <v/>
      </c>
      <c r="M139" s="15">
        <f>Catalog!V112</f>
        <v/>
      </c>
      <c r="N139" s="15">
        <f>Catalog!Q112</f>
        <v/>
      </c>
      <c r="O139" s="15">
        <f>Catalog!AF112</f>
        <v/>
      </c>
    </row>
    <row r="140">
      <c r="A140" s="15">
        <f>Catalog!D113</f>
        <v/>
      </c>
      <c r="B140" s="15">
        <f>Catalog!F113</f>
        <v/>
      </c>
      <c r="C140" s="15">
        <f>IF(Catalog!I113="","",Catalog!I113)&amp;IF(AND(Catalog!I113&lt;&gt;"",Catalog!J113&lt;&gt;""),"; ","")&amp;IF(Catalog!J113="","",Catalog!J113)</f>
        <v/>
      </c>
      <c r="D140" s="15">
        <f>Catalog!P113</f>
        <v/>
      </c>
      <c r="E140" s="15">
        <f>Catalog!R113</f>
        <v/>
      </c>
      <c r="F140" s="15">
        <f>Catalog!M113</f>
        <v/>
      </c>
      <c r="G140" s="15">
        <f>Catalog!K113</f>
        <v/>
      </c>
      <c r="H140" s="15">
        <f>IF(Catalog!S113&lt;&gt;"","ISBN:"&amp;Catalog!S113,IF(Catalog!T113&lt;&gt;"","ISSN:"&amp;Catalog!T113,""))</f>
        <v/>
      </c>
      <c r="I140" s="15">
        <f>Catalog!B113</f>
        <v/>
      </c>
      <c r="J140" s="15">
        <f>Catalog!L113</f>
        <v/>
      </c>
      <c r="K140" s="15">
        <f>IF(Catalog!AG113&lt;&gt;"",Catalog!AG113,Catalog!AE113)</f>
        <v/>
      </c>
      <c r="L140" s="15">
        <f>Catalog!AD113</f>
        <v/>
      </c>
      <c r="M140" s="15">
        <f>Catalog!V113</f>
        <v/>
      </c>
      <c r="N140" s="15">
        <f>Catalog!Q113</f>
        <v/>
      </c>
      <c r="O140" s="15">
        <f>Catalog!AF113</f>
        <v/>
      </c>
    </row>
    <row r="141">
      <c r="A141" s="15">
        <f>Catalog!D114</f>
        <v/>
      </c>
      <c r="B141" s="15">
        <f>Catalog!F114</f>
        <v/>
      </c>
      <c r="C141" s="15">
        <f>IF(Catalog!I114="","",Catalog!I114)&amp;IF(AND(Catalog!I114&lt;&gt;"",Catalog!J114&lt;&gt;""),"; ","")&amp;IF(Catalog!J114="","",Catalog!J114)</f>
        <v/>
      </c>
      <c r="D141" s="15">
        <f>Catalog!P114</f>
        <v/>
      </c>
      <c r="E141" s="15">
        <f>Catalog!R114</f>
        <v/>
      </c>
      <c r="F141" s="15">
        <f>Catalog!M114</f>
        <v/>
      </c>
      <c r="G141" s="15">
        <f>Catalog!K114</f>
        <v/>
      </c>
      <c r="H141" s="15">
        <f>IF(Catalog!S114&lt;&gt;"","ISBN:"&amp;Catalog!S114,IF(Catalog!T114&lt;&gt;"","ISSN:"&amp;Catalog!T114,""))</f>
        <v/>
      </c>
      <c r="I141" s="15">
        <f>Catalog!B114</f>
        <v/>
      </c>
      <c r="J141" s="15">
        <f>Catalog!L114</f>
        <v/>
      </c>
      <c r="K141" s="15">
        <f>IF(Catalog!AG114&lt;&gt;"",Catalog!AG114,Catalog!AE114)</f>
        <v/>
      </c>
      <c r="L141" s="15">
        <f>Catalog!AD114</f>
        <v/>
      </c>
      <c r="M141" s="15">
        <f>Catalog!V114</f>
        <v/>
      </c>
      <c r="N141" s="15">
        <f>Catalog!Q114</f>
        <v/>
      </c>
      <c r="O141" s="15">
        <f>Catalog!AF114</f>
        <v/>
      </c>
    </row>
    <row r="142">
      <c r="A142" s="15">
        <f>Catalog!D115</f>
        <v/>
      </c>
      <c r="B142" s="15">
        <f>Catalog!F115</f>
        <v/>
      </c>
      <c r="C142" s="15">
        <f>IF(Catalog!I115="","",Catalog!I115)&amp;IF(AND(Catalog!I115&lt;&gt;"",Catalog!J115&lt;&gt;""),"; ","")&amp;IF(Catalog!J115="","",Catalog!J115)</f>
        <v/>
      </c>
      <c r="D142" s="15">
        <f>Catalog!P115</f>
        <v/>
      </c>
      <c r="E142" s="15">
        <f>Catalog!R115</f>
        <v/>
      </c>
      <c r="F142" s="15">
        <f>Catalog!M115</f>
        <v/>
      </c>
      <c r="G142" s="15">
        <f>Catalog!K115</f>
        <v/>
      </c>
      <c r="H142" s="15">
        <f>IF(Catalog!S115&lt;&gt;"","ISBN:"&amp;Catalog!S115,IF(Catalog!T115&lt;&gt;"","ISSN:"&amp;Catalog!T115,""))</f>
        <v/>
      </c>
      <c r="I142" s="15">
        <f>Catalog!B115</f>
        <v/>
      </c>
      <c r="J142" s="15">
        <f>Catalog!L115</f>
        <v/>
      </c>
      <c r="K142" s="15">
        <f>IF(Catalog!AG115&lt;&gt;"",Catalog!AG115,Catalog!AE115)</f>
        <v/>
      </c>
      <c r="L142" s="15">
        <f>Catalog!AD115</f>
        <v/>
      </c>
      <c r="M142" s="15">
        <f>Catalog!V115</f>
        <v/>
      </c>
      <c r="N142" s="15">
        <f>Catalog!Q115</f>
        <v/>
      </c>
      <c r="O142" s="15">
        <f>Catalog!AF115</f>
        <v/>
      </c>
    </row>
    <row r="143">
      <c r="A143" s="15">
        <f>Catalog!D116</f>
        <v/>
      </c>
      <c r="B143" s="15">
        <f>Catalog!F116</f>
        <v/>
      </c>
      <c r="C143" s="15">
        <f>IF(Catalog!I116="","",Catalog!I116)&amp;IF(AND(Catalog!I116&lt;&gt;"",Catalog!J116&lt;&gt;""),"; ","")&amp;IF(Catalog!J116="","",Catalog!J116)</f>
        <v/>
      </c>
      <c r="D143" s="15">
        <f>Catalog!P116</f>
        <v/>
      </c>
      <c r="E143" s="15">
        <f>Catalog!R116</f>
        <v/>
      </c>
      <c r="F143" s="15">
        <f>Catalog!M116</f>
        <v/>
      </c>
      <c r="G143" s="15">
        <f>Catalog!K116</f>
        <v/>
      </c>
      <c r="H143" s="15">
        <f>IF(Catalog!S116&lt;&gt;"","ISBN:"&amp;Catalog!S116,IF(Catalog!T116&lt;&gt;"","ISSN:"&amp;Catalog!T116,""))</f>
        <v/>
      </c>
      <c r="I143" s="15">
        <f>Catalog!B116</f>
        <v/>
      </c>
      <c r="J143" s="15">
        <f>Catalog!L116</f>
        <v/>
      </c>
      <c r="K143" s="15">
        <f>IF(Catalog!AG116&lt;&gt;"",Catalog!AG116,Catalog!AE116)</f>
        <v/>
      </c>
      <c r="L143" s="15">
        <f>Catalog!AD116</f>
        <v/>
      </c>
      <c r="M143" s="15">
        <f>Catalog!V116</f>
        <v/>
      </c>
      <c r="N143" s="15">
        <f>Catalog!Q116</f>
        <v/>
      </c>
      <c r="O143" s="15">
        <f>Catalog!AF116</f>
        <v/>
      </c>
    </row>
    <row r="144">
      <c r="A144" s="15">
        <f>Catalog!D117</f>
        <v/>
      </c>
      <c r="B144" s="15">
        <f>Catalog!F117</f>
        <v/>
      </c>
      <c r="C144" s="15">
        <f>IF(Catalog!I117="","",Catalog!I117)&amp;IF(AND(Catalog!I117&lt;&gt;"",Catalog!J117&lt;&gt;""),"; ","")&amp;IF(Catalog!J117="","",Catalog!J117)</f>
        <v/>
      </c>
      <c r="D144" s="15">
        <f>Catalog!P117</f>
        <v/>
      </c>
      <c r="E144" s="15">
        <f>Catalog!R117</f>
        <v/>
      </c>
      <c r="F144" s="15">
        <f>Catalog!M117</f>
        <v/>
      </c>
      <c r="G144" s="15">
        <f>Catalog!K117</f>
        <v/>
      </c>
      <c r="H144" s="15">
        <f>IF(Catalog!S117&lt;&gt;"","ISBN:"&amp;Catalog!S117,IF(Catalog!T117&lt;&gt;"","ISSN:"&amp;Catalog!T117,""))</f>
        <v/>
      </c>
      <c r="I144" s="15">
        <f>Catalog!B117</f>
        <v/>
      </c>
      <c r="J144" s="15">
        <f>Catalog!L117</f>
        <v/>
      </c>
      <c r="K144" s="15">
        <f>IF(Catalog!AG117&lt;&gt;"",Catalog!AG117,Catalog!AE117)</f>
        <v/>
      </c>
      <c r="L144" s="15">
        <f>Catalog!AD117</f>
        <v/>
      </c>
      <c r="M144" s="15">
        <f>Catalog!V117</f>
        <v/>
      </c>
      <c r="N144" s="15">
        <f>Catalog!Q117</f>
        <v/>
      </c>
      <c r="O144" s="15">
        <f>Catalog!AF117</f>
        <v/>
      </c>
    </row>
    <row r="145">
      <c r="A145" s="15">
        <f>Catalog!D118</f>
        <v/>
      </c>
      <c r="B145" s="15">
        <f>Catalog!F118</f>
        <v/>
      </c>
      <c r="C145" s="15">
        <f>IF(Catalog!I118="","",Catalog!I118)&amp;IF(AND(Catalog!I118&lt;&gt;"",Catalog!J118&lt;&gt;""),"; ","")&amp;IF(Catalog!J118="","",Catalog!J118)</f>
        <v/>
      </c>
      <c r="D145" s="15">
        <f>Catalog!P118</f>
        <v/>
      </c>
      <c r="E145" s="15">
        <f>Catalog!R118</f>
        <v/>
      </c>
      <c r="F145" s="15">
        <f>Catalog!M118</f>
        <v/>
      </c>
      <c r="G145" s="15">
        <f>Catalog!K118</f>
        <v/>
      </c>
      <c r="H145" s="15">
        <f>IF(Catalog!S118&lt;&gt;"","ISBN:"&amp;Catalog!S118,IF(Catalog!T118&lt;&gt;"","ISSN:"&amp;Catalog!T118,""))</f>
        <v/>
      </c>
      <c r="I145" s="15">
        <f>Catalog!B118</f>
        <v/>
      </c>
      <c r="J145" s="15">
        <f>Catalog!L118</f>
        <v/>
      </c>
      <c r="K145" s="15">
        <f>IF(Catalog!AG118&lt;&gt;"",Catalog!AG118,Catalog!AE118)</f>
        <v/>
      </c>
      <c r="L145" s="15">
        <f>Catalog!AD118</f>
        <v/>
      </c>
      <c r="M145" s="15">
        <f>Catalog!V118</f>
        <v/>
      </c>
      <c r="N145" s="15">
        <f>Catalog!Q118</f>
        <v/>
      </c>
      <c r="O145" s="15">
        <f>Catalog!AF118</f>
        <v/>
      </c>
    </row>
    <row r="146">
      <c r="A146" s="15">
        <f>Catalog!D119</f>
        <v/>
      </c>
      <c r="B146" s="15">
        <f>Catalog!F119</f>
        <v/>
      </c>
      <c r="C146" s="15">
        <f>IF(Catalog!I119="","",Catalog!I119)&amp;IF(AND(Catalog!I119&lt;&gt;"",Catalog!J119&lt;&gt;""),"; ","")&amp;IF(Catalog!J119="","",Catalog!J119)</f>
        <v/>
      </c>
      <c r="D146" s="15">
        <f>Catalog!P119</f>
        <v/>
      </c>
      <c r="E146" s="15">
        <f>Catalog!R119</f>
        <v/>
      </c>
      <c r="F146" s="15">
        <f>Catalog!M119</f>
        <v/>
      </c>
      <c r="G146" s="15">
        <f>Catalog!K119</f>
        <v/>
      </c>
      <c r="H146" s="15">
        <f>IF(Catalog!S119&lt;&gt;"","ISBN:"&amp;Catalog!S119,IF(Catalog!T119&lt;&gt;"","ISSN:"&amp;Catalog!T119,""))</f>
        <v/>
      </c>
      <c r="I146" s="15">
        <f>Catalog!B119</f>
        <v/>
      </c>
      <c r="J146" s="15">
        <f>Catalog!L119</f>
        <v/>
      </c>
      <c r="K146" s="15">
        <f>IF(Catalog!AG119&lt;&gt;"",Catalog!AG119,Catalog!AE119)</f>
        <v/>
      </c>
      <c r="L146" s="15">
        <f>Catalog!AD119</f>
        <v/>
      </c>
      <c r="M146" s="15">
        <f>Catalog!V119</f>
        <v/>
      </c>
      <c r="N146" s="15">
        <f>Catalog!Q119</f>
        <v/>
      </c>
      <c r="O146" s="15">
        <f>Catalog!AF119</f>
        <v/>
      </c>
    </row>
    <row r="147">
      <c r="A147" s="15">
        <f>Catalog!D120</f>
        <v/>
      </c>
      <c r="B147" s="15">
        <f>Catalog!F120</f>
        <v/>
      </c>
      <c r="C147" s="15">
        <f>IF(Catalog!I120="","",Catalog!I120)&amp;IF(AND(Catalog!I120&lt;&gt;"",Catalog!J120&lt;&gt;""),"; ","")&amp;IF(Catalog!J120="","",Catalog!J120)</f>
        <v/>
      </c>
      <c r="D147" s="15">
        <f>Catalog!P120</f>
        <v/>
      </c>
      <c r="E147" s="15">
        <f>Catalog!R120</f>
        <v/>
      </c>
      <c r="F147" s="15">
        <f>Catalog!M120</f>
        <v/>
      </c>
      <c r="G147" s="15">
        <f>Catalog!K120</f>
        <v/>
      </c>
      <c r="H147" s="15">
        <f>IF(Catalog!S120&lt;&gt;"","ISBN:"&amp;Catalog!S120,IF(Catalog!T120&lt;&gt;"","ISSN:"&amp;Catalog!T120,""))</f>
        <v/>
      </c>
      <c r="I147" s="15">
        <f>Catalog!B120</f>
        <v/>
      </c>
      <c r="J147" s="15">
        <f>Catalog!L120</f>
        <v/>
      </c>
      <c r="K147" s="15">
        <f>IF(Catalog!AG120&lt;&gt;"",Catalog!AG120,Catalog!AE120)</f>
        <v/>
      </c>
      <c r="L147" s="15">
        <f>Catalog!AD120</f>
        <v/>
      </c>
      <c r="M147" s="15">
        <f>Catalog!V120</f>
        <v/>
      </c>
      <c r="N147" s="15">
        <f>Catalog!Q120</f>
        <v/>
      </c>
      <c r="O147" s="15">
        <f>Catalog!AF120</f>
        <v/>
      </c>
    </row>
    <row r="148">
      <c r="A148" s="15">
        <f>Catalog!D121</f>
        <v/>
      </c>
      <c r="B148" s="15">
        <f>Catalog!F121</f>
        <v/>
      </c>
      <c r="C148" s="15">
        <f>IF(Catalog!I121="","",Catalog!I121)&amp;IF(AND(Catalog!I121&lt;&gt;"",Catalog!J121&lt;&gt;""),"; ","")&amp;IF(Catalog!J121="","",Catalog!J121)</f>
        <v/>
      </c>
      <c r="D148" s="15">
        <f>Catalog!P121</f>
        <v/>
      </c>
      <c r="E148" s="15">
        <f>Catalog!R121</f>
        <v/>
      </c>
      <c r="F148" s="15">
        <f>Catalog!M121</f>
        <v/>
      </c>
      <c r="G148" s="15">
        <f>Catalog!K121</f>
        <v/>
      </c>
      <c r="H148" s="15">
        <f>IF(Catalog!S121&lt;&gt;"","ISBN:"&amp;Catalog!S121,IF(Catalog!T121&lt;&gt;"","ISSN:"&amp;Catalog!T121,""))</f>
        <v/>
      </c>
      <c r="I148" s="15">
        <f>Catalog!B121</f>
        <v/>
      </c>
      <c r="J148" s="15">
        <f>Catalog!L121</f>
        <v/>
      </c>
      <c r="K148" s="15">
        <f>IF(Catalog!AG121&lt;&gt;"",Catalog!AG121,Catalog!AE121)</f>
        <v/>
      </c>
      <c r="L148" s="15">
        <f>Catalog!AD121</f>
        <v/>
      </c>
      <c r="M148" s="15">
        <f>Catalog!V121</f>
        <v/>
      </c>
      <c r="N148" s="15">
        <f>Catalog!Q121</f>
        <v/>
      </c>
      <c r="O148" s="15">
        <f>Catalog!AF121</f>
        <v/>
      </c>
    </row>
    <row r="149">
      <c r="A149" s="15">
        <f>Catalog!D122</f>
        <v/>
      </c>
      <c r="B149" s="15">
        <f>Catalog!F122</f>
        <v/>
      </c>
      <c r="C149" s="15">
        <f>IF(Catalog!I122="","",Catalog!I122)&amp;IF(AND(Catalog!I122&lt;&gt;"",Catalog!J122&lt;&gt;""),"; ","")&amp;IF(Catalog!J122="","",Catalog!J122)</f>
        <v/>
      </c>
      <c r="D149" s="15">
        <f>Catalog!P122</f>
        <v/>
      </c>
      <c r="E149" s="15">
        <f>Catalog!R122</f>
        <v/>
      </c>
      <c r="F149" s="15">
        <f>Catalog!M122</f>
        <v/>
      </c>
      <c r="G149" s="15">
        <f>Catalog!K122</f>
        <v/>
      </c>
      <c r="H149" s="15">
        <f>IF(Catalog!S122&lt;&gt;"","ISBN:"&amp;Catalog!S122,IF(Catalog!T122&lt;&gt;"","ISSN:"&amp;Catalog!T122,""))</f>
        <v/>
      </c>
      <c r="I149" s="15">
        <f>Catalog!B122</f>
        <v/>
      </c>
      <c r="J149" s="15">
        <f>Catalog!L122</f>
        <v/>
      </c>
      <c r="K149" s="15">
        <f>IF(Catalog!AG122&lt;&gt;"",Catalog!AG122,Catalog!AE122)</f>
        <v/>
      </c>
      <c r="L149" s="15">
        <f>Catalog!AD122</f>
        <v/>
      </c>
      <c r="M149" s="15">
        <f>Catalog!V122</f>
        <v/>
      </c>
      <c r="N149" s="15">
        <f>Catalog!Q122</f>
        <v/>
      </c>
      <c r="O149" s="15">
        <f>Catalog!AF122</f>
        <v/>
      </c>
    </row>
    <row r="150">
      <c r="A150" s="15">
        <f>Catalog!D123</f>
        <v/>
      </c>
      <c r="B150" s="15">
        <f>Catalog!F123</f>
        <v/>
      </c>
      <c r="C150" s="15">
        <f>IF(Catalog!I123="","",Catalog!I123)&amp;IF(AND(Catalog!I123&lt;&gt;"",Catalog!J123&lt;&gt;""),"; ","")&amp;IF(Catalog!J123="","",Catalog!J123)</f>
        <v/>
      </c>
      <c r="D150" s="15">
        <f>Catalog!P123</f>
        <v/>
      </c>
      <c r="E150" s="15">
        <f>Catalog!R123</f>
        <v/>
      </c>
      <c r="F150" s="15">
        <f>Catalog!M123</f>
        <v/>
      </c>
      <c r="G150" s="15">
        <f>Catalog!K123</f>
        <v/>
      </c>
      <c r="H150" s="15">
        <f>IF(Catalog!S123&lt;&gt;"","ISBN:"&amp;Catalog!S123,IF(Catalog!T123&lt;&gt;"","ISSN:"&amp;Catalog!T123,""))</f>
        <v/>
      </c>
      <c r="I150" s="15">
        <f>Catalog!B123</f>
        <v/>
      </c>
      <c r="J150" s="15">
        <f>Catalog!L123</f>
        <v/>
      </c>
      <c r="K150" s="15">
        <f>IF(Catalog!AG123&lt;&gt;"",Catalog!AG123,Catalog!AE123)</f>
        <v/>
      </c>
      <c r="L150" s="15">
        <f>Catalog!AD123</f>
        <v/>
      </c>
      <c r="M150" s="15">
        <f>Catalog!V123</f>
        <v/>
      </c>
      <c r="N150" s="15">
        <f>Catalog!Q123</f>
        <v/>
      </c>
      <c r="O150" s="15">
        <f>Catalog!AF123</f>
        <v/>
      </c>
    </row>
    <row r="151">
      <c r="A151" s="15">
        <f>Catalog!D124</f>
        <v/>
      </c>
      <c r="B151" s="15">
        <f>Catalog!F124</f>
        <v/>
      </c>
      <c r="C151" s="15">
        <f>IF(Catalog!I124="","",Catalog!I124)&amp;IF(AND(Catalog!I124&lt;&gt;"",Catalog!J124&lt;&gt;""),"; ","")&amp;IF(Catalog!J124="","",Catalog!J124)</f>
        <v/>
      </c>
      <c r="D151" s="15">
        <f>Catalog!P124</f>
        <v/>
      </c>
      <c r="E151" s="15">
        <f>Catalog!R124</f>
        <v/>
      </c>
      <c r="F151" s="15">
        <f>Catalog!M124</f>
        <v/>
      </c>
      <c r="G151" s="15">
        <f>Catalog!K124</f>
        <v/>
      </c>
      <c r="H151" s="15">
        <f>IF(Catalog!S124&lt;&gt;"","ISBN:"&amp;Catalog!S124,IF(Catalog!T124&lt;&gt;"","ISSN:"&amp;Catalog!T124,""))</f>
        <v/>
      </c>
      <c r="I151" s="15">
        <f>Catalog!B124</f>
        <v/>
      </c>
      <c r="J151" s="15">
        <f>Catalog!L124</f>
        <v/>
      </c>
      <c r="K151" s="15">
        <f>IF(Catalog!AG124&lt;&gt;"",Catalog!AG124,Catalog!AE124)</f>
        <v/>
      </c>
      <c r="L151" s="15">
        <f>Catalog!AD124</f>
        <v/>
      </c>
      <c r="M151" s="15">
        <f>Catalog!V124</f>
        <v/>
      </c>
      <c r="N151" s="15">
        <f>Catalog!Q124</f>
        <v/>
      </c>
      <c r="O151" s="15">
        <f>Catalog!AF124</f>
        <v/>
      </c>
    </row>
    <row r="152">
      <c r="A152" s="15">
        <f>Catalog!D125</f>
        <v/>
      </c>
      <c r="B152" s="15">
        <f>Catalog!F125</f>
        <v/>
      </c>
      <c r="C152" s="15">
        <f>IF(Catalog!I125="","",Catalog!I125)&amp;IF(AND(Catalog!I125&lt;&gt;"",Catalog!J125&lt;&gt;""),"; ","")&amp;IF(Catalog!J125="","",Catalog!J125)</f>
        <v/>
      </c>
      <c r="D152" s="15">
        <f>Catalog!P125</f>
        <v/>
      </c>
      <c r="E152" s="15">
        <f>Catalog!R125</f>
        <v/>
      </c>
      <c r="F152" s="15">
        <f>Catalog!M125</f>
        <v/>
      </c>
      <c r="G152" s="15">
        <f>Catalog!K125</f>
        <v/>
      </c>
      <c r="H152" s="15">
        <f>IF(Catalog!S125&lt;&gt;"","ISBN:"&amp;Catalog!S125,IF(Catalog!T125&lt;&gt;"","ISSN:"&amp;Catalog!T125,""))</f>
        <v/>
      </c>
      <c r="I152" s="15">
        <f>Catalog!B125</f>
        <v/>
      </c>
      <c r="J152" s="15">
        <f>Catalog!L125</f>
        <v/>
      </c>
      <c r="K152" s="15">
        <f>IF(Catalog!AG125&lt;&gt;"",Catalog!AG125,Catalog!AE125)</f>
        <v/>
      </c>
      <c r="L152" s="15">
        <f>Catalog!AD125</f>
        <v/>
      </c>
      <c r="M152" s="15">
        <f>Catalog!V125</f>
        <v/>
      </c>
      <c r="N152" s="15">
        <f>Catalog!Q125</f>
        <v/>
      </c>
      <c r="O152" s="15">
        <f>Catalog!AF125</f>
        <v/>
      </c>
    </row>
    <row r="153">
      <c r="A153" s="15">
        <f>Catalog!D126</f>
        <v/>
      </c>
      <c r="B153" s="15">
        <f>Catalog!F126</f>
        <v/>
      </c>
      <c r="C153" s="15">
        <f>IF(Catalog!I126="","",Catalog!I126)&amp;IF(AND(Catalog!I126&lt;&gt;"",Catalog!J126&lt;&gt;""),"; ","")&amp;IF(Catalog!J126="","",Catalog!J126)</f>
        <v/>
      </c>
      <c r="D153" s="15">
        <f>Catalog!P126</f>
        <v/>
      </c>
      <c r="E153" s="15">
        <f>Catalog!R126</f>
        <v/>
      </c>
      <c r="F153" s="15">
        <f>Catalog!M126</f>
        <v/>
      </c>
      <c r="G153" s="15">
        <f>Catalog!K126</f>
        <v/>
      </c>
      <c r="H153" s="15">
        <f>IF(Catalog!S126&lt;&gt;"","ISBN:"&amp;Catalog!S126,IF(Catalog!T126&lt;&gt;"","ISSN:"&amp;Catalog!T126,""))</f>
        <v/>
      </c>
      <c r="I153" s="15">
        <f>Catalog!B126</f>
        <v/>
      </c>
      <c r="J153" s="15">
        <f>Catalog!L126</f>
        <v/>
      </c>
      <c r="K153" s="15">
        <f>IF(Catalog!AG126&lt;&gt;"",Catalog!AG126,Catalog!AE126)</f>
        <v/>
      </c>
      <c r="L153" s="15">
        <f>Catalog!AD126</f>
        <v/>
      </c>
      <c r="M153" s="15">
        <f>Catalog!V126</f>
        <v/>
      </c>
      <c r="N153" s="15">
        <f>Catalog!Q126</f>
        <v/>
      </c>
      <c r="O153" s="15">
        <f>Catalog!AF126</f>
        <v/>
      </c>
    </row>
    <row r="154">
      <c r="A154" s="15">
        <f>Catalog!D127</f>
        <v/>
      </c>
      <c r="B154" s="15">
        <f>Catalog!F127</f>
        <v/>
      </c>
      <c r="C154" s="15">
        <f>IF(Catalog!I127="","",Catalog!I127)&amp;IF(AND(Catalog!I127&lt;&gt;"",Catalog!J127&lt;&gt;""),"; ","")&amp;IF(Catalog!J127="","",Catalog!J127)</f>
        <v/>
      </c>
      <c r="D154" s="15">
        <f>Catalog!P127</f>
        <v/>
      </c>
      <c r="E154" s="15">
        <f>Catalog!R127</f>
        <v/>
      </c>
      <c r="F154" s="15">
        <f>Catalog!M127</f>
        <v/>
      </c>
      <c r="G154" s="15">
        <f>Catalog!K127</f>
        <v/>
      </c>
      <c r="H154" s="15">
        <f>IF(Catalog!S127&lt;&gt;"","ISBN:"&amp;Catalog!S127,IF(Catalog!T127&lt;&gt;"","ISSN:"&amp;Catalog!T127,""))</f>
        <v/>
      </c>
      <c r="I154" s="15">
        <f>Catalog!B127</f>
        <v/>
      </c>
      <c r="J154" s="15">
        <f>Catalog!L127</f>
        <v/>
      </c>
      <c r="K154" s="15">
        <f>IF(Catalog!AG127&lt;&gt;"",Catalog!AG127,Catalog!AE127)</f>
        <v/>
      </c>
      <c r="L154" s="15">
        <f>Catalog!AD127</f>
        <v/>
      </c>
      <c r="M154" s="15">
        <f>Catalog!V127</f>
        <v/>
      </c>
      <c r="N154" s="15">
        <f>Catalog!Q127</f>
        <v/>
      </c>
      <c r="O154" s="15">
        <f>Catalog!AF127</f>
        <v/>
      </c>
    </row>
    <row r="155">
      <c r="A155" s="15">
        <f>Catalog!D128</f>
        <v/>
      </c>
      <c r="B155" s="15">
        <f>Catalog!F128</f>
        <v/>
      </c>
      <c r="C155" s="15">
        <f>IF(Catalog!I128="","",Catalog!I128)&amp;IF(AND(Catalog!I128&lt;&gt;"",Catalog!J128&lt;&gt;""),"; ","")&amp;IF(Catalog!J128="","",Catalog!J128)</f>
        <v/>
      </c>
      <c r="D155" s="15">
        <f>Catalog!P128</f>
        <v/>
      </c>
      <c r="E155" s="15">
        <f>Catalog!R128</f>
        <v/>
      </c>
      <c r="F155" s="15">
        <f>Catalog!M128</f>
        <v/>
      </c>
      <c r="G155" s="15">
        <f>Catalog!K128</f>
        <v/>
      </c>
      <c r="H155" s="15">
        <f>IF(Catalog!S128&lt;&gt;"","ISBN:"&amp;Catalog!S128,IF(Catalog!T128&lt;&gt;"","ISSN:"&amp;Catalog!T128,""))</f>
        <v/>
      </c>
      <c r="I155" s="15">
        <f>Catalog!B128</f>
        <v/>
      </c>
      <c r="J155" s="15">
        <f>Catalog!L128</f>
        <v/>
      </c>
      <c r="K155" s="15">
        <f>IF(Catalog!AG128&lt;&gt;"",Catalog!AG128,Catalog!AE128)</f>
        <v/>
      </c>
      <c r="L155" s="15">
        <f>Catalog!AD128</f>
        <v/>
      </c>
      <c r="M155" s="15">
        <f>Catalog!V128</f>
        <v/>
      </c>
      <c r="N155" s="15">
        <f>Catalog!Q128</f>
        <v/>
      </c>
      <c r="O155" s="15">
        <f>Catalog!AF128</f>
        <v/>
      </c>
    </row>
    <row r="156">
      <c r="A156" s="15">
        <f>Catalog!D129</f>
        <v/>
      </c>
      <c r="B156" s="15">
        <f>Catalog!F129</f>
        <v/>
      </c>
      <c r="C156" s="15">
        <f>IF(Catalog!I129="","",Catalog!I129)&amp;IF(AND(Catalog!I129&lt;&gt;"",Catalog!J129&lt;&gt;""),"; ","")&amp;IF(Catalog!J129="","",Catalog!J129)</f>
        <v/>
      </c>
      <c r="D156" s="15">
        <f>Catalog!P129</f>
        <v/>
      </c>
      <c r="E156" s="15">
        <f>Catalog!R129</f>
        <v/>
      </c>
      <c r="F156" s="15">
        <f>Catalog!M129</f>
        <v/>
      </c>
      <c r="G156" s="15">
        <f>Catalog!K129</f>
        <v/>
      </c>
      <c r="H156" s="15">
        <f>IF(Catalog!S129&lt;&gt;"","ISBN:"&amp;Catalog!S129,IF(Catalog!T129&lt;&gt;"","ISSN:"&amp;Catalog!T129,""))</f>
        <v/>
      </c>
      <c r="I156" s="15">
        <f>Catalog!B129</f>
        <v/>
      </c>
      <c r="J156" s="15">
        <f>Catalog!L129</f>
        <v/>
      </c>
      <c r="K156" s="15">
        <f>IF(Catalog!AG129&lt;&gt;"",Catalog!AG129,Catalog!AE129)</f>
        <v/>
      </c>
      <c r="L156" s="15">
        <f>Catalog!AD129</f>
        <v/>
      </c>
      <c r="M156" s="15">
        <f>Catalog!V129</f>
        <v/>
      </c>
      <c r="N156" s="15">
        <f>Catalog!Q129</f>
        <v/>
      </c>
      <c r="O156" s="15">
        <f>Catalog!AF129</f>
        <v/>
      </c>
    </row>
    <row r="157">
      <c r="A157" s="15">
        <f>Catalog!D130</f>
        <v/>
      </c>
      <c r="B157" s="15">
        <f>Catalog!F130</f>
        <v/>
      </c>
      <c r="C157" s="15">
        <f>IF(Catalog!I130="","",Catalog!I130)&amp;IF(AND(Catalog!I130&lt;&gt;"",Catalog!J130&lt;&gt;""),"; ","")&amp;IF(Catalog!J130="","",Catalog!J130)</f>
        <v/>
      </c>
      <c r="D157" s="15">
        <f>Catalog!P130</f>
        <v/>
      </c>
      <c r="E157" s="15">
        <f>Catalog!R130</f>
        <v/>
      </c>
      <c r="F157" s="15">
        <f>Catalog!M130</f>
        <v/>
      </c>
      <c r="G157" s="15">
        <f>Catalog!K130</f>
        <v/>
      </c>
      <c r="H157" s="15">
        <f>IF(Catalog!S130&lt;&gt;"","ISBN:"&amp;Catalog!S130,IF(Catalog!T130&lt;&gt;"","ISSN:"&amp;Catalog!T130,""))</f>
        <v/>
      </c>
      <c r="I157" s="15">
        <f>Catalog!B130</f>
        <v/>
      </c>
      <c r="J157" s="15">
        <f>Catalog!L130</f>
        <v/>
      </c>
      <c r="K157" s="15">
        <f>IF(Catalog!AG130&lt;&gt;"",Catalog!AG130,Catalog!AE130)</f>
        <v/>
      </c>
      <c r="L157" s="15">
        <f>Catalog!AD130</f>
        <v/>
      </c>
      <c r="M157" s="15">
        <f>Catalog!V130</f>
        <v/>
      </c>
      <c r="N157" s="15">
        <f>Catalog!Q130</f>
        <v/>
      </c>
      <c r="O157" s="15">
        <f>Catalog!AF130</f>
        <v/>
      </c>
    </row>
    <row r="158">
      <c r="A158" s="15">
        <f>Catalog!D131</f>
        <v/>
      </c>
      <c r="B158" s="15">
        <f>Catalog!F131</f>
        <v/>
      </c>
      <c r="C158" s="15">
        <f>IF(Catalog!I131="","",Catalog!I131)&amp;IF(AND(Catalog!I131&lt;&gt;"",Catalog!J131&lt;&gt;""),"; ","")&amp;IF(Catalog!J131="","",Catalog!J131)</f>
        <v/>
      </c>
      <c r="D158" s="15">
        <f>Catalog!P131</f>
        <v/>
      </c>
      <c r="E158" s="15">
        <f>Catalog!R131</f>
        <v/>
      </c>
      <c r="F158" s="15">
        <f>Catalog!M131</f>
        <v/>
      </c>
      <c r="G158" s="15">
        <f>Catalog!K131</f>
        <v/>
      </c>
      <c r="H158" s="15">
        <f>IF(Catalog!S131&lt;&gt;"","ISBN:"&amp;Catalog!S131,IF(Catalog!T131&lt;&gt;"","ISSN:"&amp;Catalog!T131,""))</f>
        <v/>
      </c>
      <c r="I158" s="15">
        <f>Catalog!B131</f>
        <v/>
      </c>
      <c r="J158" s="15">
        <f>Catalog!L131</f>
        <v/>
      </c>
      <c r="K158" s="15">
        <f>IF(Catalog!AG131&lt;&gt;"",Catalog!AG131,Catalog!AE131)</f>
        <v/>
      </c>
      <c r="L158" s="15">
        <f>Catalog!AD131</f>
        <v/>
      </c>
      <c r="M158" s="15">
        <f>Catalog!V131</f>
        <v/>
      </c>
      <c r="N158" s="15">
        <f>Catalog!Q131</f>
        <v/>
      </c>
      <c r="O158" s="15">
        <f>Catalog!AF131</f>
        <v/>
      </c>
    </row>
    <row r="159">
      <c r="A159" s="15">
        <f>Catalog!D132</f>
        <v/>
      </c>
      <c r="B159" s="15">
        <f>Catalog!F132</f>
        <v/>
      </c>
      <c r="C159" s="15">
        <f>IF(Catalog!I132="","",Catalog!I132)&amp;IF(AND(Catalog!I132&lt;&gt;"",Catalog!J132&lt;&gt;""),"; ","")&amp;IF(Catalog!J132="","",Catalog!J132)</f>
        <v/>
      </c>
      <c r="D159" s="15">
        <f>Catalog!P132</f>
        <v/>
      </c>
      <c r="E159" s="15">
        <f>Catalog!R132</f>
        <v/>
      </c>
      <c r="F159" s="15">
        <f>Catalog!M132</f>
        <v/>
      </c>
      <c r="G159" s="15">
        <f>Catalog!K132</f>
        <v/>
      </c>
      <c r="H159" s="15">
        <f>IF(Catalog!S132&lt;&gt;"","ISBN:"&amp;Catalog!S132,IF(Catalog!T132&lt;&gt;"","ISSN:"&amp;Catalog!T132,""))</f>
        <v/>
      </c>
      <c r="I159" s="15">
        <f>Catalog!B132</f>
        <v/>
      </c>
      <c r="J159" s="15">
        <f>Catalog!L132</f>
        <v/>
      </c>
      <c r="K159" s="15">
        <f>IF(Catalog!AG132&lt;&gt;"",Catalog!AG132,Catalog!AE132)</f>
        <v/>
      </c>
      <c r="L159" s="15">
        <f>Catalog!AD132</f>
        <v/>
      </c>
      <c r="M159" s="15">
        <f>Catalog!V132</f>
        <v/>
      </c>
      <c r="N159" s="15">
        <f>Catalog!Q132</f>
        <v/>
      </c>
      <c r="O159" s="15">
        <f>Catalog!AF132</f>
        <v/>
      </c>
    </row>
    <row r="160">
      <c r="A160" s="15">
        <f>Catalog!D133</f>
        <v/>
      </c>
      <c r="B160" s="15">
        <f>Catalog!F133</f>
        <v/>
      </c>
      <c r="C160" s="15">
        <f>IF(Catalog!I133="","",Catalog!I133)&amp;IF(AND(Catalog!I133&lt;&gt;"",Catalog!J133&lt;&gt;""),"; ","")&amp;IF(Catalog!J133="","",Catalog!J133)</f>
        <v/>
      </c>
      <c r="D160" s="15">
        <f>Catalog!P133</f>
        <v/>
      </c>
      <c r="E160" s="15">
        <f>Catalog!R133</f>
        <v/>
      </c>
      <c r="F160" s="15">
        <f>Catalog!M133</f>
        <v/>
      </c>
      <c r="G160" s="15">
        <f>Catalog!K133</f>
        <v/>
      </c>
      <c r="H160" s="15">
        <f>IF(Catalog!S133&lt;&gt;"","ISBN:"&amp;Catalog!S133,IF(Catalog!T133&lt;&gt;"","ISSN:"&amp;Catalog!T133,""))</f>
        <v/>
      </c>
      <c r="I160" s="15">
        <f>Catalog!B133</f>
        <v/>
      </c>
      <c r="J160" s="15">
        <f>Catalog!L133</f>
        <v/>
      </c>
      <c r="K160" s="15">
        <f>IF(Catalog!AG133&lt;&gt;"",Catalog!AG133,Catalog!AE133)</f>
        <v/>
      </c>
      <c r="L160" s="15">
        <f>Catalog!AD133</f>
        <v/>
      </c>
      <c r="M160" s="15">
        <f>Catalog!V133</f>
        <v/>
      </c>
      <c r="N160" s="15">
        <f>Catalog!Q133</f>
        <v/>
      </c>
      <c r="O160" s="15">
        <f>Catalog!AF133</f>
        <v/>
      </c>
    </row>
    <row r="161">
      <c r="A161" s="15">
        <f>Catalog!D134</f>
        <v/>
      </c>
      <c r="B161" s="15">
        <f>Catalog!F134</f>
        <v/>
      </c>
      <c r="C161" s="15">
        <f>IF(Catalog!I134="","",Catalog!I134)&amp;IF(AND(Catalog!I134&lt;&gt;"",Catalog!J134&lt;&gt;""),"; ","")&amp;IF(Catalog!J134="","",Catalog!J134)</f>
        <v/>
      </c>
      <c r="D161" s="15">
        <f>Catalog!P134</f>
        <v/>
      </c>
      <c r="E161" s="15">
        <f>Catalog!R134</f>
        <v/>
      </c>
      <c r="F161" s="15">
        <f>Catalog!M134</f>
        <v/>
      </c>
      <c r="G161" s="15">
        <f>Catalog!K134</f>
        <v/>
      </c>
      <c r="H161" s="15">
        <f>IF(Catalog!S134&lt;&gt;"","ISBN:"&amp;Catalog!S134,IF(Catalog!T134&lt;&gt;"","ISSN:"&amp;Catalog!T134,""))</f>
        <v/>
      </c>
      <c r="I161" s="15">
        <f>Catalog!B134</f>
        <v/>
      </c>
      <c r="J161" s="15">
        <f>Catalog!L134</f>
        <v/>
      </c>
      <c r="K161" s="15">
        <f>IF(Catalog!AG134&lt;&gt;"",Catalog!AG134,Catalog!AE134)</f>
        <v/>
      </c>
      <c r="L161" s="15">
        <f>Catalog!AD134</f>
        <v/>
      </c>
      <c r="M161" s="15">
        <f>Catalog!V134</f>
        <v/>
      </c>
      <c r="N161" s="15">
        <f>Catalog!Q134</f>
        <v/>
      </c>
      <c r="O161" s="15">
        <f>Catalog!AF134</f>
        <v/>
      </c>
    </row>
    <row r="162">
      <c r="A162" s="15">
        <f>Catalog!D135</f>
        <v/>
      </c>
      <c r="B162" s="15">
        <f>Catalog!F135</f>
        <v/>
      </c>
      <c r="C162" s="15">
        <f>IF(Catalog!I135="","",Catalog!I135)&amp;IF(AND(Catalog!I135&lt;&gt;"",Catalog!J135&lt;&gt;""),"; ","")&amp;IF(Catalog!J135="","",Catalog!J135)</f>
        <v/>
      </c>
      <c r="D162" s="15">
        <f>Catalog!P135</f>
        <v/>
      </c>
      <c r="E162" s="15">
        <f>Catalog!R135</f>
        <v/>
      </c>
      <c r="F162" s="15">
        <f>Catalog!M135</f>
        <v/>
      </c>
      <c r="G162" s="15">
        <f>Catalog!K135</f>
        <v/>
      </c>
      <c r="H162" s="15">
        <f>IF(Catalog!S135&lt;&gt;"","ISBN:"&amp;Catalog!S135,IF(Catalog!T135&lt;&gt;"","ISSN:"&amp;Catalog!T135,""))</f>
        <v/>
      </c>
      <c r="I162" s="15">
        <f>Catalog!B135</f>
        <v/>
      </c>
      <c r="J162" s="15">
        <f>Catalog!L135</f>
        <v/>
      </c>
      <c r="K162" s="15">
        <f>IF(Catalog!AG135&lt;&gt;"",Catalog!AG135,Catalog!AE135)</f>
        <v/>
      </c>
      <c r="L162" s="15">
        <f>Catalog!AD135</f>
        <v/>
      </c>
      <c r="M162" s="15">
        <f>Catalog!V135</f>
        <v/>
      </c>
      <c r="N162" s="15">
        <f>Catalog!Q135</f>
        <v/>
      </c>
      <c r="O162" s="15">
        <f>Catalog!AF135</f>
        <v/>
      </c>
    </row>
    <row r="163">
      <c r="A163" s="15">
        <f>Catalog!D136</f>
        <v/>
      </c>
      <c r="B163" s="15">
        <f>Catalog!F136</f>
        <v/>
      </c>
      <c r="C163" s="15">
        <f>IF(Catalog!I136="","",Catalog!I136)&amp;IF(AND(Catalog!I136&lt;&gt;"",Catalog!J136&lt;&gt;""),"; ","")&amp;IF(Catalog!J136="","",Catalog!J136)</f>
        <v/>
      </c>
      <c r="D163" s="15">
        <f>Catalog!P136</f>
        <v/>
      </c>
      <c r="E163" s="15">
        <f>Catalog!R136</f>
        <v/>
      </c>
      <c r="F163" s="15">
        <f>Catalog!M136</f>
        <v/>
      </c>
      <c r="G163" s="15">
        <f>Catalog!K136</f>
        <v/>
      </c>
      <c r="H163" s="15">
        <f>IF(Catalog!S136&lt;&gt;"","ISBN:"&amp;Catalog!S136,IF(Catalog!T136&lt;&gt;"","ISSN:"&amp;Catalog!T136,""))</f>
        <v/>
      </c>
      <c r="I163" s="15">
        <f>Catalog!B136</f>
        <v/>
      </c>
      <c r="J163" s="15">
        <f>Catalog!L136</f>
        <v/>
      </c>
      <c r="K163" s="15">
        <f>IF(Catalog!AG136&lt;&gt;"",Catalog!AG136,Catalog!AE136)</f>
        <v/>
      </c>
      <c r="L163" s="15">
        <f>Catalog!AD136</f>
        <v/>
      </c>
      <c r="M163" s="15">
        <f>Catalog!V136</f>
        <v/>
      </c>
      <c r="N163" s="15">
        <f>Catalog!Q136</f>
        <v/>
      </c>
      <c r="O163" s="15">
        <f>Catalog!AF136</f>
        <v/>
      </c>
    </row>
    <row r="164">
      <c r="A164" s="15">
        <f>Catalog!D137</f>
        <v/>
      </c>
      <c r="B164" s="15">
        <f>Catalog!F137</f>
        <v/>
      </c>
      <c r="C164" s="15">
        <f>IF(Catalog!I137="","",Catalog!I137)&amp;IF(AND(Catalog!I137&lt;&gt;"",Catalog!J137&lt;&gt;""),"; ","")&amp;IF(Catalog!J137="","",Catalog!J137)</f>
        <v/>
      </c>
      <c r="D164" s="15">
        <f>Catalog!P137</f>
        <v/>
      </c>
      <c r="E164" s="15">
        <f>Catalog!R137</f>
        <v/>
      </c>
      <c r="F164" s="15">
        <f>Catalog!M137</f>
        <v/>
      </c>
      <c r="G164" s="15">
        <f>Catalog!K137</f>
        <v/>
      </c>
      <c r="H164" s="15">
        <f>IF(Catalog!S137&lt;&gt;"","ISBN:"&amp;Catalog!S137,IF(Catalog!T137&lt;&gt;"","ISSN:"&amp;Catalog!T137,""))</f>
        <v/>
      </c>
      <c r="I164" s="15">
        <f>Catalog!B137</f>
        <v/>
      </c>
      <c r="J164" s="15">
        <f>Catalog!L137</f>
        <v/>
      </c>
      <c r="K164" s="15">
        <f>IF(Catalog!AG137&lt;&gt;"",Catalog!AG137,Catalog!AE137)</f>
        <v/>
      </c>
      <c r="L164" s="15">
        <f>Catalog!AD137</f>
        <v/>
      </c>
      <c r="M164" s="15">
        <f>Catalog!V137</f>
        <v/>
      </c>
      <c r="N164" s="15">
        <f>Catalog!Q137</f>
        <v/>
      </c>
      <c r="O164" s="15">
        <f>Catalog!AF137</f>
        <v/>
      </c>
    </row>
    <row r="165">
      <c r="A165" s="15">
        <f>Catalog!D138</f>
        <v/>
      </c>
      <c r="B165" s="15">
        <f>Catalog!F138</f>
        <v/>
      </c>
      <c r="C165" s="15">
        <f>IF(Catalog!I138="","",Catalog!I138)&amp;IF(AND(Catalog!I138&lt;&gt;"",Catalog!J138&lt;&gt;""),"; ","")&amp;IF(Catalog!J138="","",Catalog!J138)</f>
        <v/>
      </c>
      <c r="D165" s="15">
        <f>Catalog!P138</f>
        <v/>
      </c>
      <c r="E165" s="15">
        <f>Catalog!R138</f>
        <v/>
      </c>
      <c r="F165" s="15">
        <f>Catalog!M138</f>
        <v/>
      </c>
      <c r="G165" s="15">
        <f>Catalog!K138</f>
        <v/>
      </c>
      <c r="H165" s="15">
        <f>IF(Catalog!S138&lt;&gt;"","ISBN:"&amp;Catalog!S138,IF(Catalog!T138&lt;&gt;"","ISSN:"&amp;Catalog!T138,""))</f>
        <v/>
      </c>
      <c r="I165" s="15">
        <f>Catalog!B138</f>
        <v/>
      </c>
      <c r="J165" s="15">
        <f>Catalog!L138</f>
        <v/>
      </c>
      <c r="K165" s="15">
        <f>IF(Catalog!AG138&lt;&gt;"",Catalog!AG138,Catalog!AE138)</f>
        <v/>
      </c>
      <c r="L165" s="15">
        <f>Catalog!AD138</f>
        <v/>
      </c>
      <c r="M165" s="15">
        <f>Catalog!V138</f>
        <v/>
      </c>
      <c r="N165" s="15">
        <f>Catalog!Q138</f>
        <v/>
      </c>
      <c r="O165" s="15">
        <f>Catalog!AF138</f>
        <v/>
      </c>
    </row>
    <row r="166">
      <c r="A166" s="15">
        <f>Catalog!D139</f>
        <v/>
      </c>
      <c r="B166" s="15">
        <f>Catalog!F139</f>
        <v/>
      </c>
      <c r="C166" s="15">
        <f>IF(Catalog!I139="","",Catalog!I139)&amp;IF(AND(Catalog!I139&lt;&gt;"",Catalog!J139&lt;&gt;""),"; ","")&amp;IF(Catalog!J139="","",Catalog!J139)</f>
        <v/>
      </c>
      <c r="D166" s="15">
        <f>Catalog!P139</f>
        <v/>
      </c>
      <c r="E166" s="15">
        <f>Catalog!R139</f>
        <v/>
      </c>
      <c r="F166" s="15">
        <f>Catalog!M139</f>
        <v/>
      </c>
      <c r="G166" s="15">
        <f>Catalog!K139</f>
        <v/>
      </c>
      <c r="H166" s="15">
        <f>IF(Catalog!S139&lt;&gt;"","ISBN:"&amp;Catalog!S139,IF(Catalog!T139&lt;&gt;"","ISSN:"&amp;Catalog!T139,""))</f>
        <v/>
      </c>
      <c r="I166" s="15">
        <f>Catalog!B139</f>
        <v/>
      </c>
      <c r="J166" s="15">
        <f>Catalog!L139</f>
        <v/>
      </c>
      <c r="K166" s="15">
        <f>IF(Catalog!AG139&lt;&gt;"",Catalog!AG139,Catalog!AE139)</f>
        <v/>
      </c>
      <c r="L166" s="15">
        <f>Catalog!AD139</f>
        <v/>
      </c>
      <c r="M166" s="15">
        <f>Catalog!V139</f>
        <v/>
      </c>
      <c r="N166" s="15">
        <f>Catalog!Q139</f>
        <v/>
      </c>
      <c r="O166" s="15">
        <f>Catalog!AF139</f>
        <v/>
      </c>
    </row>
    <row r="167">
      <c r="A167" s="15">
        <f>Catalog!D140</f>
        <v/>
      </c>
      <c r="B167" s="15">
        <f>Catalog!F140</f>
        <v/>
      </c>
      <c r="C167" s="15">
        <f>IF(Catalog!I140="","",Catalog!I140)&amp;IF(AND(Catalog!I140&lt;&gt;"",Catalog!J140&lt;&gt;""),"; ","")&amp;IF(Catalog!J140="","",Catalog!J140)</f>
        <v/>
      </c>
      <c r="D167" s="15">
        <f>Catalog!P140</f>
        <v/>
      </c>
      <c r="E167" s="15">
        <f>Catalog!R140</f>
        <v/>
      </c>
      <c r="F167" s="15">
        <f>Catalog!M140</f>
        <v/>
      </c>
      <c r="G167" s="15">
        <f>Catalog!K140</f>
        <v/>
      </c>
      <c r="H167" s="15">
        <f>IF(Catalog!S140&lt;&gt;"","ISBN:"&amp;Catalog!S140,IF(Catalog!T140&lt;&gt;"","ISSN:"&amp;Catalog!T140,""))</f>
        <v/>
      </c>
      <c r="I167" s="15">
        <f>Catalog!B140</f>
        <v/>
      </c>
      <c r="J167" s="15">
        <f>Catalog!L140</f>
        <v/>
      </c>
      <c r="K167" s="15">
        <f>IF(Catalog!AG140&lt;&gt;"",Catalog!AG140,Catalog!AE140)</f>
        <v/>
      </c>
      <c r="L167" s="15">
        <f>Catalog!AD140</f>
        <v/>
      </c>
      <c r="M167" s="15">
        <f>Catalog!V140</f>
        <v/>
      </c>
      <c r="N167" s="15">
        <f>Catalog!Q140</f>
        <v/>
      </c>
      <c r="O167" s="15">
        <f>Catalog!AF140</f>
        <v/>
      </c>
    </row>
    <row r="168">
      <c r="A168" s="15">
        <f>Catalog!D141</f>
        <v/>
      </c>
      <c r="B168" s="15">
        <f>Catalog!F141</f>
        <v/>
      </c>
      <c r="C168" s="15">
        <f>IF(Catalog!I141="","",Catalog!I141)&amp;IF(AND(Catalog!I141&lt;&gt;"",Catalog!J141&lt;&gt;""),"; ","")&amp;IF(Catalog!J141="","",Catalog!J141)</f>
        <v/>
      </c>
      <c r="D168" s="15">
        <f>Catalog!P141</f>
        <v/>
      </c>
      <c r="E168" s="15">
        <f>Catalog!R141</f>
        <v/>
      </c>
      <c r="F168" s="15">
        <f>Catalog!M141</f>
        <v/>
      </c>
      <c r="G168" s="15">
        <f>Catalog!K141</f>
        <v/>
      </c>
      <c r="H168" s="15">
        <f>IF(Catalog!S141&lt;&gt;"","ISBN:"&amp;Catalog!S141,IF(Catalog!T141&lt;&gt;"","ISSN:"&amp;Catalog!T141,""))</f>
        <v/>
      </c>
      <c r="I168" s="15">
        <f>Catalog!B141</f>
        <v/>
      </c>
      <c r="J168" s="15">
        <f>Catalog!L141</f>
        <v/>
      </c>
      <c r="K168" s="15">
        <f>IF(Catalog!AG141&lt;&gt;"",Catalog!AG141,Catalog!AE141)</f>
        <v/>
      </c>
      <c r="L168" s="15">
        <f>Catalog!AD141</f>
        <v/>
      </c>
      <c r="M168" s="15">
        <f>Catalog!V141</f>
        <v/>
      </c>
      <c r="N168" s="15">
        <f>Catalog!Q141</f>
        <v/>
      </c>
      <c r="O168" s="15">
        <f>Catalog!AF141</f>
        <v/>
      </c>
    </row>
    <row r="169">
      <c r="A169" s="15">
        <f>Catalog!D142</f>
        <v/>
      </c>
      <c r="B169" s="15">
        <f>Catalog!F142</f>
        <v/>
      </c>
      <c r="C169" s="15">
        <f>IF(Catalog!I142="","",Catalog!I142)&amp;IF(AND(Catalog!I142&lt;&gt;"",Catalog!J142&lt;&gt;""),"; ","")&amp;IF(Catalog!J142="","",Catalog!J142)</f>
        <v/>
      </c>
      <c r="D169" s="15">
        <f>Catalog!P142</f>
        <v/>
      </c>
      <c r="E169" s="15">
        <f>Catalog!R142</f>
        <v/>
      </c>
      <c r="F169" s="15">
        <f>Catalog!M142</f>
        <v/>
      </c>
      <c r="G169" s="15">
        <f>Catalog!K142</f>
        <v/>
      </c>
      <c r="H169" s="15">
        <f>IF(Catalog!S142&lt;&gt;"","ISBN:"&amp;Catalog!S142,IF(Catalog!T142&lt;&gt;"","ISSN:"&amp;Catalog!T142,""))</f>
        <v/>
      </c>
      <c r="I169" s="15">
        <f>Catalog!B142</f>
        <v/>
      </c>
      <c r="J169" s="15">
        <f>Catalog!L142</f>
        <v/>
      </c>
      <c r="K169" s="15">
        <f>IF(Catalog!AG142&lt;&gt;"",Catalog!AG142,Catalog!AE142)</f>
        <v/>
      </c>
      <c r="L169" s="15">
        <f>Catalog!AD142</f>
        <v/>
      </c>
      <c r="M169" s="15">
        <f>Catalog!V142</f>
        <v/>
      </c>
      <c r="N169" s="15">
        <f>Catalog!Q142</f>
        <v/>
      </c>
      <c r="O169" s="15">
        <f>Catalog!AF142</f>
        <v/>
      </c>
    </row>
    <row r="170">
      <c r="A170" s="15">
        <f>Catalog!D143</f>
        <v/>
      </c>
      <c r="B170" s="15">
        <f>Catalog!F143</f>
        <v/>
      </c>
      <c r="C170" s="15">
        <f>IF(Catalog!I143="","",Catalog!I143)&amp;IF(AND(Catalog!I143&lt;&gt;"",Catalog!J143&lt;&gt;""),"; ","")&amp;IF(Catalog!J143="","",Catalog!J143)</f>
        <v/>
      </c>
      <c r="D170" s="15">
        <f>Catalog!P143</f>
        <v/>
      </c>
      <c r="E170" s="15">
        <f>Catalog!R143</f>
        <v/>
      </c>
      <c r="F170" s="15">
        <f>Catalog!M143</f>
        <v/>
      </c>
      <c r="G170" s="15">
        <f>Catalog!K143</f>
        <v/>
      </c>
      <c r="H170" s="15">
        <f>IF(Catalog!S143&lt;&gt;"","ISBN:"&amp;Catalog!S143,IF(Catalog!T143&lt;&gt;"","ISSN:"&amp;Catalog!T143,""))</f>
        <v/>
      </c>
      <c r="I170" s="15">
        <f>Catalog!B143</f>
        <v/>
      </c>
      <c r="J170" s="15">
        <f>Catalog!L143</f>
        <v/>
      </c>
      <c r="K170" s="15">
        <f>IF(Catalog!AG143&lt;&gt;"",Catalog!AG143,Catalog!AE143)</f>
        <v/>
      </c>
      <c r="L170" s="15">
        <f>Catalog!AD143</f>
        <v/>
      </c>
      <c r="M170" s="15">
        <f>Catalog!V143</f>
        <v/>
      </c>
      <c r="N170" s="15">
        <f>Catalog!Q143</f>
        <v/>
      </c>
      <c r="O170" s="15">
        <f>Catalog!AF143</f>
        <v/>
      </c>
    </row>
    <row r="171">
      <c r="A171" s="15">
        <f>Catalog!D144</f>
        <v/>
      </c>
      <c r="B171" s="15">
        <f>Catalog!F144</f>
        <v/>
      </c>
      <c r="C171" s="15">
        <f>IF(Catalog!I144="","",Catalog!I144)&amp;IF(AND(Catalog!I144&lt;&gt;"",Catalog!J144&lt;&gt;""),"; ","")&amp;IF(Catalog!J144="","",Catalog!J144)</f>
        <v/>
      </c>
      <c r="D171" s="15">
        <f>Catalog!P144</f>
        <v/>
      </c>
      <c r="E171" s="15">
        <f>Catalog!R144</f>
        <v/>
      </c>
      <c r="F171" s="15">
        <f>Catalog!M144</f>
        <v/>
      </c>
      <c r="G171" s="15">
        <f>Catalog!K144</f>
        <v/>
      </c>
      <c r="H171" s="15">
        <f>IF(Catalog!S144&lt;&gt;"","ISBN:"&amp;Catalog!S144,IF(Catalog!T144&lt;&gt;"","ISSN:"&amp;Catalog!T144,""))</f>
        <v/>
      </c>
      <c r="I171" s="15">
        <f>Catalog!B144</f>
        <v/>
      </c>
      <c r="J171" s="15">
        <f>Catalog!L144</f>
        <v/>
      </c>
      <c r="K171" s="15">
        <f>IF(Catalog!AG144&lt;&gt;"",Catalog!AG144,Catalog!AE144)</f>
        <v/>
      </c>
      <c r="L171" s="15">
        <f>Catalog!AD144</f>
        <v/>
      </c>
      <c r="M171" s="15">
        <f>Catalog!V144</f>
        <v/>
      </c>
      <c r="N171" s="15">
        <f>Catalog!Q144</f>
        <v/>
      </c>
      <c r="O171" s="15">
        <f>Catalog!AF144</f>
        <v/>
      </c>
    </row>
    <row r="172">
      <c r="A172" s="15">
        <f>Catalog!D145</f>
        <v/>
      </c>
      <c r="B172" s="15">
        <f>Catalog!F145</f>
        <v/>
      </c>
      <c r="C172" s="15">
        <f>IF(Catalog!I145="","",Catalog!I145)&amp;IF(AND(Catalog!I145&lt;&gt;"",Catalog!J145&lt;&gt;""),"; ","")&amp;IF(Catalog!J145="","",Catalog!J145)</f>
        <v/>
      </c>
      <c r="D172" s="15">
        <f>Catalog!P145</f>
        <v/>
      </c>
      <c r="E172" s="15">
        <f>Catalog!R145</f>
        <v/>
      </c>
      <c r="F172" s="15">
        <f>Catalog!M145</f>
        <v/>
      </c>
      <c r="G172" s="15">
        <f>Catalog!K145</f>
        <v/>
      </c>
      <c r="H172" s="15">
        <f>IF(Catalog!S145&lt;&gt;"","ISBN:"&amp;Catalog!S145,IF(Catalog!T145&lt;&gt;"","ISSN:"&amp;Catalog!T145,""))</f>
        <v/>
      </c>
      <c r="I172" s="15">
        <f>Catalog!B145</f>
        <v/>
      </c>
      <c r="J172" s="15">
        <f>Catalog!L145</f>
        <v/>
      </c>
      <c r="K172" s="15">
        <f>IF(Catalog!AG145&lt;&gt;"",Catalog!AG145,Catalog!AE145)</f>
        <v/>
      </c>
      <c r="L172" s="15">
        <f>Catalog!AD145</f>
        <v/>
      </c>
      <c r="M172" s="15">
        <f>Catalog!V145</f>
        <v/>
      </c>
      <c r="N172" s="15">
        <f>Catalog!Q145</f>
        <v/>
      </c>
      <c r="O172" s="15">
        <f>Catalog!AF145</f>
        <v/>
      </c>
    </row>
    <row r="173">
      <c r="A173" s="15">
        <f>Catalog!D146</f>
        <v/>
      </c>
      <c r="B173" s="15">
        <f>Catalog!F146</f>
        <v/>
      </c>
      <c r="C173" s="15">
        <f>IF(Catalog!I146="","",Catalog!I146)&amp;IF(AND(Catalog!I146&lt;&gt;"",Catalog!J146&lt;&gt;""),"; ","")&amp;IF(Catalog!J146="","",Catalog!J146)</f>
        <v/>
      </c>
      <c r="D173" s="15">
        <f>Catalog!P146</f>
        <v/>
      </c>
      <c r="E173" s="15">
        <f>Catalog!R146</f>
        <v/>
      </c>
      <c r="F173" s="15">
        <f>Catalog!M146</f>
        <v/>
      </c>
      <c r="G173" s="15">
        <f>Catalog!K146</f>
        <v/>
      </c>
      <c r="H173" s="15">
        <f>IF(Catalog!S146&lt;&gt;"","ISBN:"&amp;Catalog!S146,IF(Catalog!T146&lt;&gt;"","ISSN:"&amp;Catalog!T146,""))</f>
        <v/>
      </c>
      <c r="I173" s="15">
        <f>Catalog!B146</f>
        <v/>
      </c>
      <c r="J173" s="15">
        <f>Catalog!L146</f>
        <v/>
      </c>
      <c r="K173" s="15">
        <f>IF(Catalog!AG146&lt;&gt;"",Catalog!AG146,Catalog!AE146)</f>
        <v/>
      </c>
      <c r="L173" s="15">
        <f>Catalog!AD146</f>
        <v/>
      </c>
      <c r="M173" s="15">
        <f>Catalog!V146</f>
        <v/>
      </c>
      <c r="N173" s="15">
        <f>Catalog!Q146</f>
        <v/>
      </c>
      <c r="O173" s="15">
        <f>Catalog!AF146</f>
        <v/>
      </c>
    </row>
    <row r="174">
      <c r="A174" s="15">
        <f>Catalog!D147</f>
        <v/>
      </c>
      <c r="B174" s="15">
        <f>Catalog!F147</f>
        <v/>
      </c>
      <c r="C174" s="15">
        <f>IF(Catalog!I147="","",Catalog!I147)&amp;IF(AND(Catalog!I147&lt;&gt;"",Catalog!J147&lt;&gt;""),"; ","")&amp;IF(Catalog!J147="","",Catalog!J147)</f>
        <v/>
      </c>
      <c r="D174" s="15">
        <f>Catalog!P147</f>
        <v/>
      </c>
      <c r="E174" s="15">
        <f>Catalog!R147</f>
        <v/>
      </c>
      <c r="F174" s="15">
        <f>Catalog!M147</f>
        <v/>
      </c>
      <c r="G174" s="15">
        <f>Catalog!K147</f>
        <v/>
      </c>
      <c r="H174" s="15">
        <f>IF(Catalog!S147&lt;&gt;"","ISBN:"&amp;Catalog!S147,IF(Catalog!T147&lt;&gt;"","ISSN:"&amp;Catalog!T147,""))</f>
        <v/>
      </c>
      <c r="I174" s="15">
        <f>Catalog!B147</f>
        <v/>
      </c>
      <c r="J174" s="15">
        <f>Catalog!L147</f>
        <v/>
      </c>
      <c r="K174" s="15">
        <f>IF(Catalog!AG147&lt;&gt;"",Catalog!AG147,Catalog!AE147)</f>
        <v/>
      </c>
      <c r="L174" s="15">
        <f>Catalog!AD147</f>
        <v/>
      </c>
      <c r="M174" s="15">
        <f>Catalog!V147</f>
        <v/>
      </c>
      <c r="N174" s="15">
        <f>Catalog!Q147</f>
        <v/>
      </c>
      <c r="O174" s="15">
        <f>Catalog!AF147</f>
        <v/>
      </c>
    </row>
    <row r="175">
      <c r="A175" s="15">
        <f>Catalog!D148</f>
        <v/>
      </c>
      <c r="B175" s="15">
        <f>Catalog!F148</f>
        <v/>
      </c>
      <c r="C175" s="15">
        <f>IF(Catalog!I148="","",Catalog!I148)&amp;IF(AND(Catalog!I148&lt;&gt;"",Catalog!J148&lt;&gt;""),"; ","")&amp;IF(Catalog!J148="","",Catalog!J148)</f>
        <v/>
      </c>
      <c r="D175" s="15">
        <f>Catalog!P148</f>
        <v/>
      </c>
      <c r="E175" s="15">
        <f>Catalog!R148</f>
        <v/>
      </c>
      <c r="F175" s="15">
        <f>Catalog!M148</f>
        <v/>
      </c>
      <c r="G175" s="15">
        <f>Catalog!K148</f>
        <v/>
      </c>
      <c r="H175" s="15">
        <f>IF(Catalog!S148&lt;&gt;"","ISBN:"&amp;Catalog!S148,IF(Catalog!T148&lt;&gt;"","ISSN:"&amp;Catalog!T148,""))</f>
        <v/>
      </c>
      <c r="I175" s="15">
        <f>Catalog!B148</f>
        <v/>
      </c>
      <c r="J175" s="15">
        <f>Catalog!L148</f>
        <v/>
      </c>
      <c r="K175" s="15">
        <f>IF(Catalog!AG148&lt;&gt;"",Catalog!AG148,Catalog!AE148)</f>
        <v/>
      </c>
      <c r="L175" s="15">
        <f>Catalog!AD148</f>
        <v/>
      </c>
      <c r="M175" s="15">
        <f>Catalog!V148</f>
        <v/>
      </c>
      <c r="N175" s="15">
        <f>Catalog!Q148</f>
        <v/>
      </c>
      <c r="O175" s="15">
        <f>Catalog!AF148</f>
        <v/>
      </c>
    </row>
    <row r="176">
      <c r="A176" s="15">
        <f>Catalog!D149</f>
        <v/>
      </c>
      <c r="B176" s="15">
        <f>Catalog!F149</f>
        <v/>
      </c>
      <c r="C176" s="15">
        <f>IF(Catalog!I149="","",Catalog!I149)&amp;IF(AND(Catalog!I149&lt;&gt;"",Catalog!J149&lt;&gt;""),"; ","")&amp;IF(Catalog!J149="","",Catalog!J149)</f>
        <v/>
      </c>
      <c r="D176" s="15">
        <f>Catalog!P149</f>
        <v/>
      </c>
      <c r="E176" s="15">
        <f>Catalog!R149</f>
        <v/>
      </c>
      <c r="F176" s="15">
        <f>Catalog!M149</f>
        <v/>
      </c>
      <c r="G176" s="15">
        <f>Catalog!K149</f>
        <v/>
      </c>
      <c r="H176" s="15">
        <f>IF(Catalog!S149&lt;&gt;"","ISBN:"&amp;Catalog!S149,IF(Catalog!T149&lt;&gt;"","ISSN:"&amp;Catalog!T149,""))</f>
        <v/>
      </c>
      <c r="I176" s="15">
        <f>Catalog!B149</f>
        <v/>
      </c>
      <c r="J176" s="15">
        <f>Catalog!L149</f>
        <v/>
      </c>
      <c r="K176" s="15">
        <f>IF(Catalog!AG149&lt;&gt;"",Catalog!AG149,Catalog!AE149)</f>
        <v/>
      </c>
      <c r="L176" s="15">
        <f>Catalog!AD149</f>
        <v/>
      </c>
      <c r="M176" s="15">
        <f>Catalog!V149</f>
        <v/>
      </c>
      <c r="N176" s="15">
        <f>Catalog!Q149</f>
        <v/>
      </c>
      <c r="O176" s="15">
        <f>Catalog!AF149</f>
        <v/>
      </c>
    </row>
    <row r="177">
      <c r="A177" s="15">
        <f>Catalog!D150</f>
        <v/>
      </c>
      <c r="B177" s="15">
        <f>Catalog!F150</f>
        <v/>
      </c>
      <c r="C177" s="15">
        <f>IF(Catalog!I150="","",Catalog!I150)&amp;IF(AND(Catalog!I150&lt;&gt;"",Catalog!J150&lt;&gt;""),"; ","")&amp;IF(Catalog!J150="","",Catalog!J150)</f>
        <v/>
      </c>
      <c r="D177" s="15">
        <f>Catalog!P150</f>
        <v/>
      </c>
      <c r="E177" s="15">
        <f>Catalog!R150</f>
        <v/>
      </c>
      <c r="F177" s="15">
        <f>Catalog!M150</f>
        <v/>
      </c>
      <c r="G177" s="15">
        <f>Catalog!K150</f>
        <v/>
      </c>
      <c r="H177" s="15">
        <f>IF(Catalog!S150&lt;&gt;"","ISBN:"&amp;Catalog!S150,IF(Catalog!T150&lt;&gt;"","ISSN:"&amp;Catalog!T150,""))</f>
        <v/>
      </c>
      <c r="I177" s="15">
        <f>Catalog!B150</f>
        <v/>
      </c>
      <c r="J177" s="15">
        <f>Catalog!L150</f>
        <v/>
      </c>
      <c r="K177" s="15">
        <f>IF(Catalog!AG150&lt;&gt;"",Catalog!AG150,Catalog!AE150)</f>
        <v/>
      </c>
      <c r="L177" s="15">
        <f>Catalog!AD150</f>
        <v/>
      </c>
      <c r="M177" s="15">
        <f>Catalog!V150</f>
        <v/>
      </c>
      <c r="N177" s="15">
        <f>Catalog!Q150</f>
        <v/>
      </c>
      <c r="O177" s="15">
        <f>Catalog!AF150</f>
        <v/>
      </c>
    </row>
    <row r="178">
      <c r="A178" s="15">
        <f>Catalog!D151</f>
        <v/>
      </c>
      <c r="B178" s="15">
        <f>Catalog!F151</f>
        <v/>
      </c>
      <c r="C178" s="15">
        <f>IF(Catalog!I151="","",Catalog!I151)&amp;IF(AND(Catalog!I151&lt;&gt;"",Catalog!J151&lt;&gt;""),"; ","")&amp;IF(Catalog!J151="","",Catalog!J151)</f>
        <v/>
      </c>
      <c r="D178" s="15">
        <f>Catalog!P151</f>
        <v/>
      </c>
      <c r="E178" s="15">
        <f>Catalog!R151</f>
        <v/>
      </c>
      <c r="F178" s="15">
        <f>Catalog!M151</f>
        <v/>
      </c>
      <c r="G178" s="15">
        <f>Catalog!K151</f>
        <v/>
      </c>
      <c r="H178" s="15">
        <f>IF(Catalog!S151&lt;&gt;"","ISBN:"&amp;Catalog!S151,IF(Catalog!T151&lt;&gt;"","ISSN:"&amp;Catalog!T151,""))</f>
        <v/>
      </c>
      <c r="I178" s="15">
        <f>Catalog!B151</f>
        <v/>
      </c>
      <c r="J178" s="15">
        <f>Catalog!L151</f>
        <v/>
      </c>
      <c r="K178" s="15">
        <f>IF(Catalog!AG151&lt;&gt;"",Catalog!AG151,Catalog!AE151)</f>
        <v/>
      </c>
      <c r="L178" s="15">
        <f>Catalog!AD151</f>
        <v/>
      </c>
      <c r="M178" s="15">
        <f>Catalog!V151</f>
        <v/>
      </c>
      <c r="N178" s="15">
        <f>Catalog!Q151</f>
        <v/>
      </c>
      <c r="O178" s="15">
        <f>Catalog!AF151</f>
        <v/>
      </c>
    </row>
    <row r="179">
      <c r="A179" s="15">
        <f>Catalog!D152</f>
        <v/>
      </c>
      <c r="B179" s="15">
        <f>Catalog!F152</f>
        <v/>
      </c>
      <c r="C179" s="15">
        <f>IF(Catalog!I152="","",Catalog!I152)&amp;IF(AND(Catalog!I152&lt;&gt;"",Catalog!J152&lt;&gt;""),"; ","")&amp;IF(Catalog!J152="","",Catalog!J152)</f>
        <v/>
      </c>
      <c r="D179" s="15">
        <f>Catalog!P152</f>
        <v/>
      </c>
      <c r="E179" s="15">
        <f>Catalog!R152</f>
        <v/>
      </c>
      <c r="F179" s="15">
        <f>Catalog!M152</f>
        <v/>
      </c>
      <c r="G179" s="15">
        <f>Catalog!K152</f>
        <v/>
      </c>
      <c r="H179" s="15">
        <f>IF(Catalog!S152&lt;&gt;"","ISBN:"&amp;Catalog!S152,IF(Catalog!T152&lt;&gt;"","ISSN:"&amp;Catalog!T152,""))</f>
        <v/>
      </c>
      <c r="I179" s="15">
        <f>Catalog!B152</f>
        <v/>
      </c>
      <c r="J179" s="15">
        <f>Catalog!L152</f>
        <v/>
      </c>
      <c r="K179" s="15">
        <f>IF(Catalog!AG152&lt;&gt;"",Catalog!AG152,Catalog!AE152)</f>
        <v/>
      </c>
      <c r="L179" s="15">
        <f>Catalog!AD152</f>
        <v/>
      </c>
      <c r="M179" s="15">
        <f>Catalog!V152</f>
        <v/>
      </c>
      <c r="N179" s="15">
        <f>Catalog!Q152</f>
        <v/>
      </c>
      <c r="O179" s="15">
        <f>Catalog!AF152</f>
        <v/>
      </c>
    </row>
    <row r="180">
      <c r="A180" s="15">
        <f>Catalog!D153</f>
        <v/>
      </c>
      <c r="B180" s="15">
        <f>Catalog!F153</f>
        <v/>
      </c>
      <c r="C180" s="15">
        <f>IF(Catalog!I153="","",Catalog!I153)&amp;IF(AND(Catalog!I153&lt;&gt;"",Catalog!J153&lt;&gt;""),"; ","")&amp;IF(Catalog!J153="","",Catalog!J153)</f>
        <v/>
      </c>
      <c r="D180" s="15">
        <f>Catalog!P153</f>
        <v/>
      </c>
      <c r="E180" s="15">
        <f>Catalog!R153</f>
        <v/>
      </c>
      <c r="F180" s="15">
        <f>Catalog!M153</f>
        <v/>
      </c>
      <c r="G180" s="15">
        <f>Catalog!K153</f>
        <v/>
      </c>
      <c r="H180" s="15">
        <f>IF(Catalog!S153&lt;&gt;"","ISBN:"&amp;Catalog!S153,IF(Catalog!T153&lt;&gt;"","ISSN:"&amp;Catalog!T153,""))</f>
        <v/>
      </c>
      <c r="I180" s="15">
        <f>Catalog!B153</f>
        <v/>
      </c>
      <c r="J180" s="15">
        <f>Catalog!L153</f>
        <v/>
      </c>
      <c r="K180" s="15">
        <f>IF(Catalog!AG153&lt;&gt;"",Catalog!AG153,Catalog!AE153)</f>
        <v/>
      </c>
      <c r="L180" s="15">
        <f>Catalog!AD153</f>
        <v/>
      </c>
      <c r="M180" s="15">
        <f>Catalog!V153</f>
        <v/>
      </c>
      <c r="N180" s="15">
        <f>Catalog!Q153</f>
        <v/>
      </c>
      <c r="O180" s="15">
        <f>Catalog!AF153</f>
        <v/>
      </c>
    </row>
    <row r="181">
      <c r="A181" s="15">
        <f>Catalog!D154</f>
        <v/>
      </c>
      <c r="B181" s="15">
        <f>Catalog!F154</f>
        <v/>
      </c>
      <c r="C181" s="15">
        <f>IF(Catalog!I154="","",Catalog!I154)&amp;IF(AND(Catalog!I154&lt;&gt;"",Catalog!J154&lt;&gt;""),"; ","")&amp;IF(Catalog!J154="","",Catalog!J154)</f>
        <v/>
      </c>
      <c r="D181" s="15">
        <f>Catalog!P154</f>
        <v/>
      </c>
      <c r="E181" s="15">
        <f>Catalog!R154</f>
        <v/>
      </c>
      <c r="F181" s="15">
        <f>Catalog!M154</f>
        <v/>
      </c>
      <c r="G181" s="15">
        <f>Catalog!K154</f>
        <v/>
      </c>
      <c r="H181" s="15">
        <f>IF(Catalog!S154&lt;&gt;"","ISBN:"&amp;Catalog!S154,IF(Catalog!T154&lt;&gt;"","ISSN:"&amp;Catalog!T154,""))</f>
        <v/>
      </c>
      <c r="I181" s="15">
        <f>Catalog!B154</f>
        <v/>
      </c>
      <c r="J181" s="15">
        <f>Catalog!L154</f>
        <v/>
      </c>
      <c r="K181" s="15">
        <f>IF(Catalog!AG154&lt;&gt;"",Catalog!AG154,Catalog!AE154)</f>
        <v/>
      </c>
      <c r="L181" s="15">
        <f>Catalog!AD154</f>
        <v/>
      </c>
      <c r="M181" s="15">
        <f>Catalog!V154</f>
        <v/>
      </c>
      <c r="N181" s="15">
        <f>Catalog!Q154</f>
        <v/>
      </c>
      <c r="O181" s="15">
        <f>Catalog!AF154</f>
        <v/>
      </c>
    </row>
    <row r="182">
      <c r="A182" s="15">
        <f>Catalog!D155</f>
        <v/>
      </c>
      <c r="B182" s="15">
        <f>Catalog!F155</f>
        <v/>
      </c>
      <c r="C182" s="15">
        <f>IF(Catalog!I155="","",Catalog!I155)&amp;IF(AND(Catalog!I155&lt;&gt;"",Catalog!J155&lt;&gt;""),"; ","")&amp;IF(Catalog!J155="","",Catalog!J155)</f>
        <v/>
      </c>
      <c r="D182" s="15">
        <f>Catalog!P155</f>
        <v/>
      </c>
      <c r="E182" s="15">
        <f>Catalog!R155</f>
        <v/>
      </c>
      <c r="F182" s="15">
        <f>Catalog!M155</f>
        <v/>
      </c>
      <c r="G182" s="15">
        <f>Catalog!K155</f>
        <v/>
      </c>
      <c r="H182" s="15">
        <f>IF(Catalog!S155&lt;&gt;"","ISBN:"&amp;Catalog!S155,IF(Catalog!T155&lt;&gt;"","ISSN:"&amp;Catalog!T155,""))</f>
        <v/>
      </c>
      <c r="I182" s="15">
        <f>Catalog!B155</f>
        <v/>
      </c>
      <c r="J182" s="15">
        <f>Catalog!L155</f>
        <v/>
      </c>
      <c r="K182" s="15">
        <f>IF(Catalog!AG155&lt;&gt;"",Catalog!AG155,Catalog!AE155)</f>
        <v/>
      </c>
      <c r="L182" s="15">
        <f>Catalog!AD155</f>
        <v/>
      </c>
      <c r="M182" s="15">
        <f>Catalog!V155</f>
        <v/>
      </c>
      <c r="N182" s="15">
        <f>Catalog!Q155</f>
        <v/>
      </c>
      <c r="O182" s="15">
        <f>Catalog!AF155</f>
        <v/>
      </c>
    </row>
    <row r="183">
      <c r="A183" s="15">
        <f>Catalog!D156</f>
        <v/>
      </c>
      <c r="B183" s="15">
        <f>Catalog!F156</f>
        <v/>
      </c>
      <c r="C183" s="15">
        <f>IF(Catalog!I156="","",Catalog!I156)&amp;IF(AND(Catalog!I156&lt;&gt;"",Catalog!J156&lt;&gt;""),"; ","")&amp;IF(Catalog!J156="","",Catalog!J156)</f>
        <v/>
      </c>
      <c r="D183" s="15">
        <f>Catalog!P156</f>
        <v/>
      </c>
      <c r="E183" s="15">
        <f>Catalog!R156</f>
        <v/>
      </c>
      <c r="F183" s="15">
        <f>Catalog!M156</f>
        <v/>
      </c>
      <c r="G183" s="15">
        <f>Catalog!K156</f>
        <v/>
      </c>
      <c r="H183" s="15">
        <f>IF(Catalog!S156&lt;&gt;"","ISBN:"&amp;Catalog!S156,IF(Catalog!T156&lt;&gt;"","ISSN:"&amp;Catalog!T156,""))</f>
        <v/>
      </c>
      <c r="I183" s="15">
        <f>Catalog!B156</f>
        <v/>
      </c>
      <c r="J183" s="15">
        <f>Catalog!L156</f>
        <v/>
      </c>
      <c r="K183" s="15">
        <f>IF(Catalog!AG156&lt;&gt;"",Catalog!AG156,Catalog!AE156)</f>
        <v/>
      </c>
      <c r="L183" s="15">
        <f>Catalog!AD156</f>
        <v/>
      </c>
      <c r="M183" s="15">
        <f>Catalog!V156</f>
        <v/>
      </c>
      <c r="N183" s="15">
        <f>Catalog!Q156</f>
        <v/>
      </c>
      <c r="O183" s="15">
        <f>Catalog!AF156</f>
        <v/>
      </c>
    </row>
    <row r="184">
      <c r="A184" s="15">
        <f>Catalog!D157</f>
        <v/>
      </c>
      <c r="B184" s="15">
        <f>Catalog!F157</f>
        <v/>
      </c>
      <c r="C184" s="15">
        <f>IF(Catalog!I157="","",Catalog!I157)&amp;IF(AND(Catalog!I157&lt;&gt;"",Catalog!J157&lt;&gt;""),"; ","")&amp;IF(Catalog!J157="","",Catalog!J157)</f>
        <v/>
      </c>
      <c r="D184" s="15">
        <f>Catalog!P157</f>
        <v/>
      </c>
      <c r="E184" s="15">
        <f>Catalog!R157</f>
        <v/>
      </c>
      <c r="F184" s="15">
        <f>Catalog!M157</f>
        <v/>
      </c>
      <c r="G184" s="15">
        <f>Catalog!K157</f>
        <v/>
      </c>
      <c r="H184" s="15">
        <f>IF(Catalog!S157&lt;&gt;"","ISBN:"&amp;Catalog!S157,IF(Catalog!T157&lt;&gt;"","ISSN:"&amp;Catalog!T157,""))</f>
        <v/>
      </c>
      <c r="I184" s="15">
        <f>Catalog!B157</f>
        <v/>
      </c>
      <c r="J184" s="15">
        <f>Catalog!L157</f>
        <v/>
      </c>
      <c r="K184" s="15">
        <f>IF(Catalog!AG157&lt;&gt;"",Catalog!AG157,Catalog!AE157)</f>
        <v/>
      </c>
      <c r="L184" s="15">
        <f>Catalog!AD157</f>
        <v/>
      </c>
      <c r="M184" s="15">
        <f>Catalog!V157</f>
        <v/>
      </c>
      <c r="N184" s="15">
        <f>Catalog!Q157</f>
        <v/>
      </c>
      <c r="O184" s="15">
        <f>Catalog!AF157</f>
        <v/>
      </c>
    </row>
    <row r="185">
      <c r="A185" s="15">
        <f>Catalog!D158</f>
        <v/>
      </c>
      <c r="B185" s="15">
        <f>Catalog!F158</f>
        <v/>
      </c>
      <c r="C185" s="15">
        <f>IF(Catalog!I158="","",Catalog!I158)&amp;IF(AND(Catalog!I158&lt;&gt;"",Catalog!J158&lt;&gt;""),"; ","")&amp;IF(Catalog!J158="","",Catalog!J158)</f>
        <v/>
      </c>
      <c r="D185" s="15">
        <f>Catalog!P158</f>
        <v/>
      </c>
      <c r="E185" s="15">
        <f>Catalog!R158</f>
        <v/>
      </c>
      <c r="F185" s="15">
        <f>Catalog!M158</f>
        <v/>
      </c>
      <c r="G185" s="15">
        <f>Catalog!K158</f>
        <v/>
      </c>
      <c r="H185" s="15">
        <f>IF(Catalog!S158&lt;&gt;"","ISBN:"&amp;Catalog!S158,IF(Catalog!T158&lt;&gt;"","ISSN:"&amp;Catalog!T158,""))</f>
        <v/>
      </c>
      <c r="I185" s="15">
        <f>Catalog!B158</f>
        <v/>
      </c>
      <c r="J185" s="15">
        <f>Catalog!L158</f>
        <v/>
      </c>
      <c r="K185" s="15">
        <f>IF(Catalog!AG158&lt;&gt;"",Catalog!AG158,Catalog!AE158)</f>
        <v/>
      </c>
      <c r="L185" s="15">
        <f>Catalog!AD158</f>
        <v/>
      </c>
      <c r="M185" s="15">
        <f>Catalog!V158</f>
        <v/>
      </c>
      <c r="N185" s="15">
        <f>Catalog!Q158</f>
        <v/>
      </c>
      <c r="O185" s="15">
        <f>Catalog!AF158</f>
        <v/>
      </c>
    </row>
    <row r="186">
      <c r="A186" s="15">
        <f>Catalog!D159</f>
        <v/>
      </c>
      <c r="B186" s="15">
        <f>Catalog!F159</f>
        <v/>
      </c>
      <c r="C186" s="15">
        <f>IF(Catalog!I159="","",Catalog!I159)&amp;IF(AND(Catalog!I159&lt;&gt;"",Catalog!J159&lt;&gt;""),"; ","")&amp;IF(Catalog!J159="","",Catalog!J159)</f>
        <v/>
      </c>
      <c r="D186" s="15">
        <f>Catalog!P159</f>
        <v/>
      </c>
      <c r="E186" s="15">
        <f>Catalog!R159</f>
        <v/>
      </c>
      <c r="F186" s="15">
        <f>Catalog!M159</f>
        <v/>
      </c>
      <c r="G186" s="15">
        <f>Catalog!K159</f>
        <v/>
      </c>
      <c r="H186" s="15">
        <f>IF(Catalog!S159&lt;&gt;"","ISBN:"&amp;Catalog!S159,IF(Catalog!T159&lt;&gt;"","ISSN:"&amp;Catalog!T159,""))</f>
        <v/>
      </c>
      <c r="I186" s="15">
        <f>Catalog!B159</f>
        <v/>
      </c>
      <c r="J186" s="15">
        <f>Catalog!L159</f>
        <v/>
      </c>
      <c r="K186" s="15">
        <f>IF(Catalog!AG159&lt;&gt;"",Catalog!AG159,Catalog!AE159)</f>
        <v/>
      </c>
      <c r="L186" s="15">
        <f>Catalog!AD159</f>
        <v/>
      </c>
      <c r="M186" s="15">
        <f>Catalog!V159</f>
        <v/>
      </c>
      <c r="N186" s="15">
        <f>Catalog!Q159</f>
        <v/>
      </c>
      <c r="O186" s="15">
        <f>Catalog!AF159</f>
        <v/>
      </c>
    </row>
    <row r="187">
      <c r="A187" s="15">
        <f>Catalog!D160</f>
        <v/>
      </c>
      <c r="B187" s="15">
        <f>Catalog!F160</f>
        <v/>
      </c>
      <c r="C187" s="15">
        <f>IF(Catalog!I160="","",Catalog!I160)&amp;IF(AND(Catalog!I160&lt;&gt;"",Catalog!J160&lt;&gt;""),"; ","")&amp;IF(Catalog!J160="","",Catalog!J160)</f>
        <v/>
      </c>
      <c r="D187" s="15">
        <f>Catalog!P160</f>
        <v/>
      </c>
      <c r="E187" s="15">
        <f>Catalog!R160</f>
        <v/>
      </c>
      <c r="F187" s="15">
        <f>Catalog!M160</f>
        <v/>
      </c>
      <c r="G187" s="15">
        <f>Catalog!K160</f>
        <v/>
      </c>
      <c r="H187" s="15">
        <f>IF(Catalog!S160&lt;&gt;"","ISBN:"&amp;Catalog!S160,IF(Catalog!T160&lt;&gt;"","ISSN:"&amp;Catalog!T160,""))</f>
        <v/>
      </c>
      <c r="I187" s="15">
        <f>Catalog!B160</f>
        <v/>
      </c>
      <c r="J187" s="15">
        <f>Catalog!L160</f>
        <v/>
      </c>
      <c r="K187" s="15">
        <f>IF(Catalog!AG160&lt;&gt;"",Catalog!AG160,Catalog!AE160)</f>
        <v/>
      </c>
      <c r="L187" s="15">
        <f>Catalog!AD160</f>
        <v/>
      </c>
      <c r="M187" s="15">
        <f>Catalog!V160</f>
        <v/>
      </c>
      <c r="N187" s="15">
        <f>Catalog!Q160</f>
        <v/>
      </c>
      <c r="O187" s="15">
        <f>Catalog!AF160</f>
        <v/>
      </c>
    </row>
    <row r="188">
      <c r="A188" s="15">
        <f>Catalog!D161</f>
        <v/>
      </c>
      <c r="B188" s="15">
        <f>Catalog!F161</f>
        <v/>
      </c>
      <c r="C188" s="15">
        <f>IF(Catalog!I161="","",Catalog!I161)&amp;IF(AND(Catalog!I161&lt;&gt;"",Catalog!J161&lt;&gt;""),"; ","")&amp;IF(Catalog!J161="","",Catalog!J161)</f>
        <v/>
      </c>
      <c r="D188" s="15">
        <f>Catalog!P161</f>
        <v/>
      </c>
      <c r="E188" s="15">
        <f>Catalog!R161</f>
        <v/>
      </c>
      <c r="F188" s="15">
        <f>Catalog!M161</f>
        <v/>
      </c>
      <c r="G188" s="15">
        <f>Catalog!K161</f>
        <v/>
      </c>
      <c r="H188" s="15">
        <f>IF(Catalog!S161&lt;&gt;"","ISBN:"&amp;Catalog!S161,IF(Catalog!T161&lt;&gt;"","ISSN:"&amp;Catalog!T161,""))</f>
        <v/>
      </c>
      <c r="I188" s="15">
        <f>Catalog!B161</f>
        <v/>
      </c>
      <c r="J188" s="15">
        <f>Catalog!L161</f>
        <v/>
      </c>
      <c r="K188" s="15">
        <f>IF(Catalog!AG161&lt;&gt;"",Catalog!AG161,Catalog!AE161)</f>
        <v/>
      </c>
      <c r="L188" s="15">
        <f>Catalog!AD161</f>
        <v/>
      </c>
      <c r="M188" s="15">
        <f>Catalog!V161</f>
        <v/>
      </c>
      <c r="N188" s="15">
        <f>Catalog!Q161</f>
        <v/>
      </c>
      <c r="O188" s="15">
        <f>Catalog!AF161</f>
        <v/>
      </c>
    </row>
    <row r="189">
      <c r="A189" s="15">
        <f>Catalog!D162</f>
        <v/>
      </c>
      <c r="B189" s="15">
        <f>Catalog!F162</f>
        <v/>
      </c>
      <c r="C189" s="15">
        <f>IF(Catalog!I162="","",Catalog!I162)&amp;IF(AND(Catalog!I162&lt;&gt;"",Catalog!J162&lt;&gt;""),"; ","")&amp;IF(Catalog!J162="","",Catalog!J162)</f>
        <v/>
      </c>
      <c r="D189" s="15">
        <f>Catalog!P162</f>
        <v/>
      </c>
      <c r="E189" s="15">
        <f>Catalog!R162</f>
        <v/>
      </c>
      <c r="F189" s="15">
        <f>Catalog!M162</f>
        <v/>
      </c>
      <c r="G189" s="15">
        <f>Catalog!K162</f>
        <v/>
      </c>
      <c r="H189" s="15">
        <f>IF(Catalog!S162&lt;&gt;"","ISBN:"&amp;Catalog!S162,IF(Catalog!T162&lt;&gt;"","ISSN:"&amp;Catalog!T162,""))</f>
        <v/>
      </c>
      <c r="I189" s="15">
        <f>Catalog!B162</f>
        <v/>
      </c>
      <c r="J189" s="15">
        <f>Catalog!L162</f>
        <v/>
      </c>
      <c r="K189" s="15">
        <f>IF(Catalog!AG162&lt;&gt;"",Catalog!AG162,Catalog!AE162)</f>
        <v/>
      </c>
      <c r="L189" s="15">
        <f>Catalog!AD162</f>
        <v/>
      </c>
      <c r="M189" s="15">
        <f>Catalog!V162</f>
        <v/>
      </c>
      <c r="N189" s="15">
        <f>Catalog!Q162</f>
        <v/>
      </c>
      <c r="O189" s="15">
        <f>Catalog!AF162</f>
        <v/>
      </c>
    </row>
    <row r="190">
      <c r="A190" s="15">
        <f>Catalog!D163</f>
        <v/>
      </c>
      <c r="B190" s="15">
        <f>Catalog!F163</f>
        <v/>
      </c>
      <c r="C190" s="15">
        <f>IF(Catalog!I163="","",Catalog!I163)&amp;IF(AND(Catalog!I163&lt;&gt;"",Catalog!J163&lt;&gt;""),"; ","")&amp;IF(Catalog!J163="","",Catalog!J163)</f>
        <v/>
      </c>
      <c r="D190" s="15">
        <f>Catalog!P163</f>
        <v/>
      </c>
      <c r="E190" s="15">
        <f>Catalog!R163</f>
        <v/>
      </c>
      <c r="F190" s="15">
        <f>Catalog!M163</f>
        <v/>
      </c>
      <c r="G190" s="15">
        <f>Catalog!K163</f>
        <v/>
      </c>
      <c r="H190" s="15">
        <f>IF(Catalog!S163&lt;&gt;"","ISBN:"&amp;Catalog!S163,IF(Catalog!T163&lt;&gt;"","ISSN:"&amp;Catalog!T163,""))</f>
        <v/>
      </c>
      <c r="I190" s="15">
        <f>Catalog!B163</f>
        <v/>
      </c>
      <c r="J190" s="15">
        <f>Catalog!L163</f>
        <v/>
      </c>
      <c r="K190" s="15">
        <f>IF(Catalog!AG163&lt;&gt;"",Catalog!AG163,Catalog!AE163)</f>
        <v/>
      </c>
      <c r="L190" s="15">
        <f>Catalog!AD163</f>
        <v/>
      </c>
      <c r="M190" s="15">
        <f>Catalog!V163</f>
        <v/>
      </c>
      <c r="N190" s="15">
        <f>Catalog!Q163</f>
        <v/>
      </c>
      <c r="O190" s="15">
        <f>Catalog!AF163</f>
        <v/>
      </c>
    </row>
    <row r="191">
      <c r="A191" s="15">
        <f>Catalog!D164</f>
        <v/>
      </c>
      <c r="B191" s="15">
        <f>Catalog!F164</f>
        <v/>
      </c>
      <c r="C191" s="15">
        <f>IF(Catalog!I164="","",Catalog!I164)&amp;IF(AND(Catalog!I164&lt;&gt;"",Catalog!J164&lt;&gt;""),"; ","")&amp;IF(Catalog!J164="","",Catalog!J164)</f>
        <v/>
      </c>
      <c r="D191" s="15">
        <f>Catalog!P164</f>
        <v/>
      </c>
      <c r="E191" s="15">
        <f>Catalog!R164</f>
        <v/>
      </c>
      <c r="F191" s="15">
        <f>Catalog!M164</f>
        <v/>
      </c>
      <c r="G191" s="15">
        <f>Catalog!K164</f>
        <v/>
      </c>
      <c r="H191" s="15">
        <f>IF(Catalog!S164&lt;&gt;"","ISBN:"&amp;Catalog!S164,IF(Catalog!T164&lt;&gt;"","ISSN:"&amp;Catalog!T164,""))</f>
        <v/>
      </c>
      <c r="I191" s="15">
        <f>Catalog!B164</f>
        <v/>
      </c>
      <c r="J191" s="15">
        <f>Catalog!L164</f>
        <v/>
      </c>
      <c r="K191" s="15">
        <f>IF(Catalog!AG164&lt;&gt;"",Catalog!AG164,Catalog!AE164)</f>
        <v/>
      </c>
      <c r="L191" s="15">
        <f>Catalog!AD164</f>
        <v/>
      </c>
      <c r="M191" s="15">
        <f>Catalog!V164</f>
        <v/>
      </c>
      <c r="N191" s="15">
        <f>Catalog!Q164</f>
        <v/>
      </c>
      <c r="O191" s="15">
        <f>Catalog!AF164</f>
        <v/>
      </c>
    </row>
    <row r="192">
      <c r="A192" s="15">
        <f>Catalog!D165</f>
        <v/>
      </c>
      <c r="B192" s="15">
        <f>Catalog!F165</f>
        <v/>
      </c>
      <c r="C192" s="15">
        <f>IF(Catalog!I165="","",Catalog!I165)&amp;IF(AND(Catalog!I165&lt;&gt;"",Catalog!J165&lt;&gt;""),"; ","")&amp;IF(Catalog!J165="","",Catalog!J165)</f>
        <v/>
      </c>
      <c r="D192" s="15">
        <f>Catalog!P165</f>
        <v/>
      </c>
      <c r="E192" s="15">
        <f>Catalog!R165</f>
        <v/>
      </c>
      <c r="F192" s="15">
        <f>Catalog!M165</f>
        <v/>
      </c>
      <c r="G192" s="15">
        <f>Catalog!K165</f>
        <v/>
      </c>
      <c r="H192" s="15">
        <f>IF(Catalog!S165&lt;&gt;"","ISBN:"&amp;Catalog!S165,IF(Catalog!T165&lt;&gt;"","ISSN:"&amp;Catalog!T165,""))</f>
        <v/>
      </c>
      <c r="I192" s="15">
        <f>Catalog!B165</f>
        <v/>
      </c>
      <c r="J192" s="15">
        <f>Catalog!L165</f>
        <v/>
      </c>
      <c r="K192" s="15">
        <f>IF(Catalog!AG165&lt;&gt;"",Catalog!AG165,Catalog!AE165)</f>
        <v/>
      </c>
      <c r="L192" s="15">
        <f>Catalog!AD165</f>
        <v/>
      </c>
      <c r="M192" s="15">
        <f>Catalog!V165</f>
        <v/>
      </c>
      <c r="N192" s="15">
        <f>Catalog!Q165</f>
        <v/>
      </c>
      <c r="O192" s="15">
        <f>Catalog!AF165</f>
        <v/>
      </c>
    </row>
    <row r="193">
      <c r="A193" s="15">
        <f>Catalog!D166</f>
        <v/>
      </c>
      <c r="B193" s="15">
        <f>Catalog!F166</f>
        <v/>
      </c>
      <c r="C193" s="15">
        <f>IF(Catalog!I166="","",Catalog!I166)&amp;IF(AND(Catalog!I166&lt;&gt;"",Catalog!J166&lt;&gt;""),"; ","")&amp;IF(Catalog!J166="","",Catalog!J166)</f>
        <v/>
      </c>
      <c r="D193" s="15">
        <f>Catalog!P166</f>
        <v/>
      </c>
      <c r="E193" s="15">
        <f>Catalog!R166</f>
        <v/>
      </c>
      <c r="F193" s="15">
        <f>Catalog!M166</f>
        <v/>
      </c>
      <c r="G193" s="15">
        <f>Catalog!K166</f>
        <v/>
      </c>
      <c r="H193" s="15">
        <f>IF(Catalog!S166&lt;&gt;"","ISBN:"&amp;Catalog!S166,IF(Catalog!T166&lt;&gt;"","ISSN:"&amp;Catalog!T166,""))</f>
        <v/>
      </c>
      <c r="I193" s="15">
        <f>Catalog!B166</f>
        <v/>
      </c>
      <c r="J193" s="15">
        <f>Catalog!L166</f>
        <v/>
      </c>
      <c r="K193" s="15">
        <f>IF(Catalog!AG166&lt;&gt;"",Catalog!AG166,Catalog!AE166)</f>
        <v/>
      </c>
      <c r="L193" s="15">
        <f>Catalog!AD166</f>
        <v/>
      </c>
      <c r="M193" s="15">
        <f>Catalog!V166</f>
        <v/>
      </c>
      <c r="N193" s="15">
        <f>Catalog!Q166</f>
        <v/>
      </c>
      <c r="O193" s="15">
        <f>Catalog!AF166</f>
        <v/>
      </c>
    </row>
    <row r="194">
      <c r="A194" s="15">
        <f>Catalog!D167</f>
        <v/>
      </c>
      <c r="B194" s="15">
        <f>Catalog!F167</f>
        <v/>
      </c>
      <c r="C194" s="15">
        <f>IF(Catalog!I167="","",Catalog!I167)&amp;IF(AND(Catalog!I167&lt;&gt;"",Catalog!J167&lt;&gt;""),"; ","")&amp;IF(Catalog!J167="","",Catalog!J167)</f>
        <v/>
      </c>
      <c r="D194" s="15">
        <f>Catalog!P167</f>
        <v/>
      </c>
      <c r="E194" s="15">
        <f>Catalog!R167</f>
        <v/>
      </c>
      <c r="F194" s="15">
        <f>Catalog!M167</f>
        <v/>
      </c>
      <c r="G194" s="15">
        <f>Catalog!K167</f>
        <v/>
      </c>
      <c r="H194" s="15">
        <f>IF(Catalog!S167&lt;&gt;"","ISBN:"&amp;Catalog!S167,IF(Catalog!T167&lt;&gt;"","ISSN:"&amp;Catalog!T167,""))</f>
        <v/>
      </c>
      <c r="I194" s="15">
        <f>Catalog!B167</f>
        <v/>
      </c>
      <c r="J194" s="15">
        <f>Catalog!L167</f>
        <v/>
      </c>
      <c r="K194" s="15">
        <f>IF(Catalog!AG167&lt;&gt;"",Catalog!AG167,Catalog!AE167)</f>
        <v/>
      </c>
      <c r="L194" s="15">
        <f>Catalog!AD167</f>
        <v/>
      </c>
      <c r="M194" s="15">
        <f>Catalog!V167</f>
        <v/>
      </c>
      <c r="N194" s="15">
        <f>Catalog!Q167</f>
        <v/>
      </c>
      <c r="O194" s="15">
        <f>Catalog!AF167</f>
        <v/>
      </c>
    </row>
    <row r="195">
      <c r="A195" s="15">
        <f>Catalog!D168</f>
        <v/>
      </c>
      <c r="B195" s="15">
        <f>Catalog!F168</f>
        <v/>
      </c>
      <c r="C195" s="15">
        <f>IF(Catalog!I168="","",Catalog!I168)&amp;IF(AND(Catalog!I168&lt;&gt;"",Catalog!J168&lt;&gt;""),"; ","")&amp;IF(Catalog!J168="","",Catalog!J168)</f>
        <v/>
      </c>
      <c r="D195" s="15">
        <f>Catalog!P168</f>
        <v/>
      </c>
      <c r="E195" s="15">
        <f>Catalog!R168</f>
        <v/>
      </c>
      <c r="F195" s="15">
        <f>Catalog!M168</f>
        <v/>
      </c>
      <c r="G195" s="15">
        <f>Catalog!K168</f>
        <v/>
      </c>
      <c r="H195" s="15">
        <f>IF(Catalog!S168&lt;&gt;"","ISBN:"&amp;Catalog!S168,IF(Catalog!T168&lt;&gt;"","ISSN:"&amp;Catalog!T168,""))</f>
        <v/>
      </c>
      <c r="I195" s="15">
        <f>Catalog!B168</f>
        <v/>
      </c>
      <c r="J195" s="15">
        <f>Catalog!L168</f>
        <v/>
      </c>
      <c r="K195" s="15">
        <f>IF(Catalog!AG168&lt;&gt;"",Catalog!AG168,Catalog!AE168)</f>
        <v/>
      </c>
      <c r="L195" s="15">
        <f>Catalog!AD168</f>
        <v/>
      </c>
      <c r="M195" s="15">
        <f>Catalog!V168</f>
        <v/>
      </c>
      <c r="N195" s="15">
        <f>Catalog!Q168</f>
        <v/>
      </c>
      <c r="O195" s="15">
        <f>Catalog!AF168</f>
        <v/>
      </c>
    </row>
    <row r="196">
      <c r="A196" s="15">
        <f>Catalog!D169</f>
        <v/>
      </c>
      <c r="B196" s="15">
        <f>Catalog!F169</f>
        <v/>
      </c>
      <c r="C196" s="15">
        <f>IF(Catalog!I169="","",Catalog!I169)&amp;IF(AND(Catalog!I169&lt;&gt;"",Catalog!J169&lt;&gt;""),"; ","")&amp;IF(Catalog!J169="","",Catalog!J169)</f>
        <v/>
      </c>
      <c r="D196" s="15">
        <f>Catalog!P169</f>
        <v/>
      </c>
      <c r="E196" s="15">
        <f>Catalog!R169</f>
        <v/>
      </c>
      <c r="F196" s="15">
        <f>Catalog!M169</f>
        <v/>
      </c>
      <c r="G196" s="15">
        <f>Catalog!K169</f>
        <v/>
      </c>
      <c r="H196" s="15">
        <f>IF(Catalog!S169&lt;&gt;"","ISBN:"&amp;Catalog!S169,IF(Catalog!T169&lt;&gt;"","ISSN:"&amp;Catalog!T169,""))</f>
        <v/>
      </c>
      <c r="I196" s="15">
        <f>Catalog!B169</f>
        <v/>
      </c>
      <c r="J196" s="15">
        <f>Catalog!L169</f>
        <v/>
      </c>
      <c r="K196" s="15">
        <f>IF(Catalog!AG169&lt;&gt;"",Catalog!AG169,Catalog!AE169)</f>
        <v/>
      </c>
      <c r="L196" s="15">
        <f>Catalog!AD169</f>
        <v/>
      </c>
      <c r="M196" s="15">
        <f>Catalog!V169</f>
        <v/>
      </c>
      <c r="N196" s="15">
        <f>Catalog!Q169</f>
        <v/>
      </c>
      <c r="O196" s="15">
        <f>Catalog!AF169</f>
        <v/>
      </c>
    </row>
    <row r="197">
      <c r="A197" s="15">
        <f>Catalog!D170</f>
        <v/>
      </c>
      <c r="B197" s="15">
        <f>Catalog!F170</f>
        <v/>
      </c>
      <c r="C197" s="15">
        <f>IF(Catalog!I170="","",Catalog!I170)&amp;IF(AND(Catalog!I170&lt;&gt;"",Catalog!J170&lt;&gt;""),"; ","")&amp;IF(Catalog!J170="","",Catalog!J170)</f>
        <v/>
      </c>
      <c r="D197" s="15">
        <f>Catalog!P170</f>
        <v/>
      </c>
      <c r="E197" s="15">
        <f>Catalog!R170</f>
        <v/>
      </c>
      <c r="F197" s="15">
        <f>Catalog!M170</f>
        <v/>
      </c>
      <c r="G197" s="15">
        <f>Catalog!K170</f>
        <v/>
      </c>
      <c r="H197" s="15">
        <f>IF(Catalog!S170&lt;&gt;"","ISBN:"&amp;Catalog!S170,IF(Catalog!T170&lt;&gt;"","ISSN:"&amp;Catalog!T170,""))</f>
        <v/>
      </c>
      <c r="I197" s="15">
        <f>Catalog!B170</f>
        <v/>
      </c>
      <c r="J197" s="15">
        <f>Catalog!L170</f>
        <v/>
      </c>
      <c r="K197" s="15">
        <f>IF(Catalog!AG170&lt;&gt;"",Catalog!AG170,Catalog!AE170)</f>
        <v/>
      </c>
      <c r="L197" s="15">
        <f>Catalog!AD170</f>
        <v/>
      </c>
      <c r="M197" s="15">
        <f>Catalog!V170</f>
        <v/>
      </c>
      <c r="N197" s="15">
        <f>Catalog!Q170</f>
        <v/>
      </c>
      <c r="O197" s="15">
        <f>Catalog!AF170</f>
        <v/>
      </c>
    </row>
    <row r="198">
      <c r="A198" s="15">
        <f>Catalog!D171</f>
        <v/>
      </c>
      <c r="B198" s="15">
        <f>Catalog!F171</f>
        <v/>
      </c>
      <c r="C198" s="15">
        <f>IF(Catalog!I171="","",Catalog!I171)&amp;IF(AND(Catalog!I171&lt;&gt;"",Catalog!J171&lt;&gt;""),"; ","")&amp;IF(Catalog!J171="","",Catalog!J171)</f>
        <v/>
      </c>
      <c r="D198" s="15">
        <f>Catalog!P171</f>
        <v/>
      </c>
      <c r="E198" s="15">
        <f>Catalog!R171</f>
        <v/>
      </c>
      <c r="F198" s="15">
        <f>Catalog!M171</f>
        <v/>
      </c>
      <c r="G198" s="15">
        <f>Catalog!K171</f>
        <v/>
      </c>
      <c r="H198" s="15">
        <f>IF(Catalog!S171&lt;&gt;"","ISBN:"&amp;Catalog!S171,IF(Catalog!T171&lt;&gt;"","ISSN:"&amp;Catalog!T171,""))</f>
        <v/>
      </c>
      <c r="I198" s="15">
        <f>Catalog!B171</f>
        <v/>
      </c>
      <c r="J198" s="15">
        <f>Catalog!L171</f>
        <v/>
      </c>
      <c r="K198" s="15">
        <f>IF(Catalog!AG171&lt;&gt;"",Catalog!AG171,Catalog!AE171)</f>
        <v/>
      </c>
      <c r="L198" s="15">
        <f>Catalog!AD171</f>
        <v/>
      </c>
      <c r="M198" s="15">
        <f>Catalog!V171</f>
        <v/>
      </c>
      <c r="N198" s="15">
        <f>Catalog!Q171</f>
        <v/>
      </c>
      <c r="O198" s="15">
        <f>Catalog!AF171</f>
        <v/>
      </c>
    </row>
    <row r="199">
      <c r="A199" s="15">
        <f>Catalog!D172</f>
        <v/>
      </c>
      <c r="B199" s="15">
        <f>Catalog!F172</f>
        <v/>
      </c>
      <c r="C199" s="15">
        <f>IF(Catalog!I172="","",Catalog!I172)&amp;IF(AND(Catalog!I172&lt;&gt;"",Catalog!J172&lt;&gt;""),"; ","")&amp;IF(Catalog!J172="","",Catalog!J172)</f>
        <v/>
      </c>
      <c r="D199" s="15">
        <f>Catalog!P172</f>
        <v/>
      </c>
      <c r="E199" s="15">
        <f>Catalog!R172</f>
        <v/>
      </c>
      <c r="F199" s="15">
        <f>Catalog!M172</f>
        <v/>
      </c>
      <c r="G199" s="15">
        <f>Catalog!K172</f>
        <v/>
      </c>
      <c r="H199" s="15">
        <f>IF(Catalog!S172&lt;&gt;"","ISBN:"&amp;Catalog!S172,IF(Catalog!T172&lt;&gt;"","ISSN:"&amp;Catalog!T172,""))</f>
        <v/>
      </c>
      <c r="I199" s="15">
        <f>Catalog!B172</f>
        <v/>
      </c>
      <c r="J199" s="15">
        <f>Catalog!L172</f>
        <v/>
      </c>
      <c r="K199" s="15">
        <f>IF(Catalog!AG172&lt;&gt;"",Catalog!AG172,Catalog!AE172)</f>
        <v/>
      </c>
      <c r="L199" s="15">
        <f>Catalog!AD172</f>
        <v/>
      </c>
      <c r="M199" s="15">
        <f>Catalog!V172</f>
        <v/>
      </c>
      <c r="N199" s="15">
        <f>Catalog!Q172</f>
        <v/>
      </c>
      <c r="O199" s="15">
        <f>Catalog!AF172</f>
        <v/>
      </c>
    </row>
    <row r="200">
      <c r="A200" s="15">
        <f>Catalog!D173</f>
        <v/>
      </c>
      <c r="B200" s="15">
        <f>Catalog!F173</f>
        <v/>
      </c>
      <c r="C200" s="15">
        <f>IF(Catalog!I173="","",Catalog!I173)&amp;IF(AND(Catalog!I173&lt;&gt;"",Catalog!J173&lt;&gt;""),"; ","")&amp;IF(Catalog!J173="","",Catalog!J173)</f>
        <v/>
      </c>
      <c r="D200" s="15">
        <f>Catalog!P173</f>
        <v/>
      </c>
      <c r="E200" s="15">
        <f>Catalog!R173</f>
        <v/>
      </c>
      <c r="F200" s="15">
        <f>Catalog!M173</f>
        <v/>
      </c>
      <c r="G200" s="15">
        <f>Catalog!K173</f>
        <v/>
      </c>
      <c r="H200" s="15">
        <f>IF(Catalog!S173&lt;&gt;"","ISBN:"&amp;Catalog!S173,IF(Catalog!T173&lt;&gt;"","ISSN:"&amp;Catalog!T173,""))</f>
        <v/>
      </c>
      <c r="I200" s="15">
        <f>Catalog!B173</f>
        <v/>
      </c>
      <c r="J200" s="15">
        <f>Catalog!L173</f>
        <v/>
      </c>
      <c r="K200" s="15">
        <f>IF(Catalog!AG173&lt;&gt;"",Catalog!AG173,Catalog!AE173)</f>
        <v/>
      </c>
      <c r="L200" s="15">
        <f>Catalog!AD173</f>
        <v/>
      </c>
      <c r="M200" s="15">
        <f>Catalog!V173</f>
        <v/>
      </c>
      <c r="N200" s="15">
        <f>Catalog!Q173</f>
        <v/>
      </c>
      <c r="O200" s="15">
        <f>Catalog!AF173</f>
        <v/>
      </c>
    </row>
    <row r="201">
      <c r="A201" s="15">
        <f>Catalog!D174</f>
        <v/>
      </c>
      <c r="B201" s="15">
        <f>Catalog!F174</f>
        <v/>
      </c>
      <c r="C201" s="15">
        <f>IF(Catalog!I174="","",Catalog!I174)&amp;IF(AND(Catalog!I174&lt;&gt;"",Catalog!J174&lt;&gt;""),"; ","")&amp;IF(Catalog!J174="","",Catalog!J174)</f>
        <v/>
      </c>
      <c r="D201" s="15">
        <f>Catalog!P174</f>
        <v/>
      </c>
      <c r="E201" s="15">
        <f>Catalog!R174</f>
        <v/>
      </c>
      <c r="F201" s="15">
        <f>Catalog!M174</f>
        <v/>
      </c>
      <c r="G201" s="15">
        <f>Catalog!K174</f>
        <v/>
      </c>
      <c r="H201" s="15">
        <f>IF(Catalog!S174&lt;&gt;"","ISBN:"&amp;Catalog!S174,IF(Catalog!T174&lt;&gt;"","ISSN:"&amp;Catalog!T174,""))</f>
        <v/>
      </c>
      <c r="I201" s="15">
        <f>Catalog!B174</f>
        <v/>
      </c>
      <c r="J201" s="15">
        <f>Catalog!L174</f>
        <v/>
      </c>
      <c r="K201" s="15">
        <f>IF(Catalog!AG174&lt;&gt;"",Catalog!AG174,Catalog!AE174)</f>
        <v/>
      </c>
      <c r="L201" s="15">
        <f>Catalog!AD174</f>
        <v/>
      </c>
      <c r="M201" s="15">
        <f>Catalog!V174</f>
        <v/>
      </c>
      <c r="N201" s="15">
        <f>Catalog!Q174</f>
        <v/>
      </c>
      <c r="O201" s="15">
        <f>Catalog!AF174</f>
        <v/>
      </c>
    </row>
    <row r="202">
      <c r="A202" s="15">
        <f>Catalog!D175</f>
        <v/>
      </c>
      <c r="B202" s="15">
        <f>Catalog!F175</f>
        <v/>
      </c>
      <c r="C202" s="15">
        <f>IF(Catalog!I175="","",Catalog!I175)&amp;IF(AND(Catalog!I175&lt;&gt;"",Catalog!J175&lt;&gt;""),"; ","")&amp;IF(Catalog!J175="","",Catalog!J175)</f>
        <v/>
      </c>
      <c r="D202" s="15">
        <f>Catalog!P175</f>
        <v/>
      </c>
      <c r="E202" s="15">
        <f>Catalog!R175</f>
        <v/>
      </c>
      <c r="F202" s="15">
        <f>Catalog!M175</f>
        <v/>
      </c>
      <c r="G202" s="15">
        <f>Catalog!K175</f>
        <v/>
      </c>
      <c r="H202" s="15">
        <f>IF(Catalog!S175&lt;&gt;"","ISBN:"&amp;Catalog!S175,IF(Catalog!T175&lt;&gt;"","ISSN:"&amp;Catalog!T175,""))</f>
        <v/>
      </c>
      <c r="I202" s="15">
        <f>Catalog!B175</f>
        <v/>
      </c>
      <c r="J202" s="15">
        <f>Catalog!L175</f>
        <v/>
      </c>
      <c r="K202" s="15">
        <f>IF(Catalog!AG175&lt;&gt;"",Catalog!AG175,Catalog!AE175)</f>
        <v/>
      </c>
      <c r="L202" s="15">
        <f>Catalog!AD175</f>
        <v/>
      </c>
      <c r="M202" s="15">
        <f>Catalog!V175</f>
        <v/>
      </c>
      <c r="N202" s="15">
        <f>Catalog!Q175</f>
        <v/>
      </c>
      <c r="O202" s="15">
        <f>Catalog!AF175</f>
        <v/>
      </c>
    </row>
    <row r="203">
      <c r="A203" s="15">
        <f>Catalog!D176</f>
        <v/>
      </c>
      <c r="B203" s="15">
        <f>Catalog!F176</f>
        <v/>
      </c>
      <c r="C203" s="15">
        <f>IF(Catalog!I176="","",Catalog!I176)&amp;IF(AND(Catalog!I176&lt;&gt;"",Catalog!J176&lt;&gt;""),"; ","")&amp;IF(Catalog!J176="","",Catalog!J176)</f>
        <v/>
      </c>
      <c r="D203" s="15">
        <f>Catalog!P176</f>
        <v/>
      </c>
      <c r="E203" s="15">
        <f>Catalog!R176</f>
        <v/>
      </c>
      <c r="F203" s="15">
        <f>Catalog!M176</f>
        <v/>
      </c>
      <c r="G203" s="15">
        <f>Catalog!K176</f>
        <v/>
      </c>
      <c r="H203" s="15">
        <f>IF(Catalog!S176&lt;&gt;"","ISBN:"&amp;Catalog!S176,IF(Catalog!T176&lt;&gt;"","ISSN:"&amp;Catalog!T176,""))</f>
        <v/>
      </c>
      <c r="I203" s="15">
        <f>Catalog!B176</f>
        <v/>
      </c>
      <c r="J203" s="15">
        <f>Catalog!L176</f>
        <v/>
      </c>
      <c r="K203" s="15">
        <f>IF(Catalog!AG176&lt;&gt;"",Catalog!AG176,Catalog!AE176)</f>
        <v/>
      </c>
      <c r="L203" s="15">
        <f>Catalog!AD176</f>
        <v/>
      </c>
      <c r="M203" s="15">
        <f>Catalog!V176</f>
        <v/>
      </c>
      <c r="N203" s="15">
        <f>Catalog!Q176</f>
        <v/>
      </c>
      <c r="O203" s="15">
        <f>Catalog!AF176</f>
        <v/>
      </c>
    </row>
    <row r="204">
      <c r="A204" s="15">
        <f>Catalog!D177</f>
        <v/>
      </c>
      <c r="B204" s="15">
        <f>Catalog!F177</f>
        <v/>
      </c>
      <c r="C204" s="15">
        <f>IF(Catalog!I177="","",Catalog!I177)&amp;IF(AND(Catalog!I177&lt;&gt;"",Catalog!J177&lt;&gt;""),"; ","")&amp;IF(Catalog!J177="","",Catalog!J177)</f>
        <v/>
      </c>
      <c r="D204" s="15">
        <f>Catalog!P177</f>
        <v/>
      </c>
      <c r="E204" s="15">
        <f>Catalog!R177</f>
        <v/>
      </c>
      <c r="F204" s="15">
        <f>Catalog!M177</f>
        <v/>
      </c>
      <c r="G204" s="15">
        <f>Catalog!K177</f>
        <v/>
      </c>
      <c r="H204" s="15">
        <f>IF(Catalog!S177&lt;&gt;"","ISBN:"&amp;Catalog!S177,IF(Catalog!T177&lt;&gt;"","ISSN:"&amp;Catalog!T177,""))</f>
        <v/>
      </c>
      <c r="I204" s="15">
        <f>Catalog!B177</f>
        <v/>
      </c>
      <c r="J204" s="15">
        <f>Catalog!L177</f>
        <v/>
      </c>
      <c r="K204" s="15">
        <f>IF(Catalog!AG177&lt;&gt;"",Catalog!AG177,Catalog!AE177)</f>
        <v/>
      </c>
      <c r="L204" s="15">
        <f>Catalog!AD177</f>
        <v/>
      </c>
      <c r="M204" s="15">
        <f>Catalog!V177</f>
        <v/>
      </c>
      <c r="N204" s="15">
        <f>Catalog!Q177</f>
        <v/>
      </c>
      <c r="O204" s="15">
        <f>Catalog!AF177</f>
        <v/>
      </c>
    </row>
    <row r="205">
      <c r="A205" s="15">
        <f>Catalog!D178</f>
        <v/>
      </c>
      <c r="B205" s="15">
        <f>Catalog!F178</f>
        <v/>
      </c>
      <c r="C205" s="15">
        <f>IF(Catalog!I178="","",Catalog!I178)&amp;IF(AND(Catalog!I178&lt;&gt;"",Catalog!J178&lt;&gt;""),"; ","")&amp;IF(Catalog!J178="","",Catalog!J178)</f>
        <v/>
      </c>
      <c r="D205" s="15">
        <f>Catalog!P178</f>
        <v/>
      </c>
      <c r="E205" s="15">
        <f>Catalog!R178</f>
        <v/>
      </c>
      <c r="F205" s="15">
        <f>Catalog!M178</f>
        <v/>
      </c>
      <c r="G205" s="15">
        <f>Catalog!K178</f>
        <v/>
      </c>
      <c r="H205" s="15">
        <f>IF(Catalog!S178&lt;&gt;"","ISBN:"&amp;Catalog!S178,IF(Catalog!T178&lt;&gt;"","ISSN:"&amp;Catalog!T178,""))</f>
        <v/>
      </c>
      <c r="I205" s="15">
        <f>Catalog!B178</f>
        <v/>
      </c>
      <c r="J205" s="15">
        <f>Catalog!L178</f>
        <v/>
      </c>
      <c r="K205" s="15">
        <f>IF(Catalog!AG178&lt;&gt;"",Catalog!AG178,Catalog!AE178)</f>
        <v/>
      </c>
      <c r="L205" s="15">
        <f>Catalog!AD178</f>
        <v/>
      </c>
      <c r="M205" s="15">
        <f>Catalog!V178</f>
        <v/>
      </c>
      <c r="N205" s="15">
        <f>Catalog!Q178</f>
        <v/>
      </c>
      <c r="O205" s="15">
        <f>Catalog!AF178</f>
        <v/>
      </c>
    </row>
    <row r="206">
      <c r="A206" s="15">
        <f>Catalog!D179</f>
        <v/>
      </c>
      <c r="B206" s="15">
        <f>Catalog!F179</f>
        <v/>
      </c>
      <c r="C206" s="15">
        <f>IF(Catalog!I179="","",Catalog!I179)&amp;IF(AND(Catalog!I179&lt;&gt;"",Catalog!J179&lt;&gt;""),"; ","")&amp;IF(Catalog!J179="","",Catalog!J179)</f>
        <v/>
      </c>
      <c r="D206" s="15">
        <f>Catalog!P179</f>
        <v/>
      </c>
      <c r="E206" s="15">
        <f>Catalog!R179</f>
        <v/>
      </c>
      <c r="F206" s="15">
        <f>Catalog!M179</f>
        <v/>
      </c>
      <c r="G206" s="15">
        <f>Catalog!K179</f>
        <v/>
      </c>
      <c r="H206" s="15">
        <f>IF(Catalog!S179&lt;&gt;"","ISBN:"&amp;Catalog!S179,IF(Catalog!T179&lt;&gt;"","ISSN:"&amp;Catalog!T179,""))</f>
        <v/>
      </c>
      <c r="I206" s="15">
        <f>Catalog!B179</f>
        <v/>
      </c>
      <c r="J206" s="15">
        <f>Catalog!L179</f>
        <v/>
      </c>
      <c r="K206" s="15">
        <f>IF(Catalog!AG179&lt;&gt;"",Catalog!AG179,Catalog!AE179)</f>
        <v/>
      </c>
      <c r="L206" s="15">
        <f>Catalog!AD179</f>
        <v/>
      </c>
      <c r="M206" s="15">
        <f>Catalog!V179</f>
        <v/>
      </c>
      <c r="N206" s="15">
        <f>Catalog!Q179</f>
        <v/>
      </c>
      <c r="O206" s="15">
        <f>Catalog!AF179</f>
        <v/>
      </c>
    </row>
    <row r="207">
      <c r="A207" s="15">
        <f>Catalog!D180</f>
        <v/>
      </c>
      <c r="B207" s="15">
        <f>Catalog!F180</f>
        <v/>
      </c>
      <c r="C207" s="15">
        <f>IF(Catalog!I180="","",Catalog!I180)&amp;IF(AND(Catalog!I180&lt;&gt;"",Catalog!J180&lt;&gt;""),"; ","")&amp;IF(Catalog!J180="","",Catalog!J180)</f>
        <v/>
      </c>
      <c r="D207" s="15">
        <f>Catalog!P180</f>
        <v/>
      </c>
      <c r="E207" s="15">
        <f>Catalog!R180</f>
        <v/>
      </c>
      <c r="F207" s="15">
        <f>Catalog!M180</f>
        <v/>
      </c>
      <c r="G207" s="15">
        <f>Catalog!K180</f>
        <v/>
      </c>
      <c r="H207" s="15">
        <f>IF(Catalog!S180&lt;&gt;"","ISBN:"&amp;Catalog!S180,IF(Catalog!T180&lt;&gt;"","ISSN:"&amp;Catalog!T180,""))</f>
        <v/>
      </c>
      <c r="I207" s="15">
        <f>Catalog!B180</f>
        <v/>
      </c>
      <c r="J207" s="15">
        <f>Catalog!L180</f>
        <v/>
      </c>
      <c r="K207" s="15">
        <f>IF(Catalog!AG180&lt;&gt;"",Catalog!AG180,Catalog!AE180)</f>
        <v/>
      </c>
      <c r="L207" s="15">
        <f>Catalog!AD180</f>
        <v/>
      </c>
      <c r="M207" s="15">
        <f>Catalog!V180</f>
        <v/>
      </c>
      <c r="N207" s="15">
        <f>Catalog!Q180</f>
        <v/>
      </c>
      <c r="O207" s="15">
        <f>Catalog!AF180</f>
        <v/>
      </c>
    </row>
    <row r="208">
      <c r="A208" s="15">
        <f>Catalog!D181</f>
        <v/>
      </c>
      <c r="B208" s="15">
        <f>Catalog!F181</f>
        <v/>
      </c>
      <c r="C208" s="15">
        <f>IF(Catalog!I181="","",Catalog!I181)&amp;IF(AND(Catalog!I181&lt;&gt;"",Catalog!J181&lt;&gt;""),"; ","")&amp;IF(Catalog!J181="","",Catalog!J181)</f>
        <v/>
      </c>
      <c r="D208" s="15">
        <f>Catalog!P181</f>
        <v/>
      </c>
      <c r="E208" s="15">
        <f>Catalog!R181</f>
        <v/>
      </c>
      <c r="F208" s="15">
        <f>Catalog!M181</f>
        <v/>
      </c>
      <c r="G208" s="15">
        <f>Catalog!K181</f>
        <v/>
      </c>
      <c r="H208" s="15">
        <f>IF(Catalog!S181&lt;&gt;"","ISBN:"&amp;Catalog!S181,IF(Catalog!T181&lt;&gt;"","ISSN:"&amp;Catalog!T181,""))</f>
        <v/>
      </c>
      <c r="I208" s="15">
        <f>Catalog!B181</f>
        <v/>
      </c>
      <c r="J208" s="15">
        <f>Catalog!L181</f>
        <v/>
      </c>
      <c r="K208" s="15">
        <f>IF(Catalog!AG181&lt;&gt;"",Catalog!AG181,Catalog!AE181)</f>
        <v/>
      </c>
      <c r="L208" s="15">
        <f>Catalog!AD181</f>
        <v/>
      </c>
      <c r="M208" s="15">
        <f>Catalog!V181</f>
        <v/>
      </c>
      <c r="N208" s="15">
        <f>Catalog!Q181</f>
        <v/>
      </c>
      <c r="O208" s="15">
        <f>Catalog!AF181</f>
        <v/>
      </c>
    </row>
    <row r="209">
      <c r="A209" s="15">
        <f>Catalog!D182</f>
        <v/>
      </c>
      <c r="B209" s="15">
        <f>Catalog!F182</f>
        <v/>
      </c>
      <c r="C209" s="15">
        <f>IF(Catalog!I182="","",Catalog!I182)&amp;IF(AND(Catalog!I182&lt;&gt;"",Catalog!J182&lt;&gt;""),"; ","")&amp;IF(Catalog!J182="","",Catalog!J182)</f>
        <v/>
      </c>
      <c r="D209" s="15">
        <f>Catalog!P182</f>
        <v/>
      </c>
      <c r="E209" s="15">
        <f>Catalog!R182</f>
        <v/>
      </c>
      <c r="F209" s="15">
        <f>Catalog!M182</f>
        <v/>
      </c>
      <c r="G209" s="15">
        <f>Catalog!K182</f>
        <v/>
      </c>
      <c r="H209" s="15">
        <f>IF(Catalog!S182&lt;&gt;"","ISBN:"&amp;Catalog!S182,IF(Catalog!T182&lt;&gt;"","ISSN:"&amp;Catalog!T182,""))</f>
        <v/>
      </c>
      <c r="I209" s="15">
        <f>Catalog!B182</f>
        <v/>
      </c>
      <c r="J209" s="15">
        <f>Catalog!L182</f>
        <v/>
      </c>
      <c r="K209" s="15">
        <f>IF(Catalog!AG182&lt;&gt;"",Catalog!AG182,Catalog!AE182)</f>
        <v/>
      </c>
      <c r="L209" s="15">
        <f>Catalog!AD182</f>
        <v/>
      </c>
      <c r="M209" s="15">
        <f>Catalog!V182</f>
        <v/>
      </c>
      <c r="N209" s="15">
        <f>Catalog!Q182</f>
        <v/>
      </c>
      <c r="O209" s="15">
        <f>Catalog!AF182</f>
        <v/>
      </c>
    </row>
    <row r="210">
      <c r="A210" s="15">
        <f>Catalog!D183</f>
        <v/>
      </c>
      <c r="B210" s="15">
        <f>Catalog!F183</f>
        <v/>
      </c>
      <c r="C210" s="15">
        <f>IF(Catalog!I183="","",Catalog!I183)&amp;IF(AND(Catalog!I183&lt;&gt;"",Catalog!J183&lt;&gt;""),"; ","")&amp;IF(Catalog!J183="","",Catalog!J183)</f>
        <v/>
      </c>
      <c r="D210" s="15">
        <f>Catalog!P183</f>
        <v/>
      </c>
      <c r="E210" s="15">
        <f>Catalog!R183</f>
        <v/>
      </c>
      <c r="F210" s="15">
        <f>Catalog!M183</f>
        <v/>
      </c>
      <c r="G210" s="15">
        <f>Catalog!K183</f>
        <v/>
      </c>
      <c r="H210" s="15">
        <f>IF(Catalog!S183&lt;&gt;"","ISBN:"&amp;Catalog!S183,IF(Catalog!T183&lt;&gt;"","ISSN:"&amp;Catalog!T183,""))</f>
        <v/>
      </c>
      <c r="I210" s="15">
        <f>Catalog!B183</f>
        <v/>
      </c>
      <c r="J210" s="15">
        <f>Catalog!L183</f>
        <v/>
      </c>
      <c r="K210" s="15">
        <f>IF(Catalog!AG183&lt;&gt;"",Catalog!AG183,Catalog!AE183)</f>
        <v/>
      </c>
      <c r="L210" s="15">
        <f>Catalog!AD183</f>
        <v/>
      </c>
      <c r="M210" s="15">
        <f>Catalog!V183</f>
        <v/>
      </c>
      <c r="N210" s="15">
        <f>Catalog!Q183</f>
        <v/>
      </c>
      <c r="O210" s="15">
        <f>Catalog!AF183</f>
        <v/>
      </c>
    </row>
    <row r="211">
      <c r="A211" s="15">
        <f>Catalog!D184</f>
        <v/>
      </c>
      <c r="B211" s="15">
        <f>Catalog!F184</f>
        <v/>
      </c>
      <c r="C211" s="15">
        <f>IF(Catalog!I184="","",Catalog!I184)&amp;IF(AND(Catalog!I184&lt;&gt;"",Catalog!J184&lt;&gt;""),"; ","")&amp;IF(Catalog!J184="","",Catalog!J184)</f>
        <v/>
      </c>
      <c r="D211" s="15">
        <f>Catalog!P184</f>
        <v/>
      </c>
      <c r="E211" s="15">
        <f>Catalog!R184</f>
        <v/>
      </c>
      <c r="F211" s="15">
        <f>Catalog!M184</f>
        <v/>
      </c>
      <c r="G211" s="15">
        <f>Catalog!K184</f>
        <v/>
      </c>
      <c r="H211" s="15">
        <f>IF(Catalog!S184&lt;&gt;"","ISBN:"&amp;Catalog!S184,IF(Catalog!T184&lt;&gt;"","ISSN:"&amp;Catalog!T184,""))</f>
        <v/>
      </c>
      <c r="I211" s="15">
        <f>Catalog!B184</f>
        <v/>
      </c>
      <c r="J211" s="15">
        <f>Catalog!L184</f>
        <v/>
      </c>
      <c r="K211" s="15">
        <f>IF(Catalog!AG184&lt;&gt;"",Catalog!AG184,Catalog!AE184)</f>
        <v/>
      </c>
      <c r="L211" s="15">
        <f>Catalog!AD184</f>
        <v/>
      </c>
      <c r="M211" s="15">
        <f>Catalog!V184</f>
        <v/>
      </c>
      <c r="N211" s="15">
        <f>Catalog!Q184</f>
        <v/>
      </c>
      <c r="O211" s="15">
        <f>Catalog!AF184</f>
        <v/>
      </c>
    </row>
    <row r="212">
      <c r="A212" s="15">
        <f>Catalog!D185</f>
        <v/>
      </c>
      <c r="B212" s="15">
        <f>Catalog!F185</f>
        <v/>
      </c>
      <c r="C212" s="15">
        <f>IF(Catalog!I185="","",Catalog!I185)&amp;IF(AND(Catalog!I185&lt;&gt;"",Catalog!J185&lt;&gt;""),"; ","")&amp;IF(Catalog!J185="","",Catalog!J185)</f>
        <v/>
      </c>
      <c r="D212" s="15">
        <f>Catalog!P185</f>
        <v/>
      </c>
      <c r="E212" s="15">
        <f>Catalog!R185</f>
        <v/>
      </c>
      <c r="F212" s="15">
        <f>Catalog!M185</f>
        <v/>
      </c>
      <c r="G212" s="15">
        <f>Catalog!K185</f>
        <v/>
      </c>
      <c r="H212" s="15">
        <f>IF(Catalog!S185&lt;&gt;"","ISBN:"&amp;Catalog!S185,IF(Catalog!T185&lt;&gt;"","ISSN:"&amp;Catalog!T185,""))</f>
        <v/>
      </c>
      <c r="I212" s="15">
        <f>Catalog!B185</f>
        <v/>
      </c>
      <c r="J212" s="15">
        <f>Catalog!L185</f>
        <v/>
      </c>
      <c r="K212" s="15">
        <f>IF(Catalog!AG185&lt;&gt;"",Catalog!AG185,Catalog!AE185)</f>
        <v/>
      </c>
      <c r="L212" s="15">
        <f>Catalog!AD185</f>
        <v/>
      </c>
      <c r="M212" s="15">
        <f>Catalog!V185</f>
        <v/>
      </c>
      <c r="N212" s="15">
        <f>Catalog!Q185</f>
        <v/>
      </c>
      <c r="O212" s="15">
        <f>Catalog!AF185</f>
        <v/>
      </c>
    </row>
    <row r="213">
      <c r="A213" s="15">
        <f>Catalog!D186</f>
        <v/>
      </c>
      <c r="B213" s="15">
        <f>Catalog!F186</f>
        <v/>
      </c>
      <c r="C213" s="15">
        <f>IF(Catalog!I186="","",Catalog!I186)&amp;IF(AND(Catalog!I186&lt;&gt;"",Catalog!J186&lt;&gt;""),"; ","")&amp;IF(Catalog!J186="","",Catalog!J186)</f>
        <v/>
      </c>
      <c r="D213" s="15">
        <f>Catalog!P186</f>
        <v/>
      </c>
      <c r="E213" s="15">
        <f>Catalog!R186</f>
        <v/>
      </c>
      <c r="F213" s="15">
        <f>Catalog!M186</f>
        <v/>
      </c>
      <c r="G213" s="15">
        <f>Catalog!K186</f>
        <v/>
      </c>
      <c r="H213" s="15">
        <f>IF(Catalog!S186&lt;&gt;"","ISBN:"&amp;Catalog!S186,IF(Catalog!T186&lt;&gt;"","ISSN:"&amp;Catalog!T186,""))</f>
        <v/>
      </c>
      <c r="I213" s="15">
        <f>Catalog!B186</f>
        <v/>
      </c>
      <c r="J213" s="15">
        <f>Catalog!L186</f>
        <v/>
      </c>
      <c r="K213" s="15">
        <f>IF(Catalog!AG186&lt;&gt;"",Catalog!AG186,Catalog!AE186)</f>
        <v/>
      </c>
      <c r="L213" s="15">
        <f>Catalog!AD186</f>
        <v/>
      </c>
      <c r="M213" s="15">
        <f>Catalog!V186</f>
        <v/>
      </c>
      <c r="N213" s="15">
        <f>Catalog!Q186</f>
        <v/>
      </c>
      <c r="O213" s="15">
        <f>Catalog!AF186</f>
        <v/>
      </c>
    </row>
    <row r="214">
      <c r="A214" s="15">
        <f>Catalog!D187</f>
        <v/>
      </c>
      <c r="B214" s="15">
        <f>Catalog!F187</f>
        <v/>
      </c>
      <c r="C214" s="15">
        <f>IF(Catalog!I187="","",Catalog!I187)&amp;IF(AND(Catalog!I187&lt;&gt;"",Catalog!J187&lt;&gt;""),"; ","")&amp;IF(Catalog!J187="","",Catalog!J187)</f>
        <v/>
      </c>
      <c r="D214" s="15">
        <f>Catalog!P187</f>
        <v/>
      </c>
      <c r="E214" s="15">
        <f>Catalog!R187</f>
        <v/>
      </c>
      <c r="F214" s="15">
        <f>Catalog!M187</f>
        <v/>
      </c>
      <c r="G214" s="15">
        <f>Catalog!K187</f>
        <v/>
      </c>
      <c r="H214" s="15">
        <f>IF(Catalog!S187&lt;&gt;"","ISBN:"&amp;Catalog!S187,IF(Catalog!T187&lt;&gt;"","ISSN:"&amp;Catalog!T187,""))</f>
        <v/>
      </c>
      <c r="I214" s="15">
        <f>Catalog!B187</f>
        <v/>
      </c>
      <c r="J214" s="15">
        <f>Catalog!L187</f>
        <v/>
      </c>
      <c r="K214" s="15">
        <f>IF(Catalog!AG187&lt;&gt;"",Catalog!AG187,Catalog!AE187)</f>
        <v/>
      </c>
      <c r="L214" s="15">
        <f>Catalog!AD187</f>
        <v/>
      </c>
      <c r="M214" s="15">
        <f>Catalog!V187</f>
        <v/>
      </c>
      <c r="N214" s="15">
        <f>Catalog!Q187</f>
        <v/>
      </c>
      <c r="O214" s="15">
        <f>Catalog!AF187</f>
        <v/>
      </c>
    </row>
    <row r="215">
      <c r="A215" s="15">
        <f>Catalog!D188</f>
        <v/>
      </c>
      <c r="B215" s="15">
        <f>Catalog!F188</f>
        <v/>
      </c>
      <c r="C215" s="15">
        <f>IF(Catalog!I188="","",Catalog!I188)&amp;IF(AND(Catalog!I188&lt;&gt;"",Catalog!J188&lt;&gt;""),"; ","")&amp;IF(Catalog!J188="","",Catalog!J188)</f>
        <v/>
      </c>
      <c r="D215" s="15">
        <f>Catalog!P188</f>
        <v/>
      </c>
      <c r="E215" s="15">
        <f>Catalog!R188</f>
        <v/>
      </c>
      <c r="F215" s="15">
        <f>Catalog!M188</f>
        <v/>
      </c>
      <c r="G215" s="15">
        <f>Catalog!K188</f>
        <v/>
      </c>
      <c r="H215" s="15">
        <f>IF(Catalog!S188&lt;&gt;"","ISBN:"&amp;Catalog!S188,IF(Catalog!T188&lt;&gt;"","ISSN:"&amp;Catalog!T188,""))</f>
        <v/>
      </c>
      <c r="I215" s="15">
        <f>Catalog!B188</f>
        <v/>
      </c>
      <c r="J215" s="15">
        <f>Catalog!L188</f>
        <v/>
      </c>
      <c r="K215" s="15">
        <f>IF(Catalog!AG188&lt;&gt;"",Catalog!AG188,Catalog!AE188)</f>
        <v/>
      </c>
      <c r="L215" s="15">
        <f>Catalog!AD188</f>
        <v/>
      </c>
      <c r="M215" s="15">
        <f>Catalog!V188</f>
        <v/>
      </c>
      <c r="N215" s="15">
        <f>Catalog!Q188</f>
        <v/>
      </c>
      <c r="O215" s="15">
        <f>Catalog!AF188</f>
        <v/>
      </c>
    </row>
    <row r="216">
      <c r="A216" s="15">
        <f>Catalog!D189</f>
        <v/>
      </c>
      <c r="B216" s="15">
        <f>Catalog!F189</f>
        <v/>
      </c>
      <c r="C216" s="15">
        <f>IF(Catalog!I189="","",Catalog!I189)&amp;IF(AND(Catalog!I189&lt;&gt;"",Catalog!J189&lt;&gt;""),"; ","")&amp;IF(Catalog!J189="","",Catalog!J189)</f>
        <v/>
      </c>
      <c r="D216" s="15">
        <f>Catalog!P189</f>
        <v/>
      </c>
      <c r="E216" s="15">
        <f>Catalog!R189</f>
        <v/>
      </c>
      <c r="F216" s="15">
        <f>Catalog!M189</f>
        <v/>
      </c>
      <c r="G216" s="15">
        <f>Catalog!K189</f>
        <v/>
      </c>
      <c r="H216" s="15">
        <f>IF(Catalog!S189&lt;&gt;"","ISBN:"&amp;Catalog!S189,IF(Catalog!T189&lt;&gt;"","ISSN:"&amp;Catalog!T189,""))</f>
        <v/>
      </c>
      <c r="I216" s="15">
        <f>Catalog!B189</f>
        <v/>
      </c>
      <c r="J216" s="15">
        <f>Catalog!L189</f>
        <v/>
      </c>
      <c r="K216" s="15">
        <f>IF(Catalog!AG189&lt;&gt;"",Catalog!AG189,Catalog!AE189)</f>
        <v/>
      </c>
      <c r="L216" s="15">
        <f>Catalog!AD189</f>
        <v/>
      </c>
      <c r="M216" s="15">
        <f>Catalog!V189</f>
        <v/>
      </c>
      <c r="N216" s="15">
        <f>Catalog!Q189</f>
        <v/>
      </c>
      <c r="O216" s="15">
        <f>Catalog!AF189</f>
        <v/>
      </c>
    </row>
    <row r="217">
      <c r="A217" s="15">
        <f>Catalog!D190</f>
        <v/>
      </c>
      <c r="B217" s="15">
        <f>Catalog!F190</f>
        <v/>
      </c>
      <c r="C217" s="15">
        <f>IF(Catalog!I190="","",Catalog!I190)&amp;IF(AND(Catalog!I190&lt;&gt;"",Catalog!J190&lt;&gt;""),"; ","")&amp;IF(Catalog!J190="","",Catalog!J190)</f>
        <v/>
      </c>
      <c r="D217" s="15">
        <f>Catalog!P190</f>
        <v/>
      </c>
      <c r="E217" s="15">
        <f>Catalog!R190</f>
        <v/>
      </c>
      <c r="F217" s="15">
        <f>Catalog!M190</f>
        <v/>
      </c>
      <c r="G217" s="15">
        <f>Catalog!K190</f>
        <v/>
      </c>
      <c r="H217" s="15">
        <f>IF(Catalog!S190&lt;&gt;"","ISBN:"&amp;Catalog!S190,IF(Catalog!T190&lt;&gt;"","ISSN:"&amp;Catalog!T190,""))</f>
        <v/>
      </c>
      <c r="I217" s="15">
        <f>Catalog!B190</f>
        <v/>
      </c>
      <c r="J217" s="15">
        <f>Catalog!L190</f>
        <v/>
      </c>
      <c r="K217" s="15">
        <f>IF(Catalog!AG190&lt;&gt;"",Catalog!AG190,Catalog!AE190)</f>
        <v/>
      </c>
      <c r="L217" s="15">
        <f>Catalog!AD190</f>
        <v/>
      </c>
      <c r="M217" s="15">
        <f>Catalog!V190</f>
        <v/>
      </c>
      <c r="N217" s="15">
        <f>Catalog!Q190</f>
        <v/>
      </c>
      <c r="O217" s="15">
        <f>Catalog!AF190</f>
        <v/>
      </c>
    </row>
    <row r="218">
      <c r="A218" s="15">
        <f>Catalog!D191</f>
        <v/>
      </c>
      <c r="B218" s="15">
        <f>Catalog!F191</f>
        <v/>
      </c>
      <c r="C218" s="15">
        <f>IF(Catalog!I191="","",Catalog!I191)&amp;IF(AND(Catalog!I191&lt;&gt;"",Catalog!J191&lt;&gt;""),"; ","")&amp;IF(Catalog!J191="","",Catalog!J191)</f>
        <v/>
      </c>
      <c r="D218" s="15">
        <f>Catalog!P191</f>
        <v/>
      </c>
      <c r="E218" s="15">
        <f>Catalog!R191</f>
        <v/>
      </c>
      <c r="F218" s="15">
        <f>Catalog!M191</f>
        <v/>
      </c>
      <c r="G218" s="15">
        <f>Catalog!K191</f>
        <v/>
      </c>
      <c r="H218" s="15">
        <f>IF(Catalog!S191&lt;&gt;"","ISBN:"&amp;Catalog!S191,IF(Catalog!T191&lt;&gt;"","ISSN:"&amp;Catalog!T191,""))</f>
        <v/>
      </c>
      <c r="I218" s="15">
        <f>Catalog!B191</f>
        <v/>
      </c>
      <c r="J218" s="15">
        <f>Catalog!L191</f>
        <v/>
      </c>
      <c r="K218" s="15">
        <f>IF(Catalog!AG191&lt;&gt;"",Catalog!AG191,Catalog!AE191)</f>
        <v/>
      </c>
      <c r="L218" s="15">
        <f>Catalog!AD191</f>
        <v/>
      </c>
      <c r="M218" s="15">
        <f>Catalog!V191</f>
        <v/>
      </c>
      <c r="N218" s="15">
        <f>Catalog!Q191</f>
        <v/>
      </c>
      <c r="O218" s="15">
        <f>Catalog!AF191</f>
        <v/>
      </c>
    </row>
    <row r="219">
      <c r="A219" s="15">
        <f>Catalog!D192</f>
        <v/>
      </c>
      <c r="B219" s="15">
        <f>Catalog!F192</f>
        <v/>
      </c>
      <c r="C219" s="15">
        <f>IF(Catalog!I192="","",Catalog!I192)&amp;IF(AND(Catalog!I192&lt;&gt;"",Catalog!J192&lt;&gt;""),"; ","")&amp;IF(Catalog!J192="","",Catalog!J192)</f>
        <v/>
      </c>
      <c r="D219" s="15">
        <f>Catalog!P192</f>
        <v/>
      </c>
      <c r="E219" s="15">
        <f>Catalog!R192</f>
        <v/>
      </c>
      <c r="F219" s="15">
        <f>Catalog!M192</f>
        <v/>
      </c>
      <c r="G219" s="15">
        <f>Catalog!K192</f>
        <v/>
      </c>
      <c r="H219" s="15">
        <f>IF(Catalog!S192&lt;&gt;"","ISBN:"&amp;Catalog!S192,IF(Catalog!T192&lt;&gt;"","ISSN:"&amp;Catalog!T192,""))</f>
        <v/>
      </c>
      <c r="I219" s="15">
        <f>Catalog!B192</f>
        <v/>
      </c>
      <c r="J219" s="15">
        <f>Catalog!L192</f>
        <v/>
      </c>
      <c r="K219" s="15">
        <f>IF(Catalog!AG192&lt;&gt;"",Catalog!AG192,Catalog!AE192)</f>
        <v/>
      </c>
      <c r="L219" s="15">
        <f>Catalog!AD192</f>
        <v/>
      </c>
      <c r="M219" s="15">
        <f>Catalog!V192</f>
        <v/>
      </c>
      <c r="N219" s="15">
        <f>Catalog!Q192</f>
        <v/>
      </c>
      <c r="O219" s="15">
        <f>Catalog!AF192</f>
        <v/>
      </c>
    </row>
    <row r="220">
      <c r="A220" s="15">
        <f>Catalog!D193</f>
        <v/>
      </c>
      <c r="B220" s="15">
        <f>Catalog!F193</f>
        <v/>
      </c>
      <c r="C220" s="15">
        <f>IF(Catalog!I193="","",Catalog!I193)&amp;IF(AND(Catalog!I193&lt;&gt;"",Catalog!J193&lt;&gt;""),"; ","")&amp;IF(Catalog!J193="","",Catalog!J193)</f>
        <v/>
      </c>
      <c r="D220" s="15">
        <f>Catalog!P193</f>
        <v/>
      </c>
      <c r="E220" s="15">
        <f>Catalog!R193</f>
        <v/>
      </c>
      <c r="F220" s="15">
        <f>Catalog!M193</f>
        <v/>
      </c>
      <c r="G220" s="15">
        <f>Catalog!K193</f>
        <v/>
      </c>
      <c r="H220" s="15">
        <f>IF(Catalog!S193&lt;&gt;"","ISBN:"&amp;Catalog!S193,IF(Catalog!T193&lt;&gt;"","ISSN:"&amp;Catalog!T193,""))</f>
        <v/>
      </c>
      <c r="I220" s="15">
        <f>Catalog!B193</f>
        <v/>
      </c>
      <c r="J220" s="15">
        <f>Catalog!L193</f>
        <v/>
      </c>
      <c r="K220" s="15">
        <f>IF(Catalog!AG193&lt;&gt;"",Catalog!AG193,Catalog!AE193)</f>
        <v/>
      </c>
      <c r="L220" s="15">
        <f>Catalog!AD193</f>
        <v/>
      </c>
      <c r="M220" s="15">
        <f>Catalog!V193</f>
        <v/>
      </c>
      <c r="N220" s="15">
        <f>Catalog!Q193</f>
        <v/>
      </c>
      <c r="O220" s="15">
        <f>Catalog!AF193</f>
        <v/>
      </c>
    </row>
    <row r="221">
      <c r="A221" s="15">
        <f>Catalog!D194</f>
        <v/>
      </c>
      <c r="B221" s="15">
        <f>Catalog!F194</f>
        <v/>
      </c>
      <c r="C221" s="15">
        <f>IF(Catalog!I194="","",Catalog!I194)&amp;IF(AND(Catalog!I194&lt;&gt;"",Catalog!J194&lt;&gt;""),"; ","")&amp;IF(Catalog!J194="","",Catalog!J194)</f>
        <v/>
      </c>
      <c r="D221" s="15">
        <f>Catalog!P194</f>
        <v/>
      </c>
      <c r="E221" s="15">
        <f>Catalog!R194</f>
        <v/>
      </c>
      <c r="F221" s="15">
        <f>Catalog!M194</f>
        <v/>
      </c>
      <c r="G221" s="15">
        <f>Catalog!K194</f>
        <v/>
      </c>
      <c r="H221" s="15">
        <f>IF(Catalog!S194&lt;&gt;"","ISBN:"&amp;Catalog!S194,IF(Catalog!T194&lt;&gt;"","ISSN:"&amp;Catalog!T194,""))</f>
        <v/>
      </c>
      <c r="I221" s="15">
        <f>Catalog!B194</f>
        <v/>
      </c>
      <c r="J221" s="15">
        <f>Catalog!L194</f>
        <v/>
      </c>
      <c r="K221" s="15">
        <f>IF(Catalog!AG194&lt;&gt;"",Catalog!AG194,Catalog!AE194)</f>
        <v/>
      </c>
      <c r="L221" s="15">
        <f>Catalog!AD194</f>
        <v/>
      </c>
      <c r="M221" s="15">
        <f>Catalog!V194</f>
        <v/>
      </c>
      <c r="N221" s="15">
        <f>Catalog!Q194</f>
        <v/>
      </c>
      <c r="O221" s="15">
        <f>Catalog!AF194</f>
        <v/>
      </c>
    </row>
    <row r="222">
      <c r="A222" s="15">
        <f>Catalog!D195</f>
        <v/>
      </c>
      <c r="B222" s="15">
        <f>Catalog!F195</f>
        <v/>
      </c>
      <c r="C222" s="15">
        <f>IF(Catalog!I195="","",Catalog!I195)&amp;IF(AND(Catalog!I195&lt;&gt;"",Catalog!J195&lt;&gt;""),"; ","")&amp;IF(Catalog!J195="","",Catalog!J195)</f>
        <v/>
      </c>
      <c r="D222" s="15">
        <f>Catalog!P195</f>
        <v/>
      </c>
      <c r="E222" s="15">
        <f>Catalog!R195</f>
        <v/>
      </c>
      <c r="F222" s="15">
        <f>Catalog!M195</f>
        <v/>
      </c>
      <c r="G222" s="15">
        <f>Catalog!K195</f>
        <v/>
      </c>
      <c r="H222" s="15">
        <f>IF(Catalog!S195&lt;&gt;"","ISBN:"&amp;Catalog!S195,IF(Catalog!T195&lt;&gt;"","ISSN:"&amp;Catalog!T195,""))</f>
        <v/>
      </c>
      <c r="I222" s="15">
        <f>Catalog!B195</f>
        <v/>
      </c>
      <c r="J222" s="15">
        <f>Catalog!L195</f>
        <v/>
      </c>
      <c r="K222" s="15">
        <f>IF(Catalog!AG195&lt;&gt;"",Catalog!AG195,Catalog!AE195)</f>
        <v/>
      </c>
      <c r="L222" s="15">
        <f>Catalog!AD195</f>
        <v/>
      </c>
      <c r="M222" s="15">
        <f>Catalog!V195</f>
        <v/>
      </c>
      <c r="N222" s="15">
        <f>Catalog!Q195</f>
        <v/>
      </c>
      <c r="O222" s="15">
        <f>Catalog!AF195</f>
        <v/>
      </c>
    </row>
    <row r="223">
      <c r="A223" s="15">
        <f>Catalog!D196</f>
        <v/>
      </c>
      <c r="B223" s="15">
        <f>Catalog!F196</f>
        <v/>
      </c>
      <c r="C223" s="15">
        <f>IF(Catalog!I196="","",Catalog!I196)&amp;IF(AND(Catalog!I196&lt;&gt;"",Catalog!J196&lt;&gt;""),"; ","")&amp;IF(Catalog!J196="","",Catalog!J196)</f>
        <v/>
      </c>
      <c r="D223" s="15">
        <f>Catalog!P196</f>
        <v/>
      </c>
      <c r="E223" s="15">
        <f>Catalog!R196</f>
        <v/>
      </c>
      <c r="F223" s="15">
        <f>Catalog!M196</f>
        <v/>
      </c>
      <c r="G223" s="15">
        <f>Catalog!K196</f>
        <v/>
      </c>
      <c r="H223" s="15">
        <f>IF(Catalog!S196&lt;&gt;"","ISBN:"&amp;Catalog!S196,IF(Catalog!T196&lt;&gt;"","ISSN:"&amp;Catalog!T196,""))</f>
        <v/>
      </c>
      <c r="I223" s="15">
        <f>Catalog!B196</f>
        <v/>
      </c>
      <c r="J223" s="15">
        <f>Catalog!L196</f>
        <v/>
      </c>
      <c r="K223" s="15">
        <f>IF(Catalog!AG196&lt;&gt;"",Catalog!AG196,Catalog!AE196)</f>
        <v/>
      </c>
      <c r="L223" s="15">
        <f>Catalog!AD196</f>
        <v/>
      </c>
      <c r="M223" s="15">
        <f>Catalog!V196</f>
        <v/>
      </c>
      <c r="N223" s="15">
        <f>Catalog!Q196</f>
        <v/>
      </c>
      <c r="O223" s="15">
        <f>Catalog!AF196</f>
        <v/>
      </c>
    </row>
    <row r="224">
      <c r="A224" s="15">
        <f>Catalog!D197</f>
        <v/>
      </c>
      <c r="B224" s="15">
        <f>Catalog!F197</f>
        <v/>
      </c>
      <c r="C224" s="15">
        <f>IF(Catalog!I197="","",Catalog!I197)&amp;IF(AND(Catalog!I197&lt;&gt;"",Catalog!J197&lt;&gt;""),"; ","")&amp;IF(Catalog!J197="","",Catalog!J197)</f>
        <v/>
      </c>
      <c r="D224" s="15">
        <f>Catalog!P197</f>
        <v/>
      </c>
      <c r="E224" s="15">
        <f>Catalog!R197</f>
        <v/>
      </c>
      <c r="F224" s="15">
        <f>Catalog!M197</f>
        <v/>
      </c>
      <c r="G224" s="15">
        <f>Catalog!K197</f>
        <v/>
      </c>
      <c r="H224" s="15">
        <f>IF(Catalog!S197&lt;&gt;"","ISBN:"&amp;Catalog!S197,IF(Catalog!T197&lt;&gt;"","ISSN:"&amp;Catalog!T197,""))</f>
        <v/>
      </c>
      <c r="I224" s="15">
        <f>Catalog!B197</f>
        <v/>
      </c>
      <c r="J224" s="15">
        <f>Catalog!L197</f>
        <v/>
      </c>
      <c r="K224" s="15">
        <f>IF(Catalog!AG197&lt;&gt;"",Catalog!AG197,Catalog!AE197)</f>
        <v/>
      </c>
      <c r="L224" s="15">
        <f>Catalog!AD197</f>
        <v/>
      </c>
      <c r="M224" s="15">
        <f>Catalog!V197</f>
        <v/>
      </c>
      <c r="N224" s="15">
        <f>Catalog!Q197</f>
        <v/>
      </c>
      <c r="O224" s="15">
        <f>Catalog!AF197</f>
        <v/>
      </c>
    </row>
    <row r="225">
      <c r="A225" s="15">
        <f>Catalog!D198</f>
        <v/>
      </c>
      <c r="B225" s="15">
        <f>Catalog!F198</f>
        <v/>
      </c>
      <c r="C225" s="15">
        <f>IF(Catalog!I198="","",Catalog!I198)&amp;IF(AND(Catalog!I198&lt;&gt;"",Catalog!J198&lt;&gt;""),"; ","")&amp;IF(Catalog!J198="","",Catalog!J198)</f>
        <v/>
      </c>
      <c r="D225" s="15">
        <f>Catalog!P198</f>
        <v/>
      </c>
      <c r="E225" s="15">
        <f>Catalog!R198</f>
        <v/>
      </c>
      <c r="F225" s="15">
        <f>Catalog!M198</f>
        <v/>
      </c>
      <c r="G225" s="15">
        <f>Catalog!K198</f>
        <v/>
      </c>
      <c r="H225" s="15">
        <f>IF(Catalog!S198&lt;&gt;"","ISBN:"&amp;Catalog!S198,IF(Catalog!T198&lt;&gt;"","ISSN:"&amp;Catalog!T198,""))</f>
        <v/>
      </c>
      <c r="I225" s="15">
        <f>Catalog!B198</f>
        <v/>
      </c>
      <c r="J225" s="15">
        <f>Catalog!L198</f>
        <v/>
      </c>
      <c r="K225" s="15">
        <f>IF(Catalog!AG198&lt;&gt;"",Catalog!AG198,Catalog!AE198)</f>
        <v/>
      </c>
      <c r="L225" s="15">
        <f>Catalog!AD198</f>
        <v/>
      </c>
      <c r="M225" s="15">
        <f>Catalog!V198</f>
        <v/>
      </c>
      <c r="N225" s="15">
        <f>Catalog!Q198</f>
        <v/>
      </c>
      <c r="O225" s="15">
        <f>Catalog!AF198</f>
        <v/>
      </c>
    </row>
    <row r="226">
      <c r="A226" s="15">
        <f>Catalog!D199</f>
        <v/>
      </c>
      <c r="B226" s="15">
        <f>Catalog!F199</f>
        <v/>
      </c>
      <c r="C226" s="15">
        <f>IF(Catalog!I199="","",Catalog!I199)&amp;IF(AND(Catalog!I199&lt;&gt;"",Catalog!J199&lt;&gt;""),"; ","")&amp;IF(Catalog!J199="","",Catalog!J199)</f>
        <v/>
      </c>
      <c r="D226" s="15">
        <f>Catalog!P199</f>
        <v/>
      </c>
      <c r="E226" s="15">
        <f>Catalog!R199</f>
        <v/>
      </c>
      <c r="F226" s="15">
        <f>Catalog!M199</f>
        <v/>
      </c>
      <c r="G226" s="15">
        <f>Catalog!K199</f>
        <v/>
      </c>
      <c r="H226" s="15">
        <f>IF(Catalog!S199&lt;&gt;"","ISBN:"&amp;Catalog!S199,IF(Catalog!T199&lt;&gt;"","ISSN:"&amp;Catalog!T199,""))</f>
        <v/>
      </c>
      <c r="I226" s="15">
        <f>Catalog!B199</f>
        <v/>
      </c>
      <c r="J226" s="15">
        <f>Catalog!L199</f>
        <v/>
      </c>
      <c r="K226" s="15">
        <f>IF(Catalog!AG199&lt;&gt;"",Catalog!AG199,Catalog!AE199)</f>
        <v/>
      </c>
      <c r="L226" s="15">
        <f>Catalog!AD199</f>
        <v/>
      </c>
      <c r="M226" s="15">
        <f>Catalog!V199</f>
        <v/>
      </c>
      <c r="N226" s="15">
        <f>Catalog!Q199</f>
        <v/>
      </c>
      <c r="O226" s="15">
        <f>Catalog!AF199</f>
        <v/>
      </c>
    </row>
    <row r="227">
      <c r="A227" s="15">
        <f>Catalog!D200</f>
        <v/>
      </c>
      <c r="B227" s="15">
        <f>Catalog!F200</f>
        <v/>
      </c>
      <c r="C227" s="15">
        <f>IF(Catalog!I200="","",Catalog!I200)&amp;IF(AND(Catalog!I200&lt;&gt;"",Catalog!J200&lt;&gt;""),"; ","")&amp;IF(Catalog!J200="","",Catalog!J200)</f>
        <v/>
      </c>
      <c r="D227" s="15">
        <f>Catalog!P200</f>
        <v/>
      </c>
      <c r="E227" s="15">
        <f>Catalog!R200</f>
        <v/>
      </c>
      <c r="F227" s="15">
        <f>Catalog!M200</f>
        <v/>
      </c>
      <c r="G227" s="15">
        <f>Catalog!K200</f>
        <v/>
      </c>
      <c r="H227" s="15">
        <f>IF(Catalog!S200&lt;&gt;"","ISBN:"&amp;Catalog!S200,IF(Catalog!T200&lt;&gt;"","ISSN:"&amp;Catalog!T200,""))</f>
        <v/>
      </c>
      <c r="I227" s="15">
        <f>Catalog!B200</f>
        <v/>
      </c>
      <c r="J227" s="15">
        <f>Catalog!L200</f>
        <v/>
      </c>
      <c r="K227" s="15">
        <f>IF(Catalog!AG200&lt;&gt;"",Catalog!AG200,Catalog!AE200)</f>
        <v/>
      </c>
      <c r="L227" s="15">
        <f>Catalog!AD200</f>
        <v/>
      </c>
      <c r="M227" s="15">
        <f>Catalog!V200</f>
        <v/>
      </c>
      <c r="N227" s="15">
        <f>Catalog!Q200</f>
        <v/>
      </c>
      <c r="O227" s="15">
        <f>Catalog!AF200</f>
        <v/>
      </c>
    </row>
    <row r="228">
      <c r="A228" s="15">
        <f>Catalog!D201</f>
        <v/>
      </c>
      <c r="B228" s="15">
        <f>Catalog!F201</f>
        <v/>
      </c>
      <c r="C228" s="15">
        <f>IF(Catalog!I201="","",Catalog!I201)&amp;IF(AND(Catalog!I201&lt;&gt;"",Catalog!J201&lt;&gt;""),"; ","")&amp;IF(Catalog!J201="","",Catalog!J201)</f>
        <v/>
      </c>
      <c r="D228" s="15">
        <f>Catalog!P201</f>
        <v/>
      </c>
      <c r="E228" s="15">
        <f>Catalog!R201</f>
        <v/>
      </c>
      <c r="F228" s="15">
        <f>Catalog!M201</f>
        <v/>
      </c>
      <c r="G228" s="15">
        <f>Catalog!K201</f>
        <v/>
      </c>
      <c r="H228" s="15">
        <f>IF(Catalog!S201&lt;&gt;"","ISBN:"&amp;Catalog!S201,IF(Catalog!T201&lt;&gt;"","ISSN:"&amp;Catalog!T201,""))</f>
        <v/>
      </c>
      <c r="I228" s="15">
        <f>Catalog!B201</f>
        <v/>
      </c>
      <c r="J228" s="15">
        <f>Catalog!L201</f>
        <v/>
      </c>
      <c r="K228" s="15">
        <f>IF(Catalog!AG201&lt;&gt;"",Catalog!AG201,Catalog!AE201)</f>
        <v/>
      </c>
      <c r="L228" s="15">
        <f>Catalog!AD201</f>
        <v/>
      </c>
      <c r="M228" s="15">
        <f>Catalog!V201</f>
        <v/>
      </c>
      <c r="N228" s="15">
        <f>Catalog!Q201</f>
        <v/>
      </c>
      <c r="O228" s="15">
        <f>Catalog!AF201</f>
        <v/>
      </c>
    </row>
    <row r="229">
      <c r="A229" s="15">
        <f>Catalog!D202</f>
        <v/>
      </c>
      <c r="B229" s="15">
        <f>Catalog!F202</f>
        <v/>
      </c>
      <c r="C229" s="15">
        <f>IF(Catalog!I202="","",Catalog!I202)&amp;IF(AND(Catalog!I202&lt;&gt;"",Catalog!J202&lt;&gt;""),"; ","")&amp;IF(Catalog!J202="","",Catalog!J202)</f>
        <v/>
      </c>
      <c r="D229" s="15">
        <f>Catalog!P202</f>
        <v/>
      </c>
      <c r="E229" s="15">
        <f>Catalog!R202</f>
        <v/>
      </c>
      <c r="F229" s="15">
        <f>Catalog!M202</f>
        <v/>
      </c>
      <c r="G229" s="15">
        <f>Catalog!K202</f>
        <v/>
      </c>
      <c r="H229" s="15">
        <f>IF(Catalog!S202&lt;&gt;"","ISBN:"&amp;Catalog!S202,IF(Catalog!T202&lt;&gt;"","ISSN:"&amp;Catalog!T202,""))</f>
        <v/>
      </c>
      <c r="I229" s="15">
        <f>Catalog!B202</f>
        <v/>
      </c>
      <c r="J229" s="15">
        <f>Catalog!L202</f>
        <v/>
      </c>
      <c r="K229" s="15">
        <f>IF(Catalog!AG202&lt;&gt;"",Catalog!AG202,Catalog!AE202)</f>
        <v/>
      </c>
      <c r="L229" s="15">
        <f>Catalog!AD202</f>
        <v/>
      </c>
      <c r="M229" s="15">
        <f>Catalog!V202</f>
        <v/>
      </c>
      <c r="N229" s="15">
        <f>Catalog!Q202</f>
        <v/>
      </c>
      <c r="O229" s="15">
        <f>Catalog!AF202</f>
        <v/>
      </c>
    </row>
    <row r="230">
      <c r="A230" s="15">
        <f>Catalog!D203</f>
        <v/>
      </c>
      <c r="B230" s="15">
        <f>Catalog!F203</f>
        <v/>
      </c>
      <c r="C230" s="15">
        <f>IF(Catalog!I203="","",Catalog!I203)&amp;IF(AND(Catalog!I203&lt;&gt;"",Catalog!J203&lt;&gt;""),"; ","")&amp;IF(Catalog!J203="","",Catalog!J203)</f>
        <v/>
      </c>
      <c r="D230" s="15">
        <f>Catalog!P203</f>
        <v/>
      </c>
      <c r="E230" s="15">
        <f>Catalog!R203</f>
        <v/>
      </c>
      <c r="F230" s="15">
        <f>Catalog!M203</f>
        <v/>
      </c>
      <c r="G230" s="15">
        <f>Catalog!K203</f>
        <v/>
      </c>
      <c r="H230" s="15">
        <f>IF(Catalog!S203&lt;&gt;"","ISBN:"&amp;Catalog!S203,IF(Catalog!T203&lt;&gt;"","ISSN:"&amp;Catalog!T203,""))</f>
        <v/>
      </c>
      <c r="I230" s="15">
        <f>Catalog!B203</f>
        <v/>
      </c>
      <c r="J230" s="15">
        <f>Catalog!L203</f>
        <v/>
      </c>
      <c r="K230" s="15">
        <f>IF(Catalog!AG203&lt;&gt;"",Catalog!AG203,Catalog!AE203)</f>
        <v/>
      </c>
      <c r="L230" s="15">
        <f>Catalog!AD203</f>
        <v/>
      </c>
      <c r="M230" s="15">
        <f>Catalog!V203</f>
        <v/>
      </c>
      <c r="N230" s="15">
        <f>Catalog!Q203</f>
        <v/>
      </c>
      <c r="O230" s="15">
        <f>Catalog!AF203</f>
        <v/>
      </c>
    </row>
    <row r="231">
      <c r="A231" s="15">
        <f>Catalog!D204</f>
        <v/>
      </c>
      <c r="B231" s="15">
        <f>Catalog!F204</f>
        <v/>
      </c>
      <c r="C231" s="15">
        <f>IF(Catalog!I204="","",Catalog!I204)&amp;IF(AND(Catalog!I204&lt;&gt;"",Catalog!J204&lt;&gt;""),"; ","")&amp;IF(Catalog!J204="","",Catalog!J204)</f>
        <v/>
      </c>
      <c r="D231" s="15">
        <f>Catalog!P204</f>
        <v/>
      </c>
      <c r="E231" s="15">
        <f>Catalog!R204</f>
        <v/>
      </c>
      <c r="F231" s="15">
        <f>Catalog!M204</f>
        <v/>
      </c>
      <c r="G231" s="15">
        <f>Catalog!K204</f>
        <v/>
      </c>
      <c r="H231" s="15">
        <f>IF(Catalog!S204&lt;&gt;"","ISBN:"&amp;Catalog!S204,IF(Catalog!T204&lt;&gt;"","ISSN:"&amp;Catalog!T204,""))</f>
        <v/>
      </c>
      <c r="I231" s="15">
        <f>Catalog!B204</f>
        <v/>
      </c>
      <c r="J231" s="15">
        <f>Catalog!L204</f>
        <v/>
      </c>
      <c r="K231" s="15">
        <f>IF(Catalog!AG204&lt;&gt;"",Catalog!AG204,Catalog!AE204)</f>
        <v/>
      </c>
      <c r="L231" s="15">
        <f>Catalog!AD204</f>
        <v/>
      </c>
      <c r="M231" s="15">
        <f>Catalog!V204</f>
        <v/>
      </c>
      <c r="N231" s="15">
        <f>Catalog!Q204</f>
        <v/>
      </c>
      <c r="O231" s="15">
        <f>Catalog!AF204</f>
        <v/>
      </c>
    </row>
    <row r="232">
      <c r="A232" s="15">
        <f>Catalog!D205</f>
        <v/>
      </c>
      <c r="B232" s="15">
        <f>Catalog!F205</f>
        <v/>
      </c>
      <c r="C232" s="15">
        <f>IF(Catalog!I205="","",Catalog!I205)&amp;IF(AND(Catalog!I205&lt;&gt;"",Catalog!J205&lt;&gt;""),"; ","")&amp;IF(Catalog!J205="","",Catalog!J205)</f>
        <v/>
      </c>
      <c r="D232" s="15">
        <f>Catalog!P205</f>
        <v/>
      </c>
      <c r="E232" s="15">
        <f>Catalog!R205</f>
        <v/>
      </c>
      <c r="F232" s="15">
        <f>Catalog!M205</f>
        <v/>
      </c>
      <c r="G232" s="15">
        <f>Catalog!K205</f>
        <v/>
      </c>
      <c r="H232" s="15">
        <f>IF(Catalog!S205&lt;&gt;"","ISBN:"&amp;Catalog!S205,IF(Catalog!T205&lt;&gt;"","ISSN:"&amp;Catalog!T205,""))</f>
        <v/>
      </c>
      <c r="I232" s="15">
        <f>Catalog!B205</f>
        <v/>
      </c>
      <c r="J232" s="15">
        <f>Catalog!L205</f>
        <v/>
      </c>
      <c r="K232" s="15">
        <f>IF(Catalog!AG205&lt;&gt;"",Catalog!AG205,Catalog!AE205)</f>
        <v/>
      </c>
      <c r="L232" s="15">
        <f>Catalog!AD205</f>
        <v/>
      </c>
      <c r="M232" s="15">
        <f>Catalog!V205</f>
        <v/>
      </c>
      <c r="N232" s="15">
        <f>Catalog!Q205</f>
        <v/>
      </c>
      <c r="O232" s="15">
        <f>Catalog!AF205</f>
        <v/>
      </c>
    </row>
    <row r="233">
      <c r="A233" s="15">
        <f>Catalog!D206</f>
        <v/>
      </c>
      <c r="B233" s="15">
        <f>Catalog!F206</f>
        <v/>
      </c>
      <c r="C233" s="15">
        <f>IF(Catalog!I206="","",Catalog!I206)&amp;IF(AND(Catalog!I206&lt;&gt;"",Catalog!J206&lt;&gt;""),"; ","")&amp;IF(Catalog!J206="","",Catalog!J206)</f>
        <v/>
      </c>
      <c r="D233" s="15">
        <f>Catalog!P206</f>
        <v/>
      </c>
      <c r="E233" s="15">
        <f>Catalog!R206</f>
        <v/>
      </c>
      <c r="F233" s="15">
        <f>Catalog!M206</f>
        <v/>
      </c>
      <c r="G233" s="15">
        <f>Catalog!K206</f>
        <v/>
      </c>
      <c r="H233" s="15">
        <f>IF(Catalog!S206&lt;&gt;"","ISBN:"&amp;Catalog!S206,IF(Catalog!T206&lt;&gt;"","ISSN:"&amp;Catalog!T206,""))</f>
        <v/>
      </c>
      <c r="I233" s="15">
        <f>Catalog!B206</f>
        <v/>
      </c>
      <c r="J233" s="15">
        <f>Catalog!L206</f>
        <v/>
      </c>
      <c r="K233" s="15">
        <f>IF(Catalog!AG206&lt;&gt;"",Catalog!AG206,Catalog!AE206)</f>
        <v/>
      </c>
      <c r="L233" s="15">
        <f>Catalog!AD206</f>
        <v/>
      </c>
      <c r="M233" s="15">
        <f>Catalog!V206</f>
        <v/>
      </c>
      <c r="N233" s="15">
        <f>Catalog!Q206</f>
        <v/>
      </c>
      <c r="O233" s="15">
        <f>Catalog!AF206</f>
        <v/>
      </c>
    </row>
    <row r="234">
      <c r="A234" s="15">
        <f>Catalog!D207</f>
        <v/>
      </c>
      <c r="B234" s="15">
        <f>Catalog!F207</f>
        <v/>
      </c>
      <c r="C234" s="15">
        <f>IF(Catalog!I207="","",Catalog!I207)&amp;IF(AND(Catalog!I207&lt;&gt;"",Catalog!J207&lt;&gt;""),"; ","")&amp;IF(Catalog!J207="","",Catalog!J207)</f>
        <v/>
      </c>
      <c r="D234" s="15">
        <f>Catalog!P207</f>
        <v/>
      </c>
      <c r="E234" s="15">
        <f>Catalog!R207</f>
        <v/>
      </c>
      <c r="F234" s="15">
        <f>Catalog!M207</f>
        <v/>
      </c>
      <c r="G234" s="15">
        <f>Catalog!K207</f>
        <v/>
      </c>
      <c r="H234" s="15">
        <f>IF(Catalog!S207&lt;&gt;"","ISBN:"&amp;Catalog!S207,IF(Catalog!T207&lt;&gt;"","ISSN:"&amp;Catalog!T207,""))</f>
        <v/>
      </c>
      <c r="I234" s="15">
        <f>Catalog!B207</f>
        <v/>
      </c>
      <c r="J234" s="15">
        <f>Catalog!L207</f>
        <v/>
      </c>
      <c r="K234" s="15">
        <f>IF(Catalog!AG207&lt;&gt;"",Catalog!AG207,Catalog!AE207)</f>
        <v/>
      </c>
      <c r="L234" s="15">
        <f>Catalog!AD207</f>
        <v/>
      </c>
      <c r="M234" s="15">
        <f>Catalog!V207</f>
        <v/>
      </c>
      <c r="N234" s="15">
        <f>Catalog!Q207</f>
        <v/>
      </c>
      <c r="O234" s="15">
        <f>Catalog!AF207</f>
        <v/>
      </c>
    </row>
    <row r="235">
      <c r="A235" s="15">
        <f>Catalog!D208</f>
        <v/>
      </c>
      <c r="B235" s="15">
        <f>Catalog!F208</f>
        <v/>
      </c>
      <c r="C235" s="15">
        <f>IF(Catalog!I208="","",Catalog!I208)&amp;IF(AND(Catalog!I208&lt;&gt;"",Catalog!J208&lt;&gt;""),"; ","")&amp;IF(Catalog!J208="","",Catalog!J208)</f>
        <v/>
      </c>
      <c r="D235" s="15">
        <f>Catalog!P208</f>
        <v/>
      </c>
      <c r="E235" s="15">
        <f>Catalog!R208</f>
        <v/>
      </c>
      <c r="F235" s="15">
        <f>Catalog!M208</f>
        <v/>
      </c>
      <c r="G235" s="15">
        <f>Catalog!K208</f>
        <v/>
      </c>
      <c r="H235" s="15">
        <f>IF(Catalog!S208&lt;&gt;"","ISBN:"&amp;Catalog!S208,IF(Catalog!T208&lt;&gt;"","ISSN:"&amp;Catalog!T208,""))</f>
        <v/>
      </c>
      <c r="I235" s="15">
        <f>Catalog!B208</f>
        <v/>
      </c>
      <c r="J235" s="15">
        <f>Catalog!L208</f>
        <v/>
      </c>
      <c r="K235" s="15">
        <f>IF(Catalog!AG208&lt;&gt;"",Catalog!AG208,Catalog!AE208)</f>
        <v/>
      </c>
      <c r="L235" s="15">
        <f>Catalog!AD208</f>
        <v/>
      </c>
      <c r="M235" s="15">
        <f>Catalog!V208</f>
        <v/>
      </c>
      <c r="N235" s="15">
        <f>Catalog!Q208</f>
        <v/>
      </c>
      <c r="O235" s="15">
        <f>Catalog!AF208</f>
        <v/>
      </c>
    </row>
    <row r="236">
      <c r="A236" s="15">
        <f>Catalog!D209</f>
        <v/>
      </c>
      <c r="B236" s="15">
        <f>Catalog!F209</f>
        <v/>
      </c>
      <c r="C236" s="15">
        <f>IF(Catalog!I209="","",Catalog!I209)&amp;IF(AND(Catalog!I209&lt;&gt;"",Catalog!J209&lt;&gt;""),"; ","")&amp;IF(Catalog!J209="","",Catalog!J209)</f>
        <v/>
      </c>
      <c r="D236" s="15">
        <f>Catalog!P209</f>
        <v/>
      </c>
      <c r="E236" s="15">
        <f>Catalog!R209</f>
        <v/>
      </c>
      <c r="F236" s="15">
        <f>Catalog!M209</f>
        <v/>
      </c>
      <c r="G236" s="15">
        <f>Catalog!K209</f>
        <v/>
      </c>
      <c r="H236" s="15">
        <f>IF(Catalog!S209&lt;&gt;"","ISBN:"&amp;Catalog!S209,IF(Catalog!T209&lt;&gt;"","ISSN:"&amp;Catalog!T209,""))</f>
        <v/>
      </c>
      <c r="I236" s="15">
        <f>Catalog!B209</f>
        <v/>
      </c>
      <c r="J236" s="15">
        <f>Catalog!L209</f>
        <v/>
      </c>
      <c r="K236" s="15">
        <f>IF(Catalog!AG209&lt;&gt;"",Catalog!AG209,Catalog!AE209)</f>
        <v/>
      </c>
      <c r="L236" s="15">
        <f>Catalog!AD209</f>
        <v/>
      </c>
      <c r="M236" s="15">
        <f>Catalog!V209</f>
        <v/>
      </c>
      <c r="N236" s="15">
        <f>Catalog!Q209</f>
        <v/>
      </c>
      <c r="O236" s="15">
        <f>Catalog!AF209</f>
        <v/>
      </c>
    </row>
    <row r="237">
      <c r="A237" s="15">
        <f>Catalog!D210</f>
        <v/>
      </c>
      <c r="B237" s="15">
        <f>Catalog!F210</f>
        <v/>
      </c>
      <c r="C237" s="15">
        <f>IF(Catalog!I210="","",Catalog!I210)&amp;IF(AND(Catalog!I210&lt;&gt;"",Catalog!J210&lt;&gt;""),"; ","")&amp;IF(Catalog!J210="","",Catalog!J210)</f>
        <v/>
      </c>
      <c r="D237" s="15">
        <f>Catalog!P210</f>
        <v/>
      </c>
      <c r="E237" s="15">
        <f>Catalog!R210</f>
        <v/>
      </c>
      <c r="F237" s="15">
        <f>Catalog!M210</f>
        <v/>
      </c>
      <c r="G237" s="15">
        <f>Catalog!K210</f>
        <v/>
      </c>
      <c r="H237" s="15">
        <f>IF(Catalog!S210&lt;&gt;"","ISBN:"&amp;Catalog!S210,IF(Catalog!T210&lt;&gt;"","ISSN:"&amp;Catalog!T210,""))</f>
        <v/>
      </c>
      <c r="I237" s="15">
        <f>Catalog!B210</f>
        <v/>
      </c>
      <c r="J237" s="15">
        <f>Catalog!L210</f>
        <v/>
      </c>
      <c r="K237" s="15">
        <f>IF(Catalog!AG210&lt;&gt;"",Catalog!AG210,Catalog!AE210)</f>
        <v/>
      </c>
      <c r="L237" s="15">
        <f>Catalog!AD210</f>
        <v/>
      </c>
      <c r="M237" s="15">
        <f>Catalog!V210</f>
        <v/>
      </c>
      <c r="N237" s="15">
        <f>Catalog!Q210</f>
        <v/>
      </c>
      <c r="O237" s="15">
        <f>Catalog!AF210</f>
        <v/>
      </c>
    </row>
    <row r="238">
      <c r="A238" s="15">
        <f>Catalog!D211</f>
        <v/>
      </c>
      <c r="B238" s="15">
        <f>Catalog!F211</f>
        <v/>
      </c>
      <c r="C238" s="15">
        <f>IF(Catalog!I211="","",Catalog!I211)&amp;IF(AND(Catalog!I211&lt;&gt;"",Catalog!J211&lt;&gt;""),"; ","")&amp;IF(Catalog!J211="","",Catalog!J211)</f>
        <v/>
      </c>
      <c r="D238" s="15">
        <f>Catalog!P211</f>
        <v/>
      </c>
      <c r="E238" s="15">
        <f>Catalog!R211</f>
        <v/>
      </c>
      <c r="F238" s="15">
        <f>Catalog!M211</f>
        <v/>
      </c>
      <c r="G238" s="15">
        <f>Catalog!K211</f>
        <v/>
      </c>
      <c r="H238" s="15">
        <f>IF(Catalog!S211&lt;&gt;"","ISBN:"&amp;Catalog!S211,IF(Catalog!T211&lt;&gt;"","ISSN:"&amp;Catalog!T211,""))</f>
        <v/>
      </c>
      <c r="I238" s="15">
        <f>Catalog!B211</f>
        <v/>
      </c>
      <c r="J238" s="15">
        <f>Catalog!L211</f>
        <v/>
      </c>
      <c r="K238" s="15">
        <f>IF(Catalog!AG211&lt;&gt;"",Catalog!AG211,Catalog!AE211)</f>
        <v/>
      </c>
      <c r="L238" s="15">
        <f>Catalog!AD211</f>
        <v/>
      </c>
      <c r="M238" s="15">
        <f>Catalog!V211</f>
        <v/>
      </c>
      <c r="N238" s="15">
        <f>Catalog!Q211</f>
        <v/>
      </c>
      <c r="O238" s="15">
        <f>Catalog!AF211</f>
        <v/>
      </c>
    </row>
    <row r="239">
      <c r="A239" s="15">
        <f>Catalog!D212</f>
        <v/>
      </c>
      <c r="B239" s="15">
        <f>Catalog!F212</f>
        <v/>
      </c>
      <c r="C239" s="15">
        <f>IF(Catalog!I212="","",Catalog!I212)&amp;IF(AND(Catalog!I212&lt;&gt;"",Catalog!J212&lt;&gt;""),"; ","")&amp;IF(Catalog!J212="","",Catalog!J212)</f>
        <v/>
      </c>
      <c r="D239" s="15">
        <f>Catalog!P212</f>
        <v/>
      </c>
      <c r="E239" s="15">
        <f>Catalog!R212</f>
        <v/>
      </c>
      <c r="F239" s="15">
        <f>Catalog!M212</f>
        <v/>
      </c>
      <c r="G239" s="15">
        <f>Catalog!K212</f>
        <v/>
      </c>
      <c r="H239" s="15">
        <f>IF(Catalog!S212&lt;&gt;"","ISBN:"&amp;Catalog!S212,IF(Catalog!T212&lt;&gt;"","ISSN:"&amp;Catalog!T212,""))</f>
        <v/>
      </c>
      <c r="I239" s="15">
        <f>Catalog!B212</f>
        <v/>
      </c>
      <c r="J239" s="15">
        <f>Catalog!L212</f>
        <v/>
      </c>
      <c r="K239" s="15">
        <f>IF(Catalog!AG212&lt;&gt;"",Catalog!AG212,Catalog!AE212)</f>
        <v/>
      </c>
      <c r="L239" s="15">
        <f>Catalog!AD212</f>
        <v/>
      </c>
      <c r="M239" s="15">
        <f>Catalog!V212</f>
        <v/>
      </c>
      <c r="N239" s="15">
        <f>Catalog!Q212</f>
        <v/>
      </c>
      <c r="O239" s="15">
        <f>Catalog!AF212</f>
        <v/>
      </c>
    </row>
    <row r="240">
      <c r="A240" s="15">
        <f>Catalog!D213</f>
        <v/>
      </c>
      <c r="B240" s="15">
        <f>Catalog!F213</f>
        <v/>
      </c>
      <c r="C240" s="15">
        <f>IF(Catalog!I213="","",Catalog!I213)&amp;IF(AND(Catalog!I213&lt;&gt;"",Catalog!J213&lt;&gt;""),"; ","")&amp;IF(Catalog!J213="","",Catalog!J213)</f>
        <v/>
      </c>
      <c r="D240" s="15">
        <f>Catalog!P213</f>
        <v/>
      </c>
      <c r="E240" s="15">
        <f>Catalog!R213</f>
        <v/>
      </c>
      <c r="F240" s="15">
        <f>Catalog!M213</f>
        <v/>
      </c>
      <c r="G240" s="15">
        <f>Catalog!K213</f>
        <v/>
      </c>
      <c r="H240" s="15">
        <f>IF(Catalog!S213&lt;&gt;"","ISBN:"&amp;Catalog!S213,IF(Catalog!T213&lt;&gt;"","ISSN:"&amp;Catalog!T213,""))</f>
        <v/>
      </c>
      <c r="I240" s="15">
        <f>Catalog!B213</f>
        <v/>
      </c>
      <c r="J240" s="15">
        <f>Catalog!L213</f>
        <v/>
      </c>
      <c r="K240" s="15">
        <f>IF(Catalog!AG213&lt;&gt;"",Catalog!AG213,Catalog!AE213)</f>
        <v/>
      </c>
      <c r="L240" s="15">
        <f>Catalog!AD213</f>
        <v/>
      </c>
      <c r="M240" s="15">
        <f>Catalog!V213</f>
        <v/>
      </c>
      <c r="N240" s="15">
        <f>Catalog!Q213</f>
        <v/>
      </c>
      <c r="O240" s="15">
        <f>Catalog!AF213</f>
        <v/>
      </c>
    </row>
    <row r="241">
      <c r="A241" s="15">
        <f>Catalog!D214</f>
        <v/>
      </c>
      <c r="B241" s="15">
        <f>Catalog!F214</f>
        <v/>
      </c>
      <c r="C241" s="15">
        <f>IF(Catalog!I214="","",Catalog!I214)&amp;IF(AND(Catalog!I214&lt;&gt;"",Catalog!J214&lt;&gt;""),"; ","")&amp;IF(Catalog!J214="","",Catalog!J214)</f>
        <v/>
      </c>
      <c r="D241" s="15">
        <f>Catalog!P214</f>
        <v/>
      </c>
      <c r="E241" s="15">
        <f>Catalog!R214</f>
        <v/>
      </c>
      <c r="F241" s="15">
        <f>Catalog!M214</f>
        <v/>
      </c>
      <c r="G241" s="15">
        <f>Catalog!K214</f>
        <v/>
      </c>
      <c r="H241" s="15">
        <f>IF(Catalog!S214&lt;&gt;"","ISBN:"&amp;Catalog!S214,IF(Catalog!T214&lt;&gt;"","ISSN:"&amp;Catalog!T214,""))</f>
        <v/>
      </c>
      <c r="I241" s="15">
        <f>Catalog!B214</f>
        <v/>
      </c>
      <c r="J241" s="15">
        <f>Catalog!L214</f>
        <v/>
      </c>
      <c r="K241" s="15">
        <f>IF(Catalog!AG214&lt;&gt;"",Catalog!AG214,Catalog!AE214)</f>
        <v/>
      </c>
      <c r="L241" s="15">
        <f>Catalog!AD214</f>
        <v/>
      </c>
      <c r="M241" s="15">
        <f>Catalog!V214</f>
        <v/>
      </c>
      <c r="N241" s="15">
        <f>Catalog!Q214</f>
        <v/>
      </c>
      <c r="O241" s="15">
        <f>Catalog!AF214</f>
        <v/>
      </c>
    </row>
    <row r="242">
      <c r="A242" s="15">
        <f>Catalog!D215</f>
        <v/>
      </c>
      <c r="B242" s="15">
        <f>Catalog!F215</f>
        <v/>
      </c>
      <c r="C242" s="15">
        <f>IF(Catalog!I215="","",Catalog!I215)&amp;IF(AND(Catalog!I215&lt;&gt;"",Catalog!J215&lt;&gt;""),"; ","")&amp;IF(Catalog!J215="","",Catalog!J215)</f>
        <v/>
      </c>
      <c r="D242" s="15">
        <f>Catalog!P215</f>
        <v/>
      </c>
      <c r="E242" s="15">
        <f>Catalog!R215</f>
        <v/>
      </c>
      <c r="F242" s="15">
        <f>Catalog!M215</f>
        <v/>
      </c>
      <c r="G242" s="15">
        <f>Catalog!K215</f>
        <v/>
      </c>
      <c r="H242" s="15">
        <f>IF(Catalog!S215&lt;&gt;"","ISBN:"&amp;Catalog!S215,IF(Catalog!T215&lt;&gt;"","ISSN:"&amp;Catalog!T215,""))</f>
        <v/>
      </c>
      <c r="I242" s="15">
        <f>Catalog!B215</f>
        <v/>
      </c>
      <c r="J242" s="15">
        <f>Catalog!L215</f>
        <v/>
      </c>
      <c r="K242" s="15">
        <f>IF(Catalog!AG215&lt;&gt;"",Catalog!AG215,Catalog!AE215)</f>
        <v/>
      </c>
      <c r="L242" s="15">
        <f>Catalog!AD215</f>
        <v/>
      </c>
      <c r="M242" s="15">
        <f>Catalog!V215</f>
        <v/>
      </c>
      <c r="N242" s="15">
        <f>Catalog!Q215</f>
        <v/>
      </c>
      <c r="O242" s="15">
        <f>Catalog!AF215</f>
        <v/>
      </c>
    </row>
    <row r="243">
      <c r="A243" s="15">
        <f>Catalog!D216</f>
        <v/>
      </c>
      <c r="B243" s="15">
        <f>Catalog!F216</f>
        <v/>
      </c>
      <c r="C243" s="15">
        <f>IF(Catalog!I216="","",Catalog!I216)&amp;IF(AND(Catalog!I216&lt;&gt;"",Catalog!J216&lt;&gt;""),"; ","")&amp;IF(Catalog!J216="","",Catalog!J216)</f>
        <v/>
      </c>
      <c r="D243" s="15">
        <f>Catalog!P216</f>
        <v/>
      </c>
      <c r="E243" s="15">
        <f>Catalog!R216</f>
        <v/>
      </c>
      <c r="F243" s="15">
        <f>Catalog!M216</f>
        <v/>
      </c>
      <c r="G243" s="15">
        <f>Catalog!K216</f>
        <v/>
      </c>
      <c r="H243" s="15">
        <f>IF(Catalog!S216&lt;&gt;"","ISBN:"&amp;Catalog!S216,IF(Catalog!T216&lt;&gt;"","ISSN:"&amp;Catalog!T216,""))</f>
        <v/>
      </c>
      <c r="I243" s="15">
        <f>Catalog!B216</f>
        <v/>
      </c>
      <c r="J243" s="15">
        <f>Catalog!L216</f>
        <v/>
      </c>
      <c r="K243" s="15">
        <f>IF(Catalog!AG216&lt;&gt;"",Catalog!AG216,Catalog!AE216)</f>
        <v/>
      </c>
      <c r="L243" s="15">
        <f>Catalog!AD216</f>
        <v/>
      </c>
      <c r="M243" s="15">
        <f>Catalog!V216</f>
        <v/>
      </c>
      <c r="N243" s="15">
        <f>Catalog!Q216</f>
        <v/>
      </c>
      <c r="O243" s="15">
        <f>Catalog!AF216</f>
        <v/>
      </c>
    </row>
    <row r="244">
      <c r="A244" s="15">
        <f>Catalog!D217</f>
        <v/>
      </c>
      <c r="B244" s="15">
        <f>Catalog!F217</f>
        <v/>
      </c>
      <c r="C244" s="15">
        <f>IF(Catalog!I217="","",Catalog!I217)&amp;IF(AND(Catalog!I217&lt;&gt;"",Catalog!J217&lt;&gt;""),"; ","")&amp;IF(Catalog!J217="","",Catalog!J217)</f>
        <v/>
      </c>
      <c r="D244" s="15">
        <f>Catalog!P217</f>
        <v/>
      </c>
      <c r="E244" s="15">
        <f>Catalog!R217</f>
        <v/>
      </c>
      <c r="F244" s="15">
        <f>Catalog!M217</f>
        <v/>
      </c>
      <c r="G244" s="15">
        <f>Catalog!K217</f>
        <v/>
      </c>
      <c r="H244" s="15">
        <f>IF(Catalog!S217&lt;&gt;"","ISBN:"&amp;Catalog!S217,IF(Catalog!T217&lt;&gt;"","ISSN:"&amp;Catalog!T217,""))</f>
        <v/>
      </c>
      <c r="I244" s="15">
        <f>Catalog!B217</f>
        <v/>
      </c>
      <c r="J244" s="15">
        <f>Catalog!L217</f>
        <v/>
      </c>
      <c r="K244" s="15">
        <f>IF(Catalog!AG217&lt;&gt;"",Catalog!AG217,Catalog!AE217)</f>
        <v/>
      </c>
      <c r="L244" s="15">
        <f>Catalog!AD217</f>
        <v/>
      </c>
      <c r="M244" s="15">
        <f>Catalog!V217</f>
        <v/>
      </c>
      <c r="N244" s="15">
        <f>Catalog!Q217</f>
        <v/>
      </c>
      <c r="O244" s="15">
        <f>Catalog!AF217</f>
        <v/>
      </c>
    </row>
    <row r="245">
      <c r="A245" s="15">
        <f>Catalog!D218</f>
        <v/>
      </c>
      <c r="B245" s="15">
        <f>Catalog!F218</f>
        <v/>
      </c>
      <c r="C245" s="15">
        <f>IF(Catalog!I218="","",Catalog!I218)&amp;IF(AND(Catalog!I218&lt;&gt;"",Catalog!J218&lt;&gt;""),"; ","")&amp;IF(Catalog!J218="","",Catalog!J218)</f>
        <v/>
      </c>
      <c r="D245" s="15">
        <f>Catalog!P218</f>
        <v/>
      </c>
      <c r="E245" s="15">
        <f>Catalog!R218</f>
        <v/>
      </c>
      <c r="F245" s="15">
        <f>Catalog!M218</f>
        <v/>
      </c>
      <c r="G245" s="15">
        <f>Catalog!K218</f>
        <v/>
      </c>
      <c r="H245" s="15">
        <f>IF(Catalog!S218&lt;&gt;"","ISBN:"&amp;Catalog!S218,IF(Catalog!T218&lt;&gt;"","ISSN:"&amp;Catalog!T218,""))</f>
        <v/>
      </c>
      <c r="I245" s="15">
        <f>Catalog!B218</f>
        <v/>
      </c>
      <c r="J245" s="15">
        <f>Catalog!L218</f>
        <v/>
      </c>
      <c r="K245" s="15">
        <f>IF(Catalog!AG218&lt;&gt;"",Catalog!AG218,Catalog!AE218)</f>
        <v/>
      </c>
      <c r="L245" s="15">
        <f>Catalog!AD218</f>
        <v/>
      </c>
      <c r="M245" s="15">
        <f>Catalog!V218</f>
        <v/>
      </c>
      <c r="N245" s="15">
        <f>Catalog!Q218</f>
        <v/>
      </c>
      <c r="O245" s="15">
        <f>Catalog!AF218</f>
        <v/>
      </c>
    </row>
    <row r="246">
      <c r="A246" s="15">
        <f>Catalog!D219</f>
        <v/>
      </c>
      <c r="B246" s="15">
        <f>Catalog!F219</f>
        <v/>
      </c>
      <c r="C246" s="15">
        <f>IF(Catalog!I219="","",Catalog!I219)&amp;IF(AND(Catalog!I219&lt;&gt;"",Catalog!J219&lt;&gt;""),"; ","")&amp;IF(Catalog!J219="","",Catalog!J219)</f>
        <v/>
      </c>
      <c r="D246" s="15">
        <f>Catalog!P219</f>
        <v/>
      </c>
      <c r="E246" s="15">
        <f>Catalog!R219</f>
        <v/>
      </c>
      <c r="F246" s="15">
        <f>Catalog!M219</f>
        <v/>
      </c>
      <c r="G246" s="15">
        <f>Catalog!K219</f>
        <v/>
      </c>
      <c r="H246" s="15">
        <f>IF(Catalog!S219&lt;&gt;"","ISBN:"&amp;Catalog!S219,IF(Catalog!T219&lt;&gt;"","ISSN:"&amp;Catalog!T219,""))</f>
        <v/>
      </c>
      <c r="I246" s="15">
        <f>Catalog!B219</f>
        <v/>
      </c>
      <c r="J246" s="15">
        <f>Catalog!L219</f>
        <v/>
      </c>
      <c r="K246" s="15">
        <f>IF(Catalog!AG219&lt;&gt;"",Catalog!AG219,Catalog!AE219)</f>
        <v/>
      </c>
      <c r="L246" s="15">
        <f>Catalog!AD219</f>
        <v/>
      </c>
      <c r="M246" s="15">
        <f>Catalog!V219</f>
        <v/>
      </c>
      <c r="N246" s="15">
        <f>Catalog!Q219</f>
        <v/>
      </c>
      <c r="O246" s="15">
        <f>Catalog!AF219</f>
        <v/>
      </c>
    </row>
    <row r="247">
      <c r="A247" s="15">
        <f>Catalog!D220</f>
        <v/>
      </c>
      <c r="B247" s="15">
        <f>Catalog!F220</f>
        <v/>
      </c>
      <c r="C247" s="15">
        <f>IF(Catalog!I220="","",Catalog!I220)&amp;IF(AND(Catalog!I220&lt;&gt;"",Catalog!J220&lt;&gt;""),"; ","")&amp;IF(Catalog!J220="","",Catalog!J220)</f>
        <v/>
      </c>
      <c r="D247" s="15">
        <f>Catalog!P220</f>
        <v/>
      </c>
      <c r="E247" s="15">
        <f>Catalog!R220</f>
        <v/>
      </c>
      <c r="F247" s="15">
        <f>Catalog!M220</f>
        <v/>
      </c>
      <c r="G247" s="15">
        <f>Catalog!K220</f>
        <v/>
      </c>
      <c r="H247" s="15">
        <f>IF(Catalog!S220&lt;&gt;"","ISBN:"&amp;Catalog!S220,IF(Catalog!T220&lt;&gt;"","ISSN:"&amp;Catalog!T220,""))</f>
        <v/>
      </c>
      <c r="I247" s="15">
        <f>Catalog!B220</f>
        <v/>
      </c>
      <c r="J247" s="15">
        <f>Catalog!L220</f>
        <v/>
      </c>
      <c r="K247" s="15">
        <f>IF(Catalog!AG220&lt;&gt;"",Catalog!AG220,Catalog!AE220)</f>
        <v/>
      </c>
      <c r="L247" s="15">
        <f>Catalog!AD220</f>
        <v/>
      </c>
      <c r="M247" s="15">
        <f>Catalog!V220</f>
        <v/>
      </c>
      <c r="N247" s="15">
        <f>Catalog!Q220</f>
        <v/>
      </c>
      <c r="O247" s="15">
        <f>Catalog!AF220</f>
        <v/>
      </c>
    </row>
    <row r="248">
      <c r="A248" s="15">
        <f>Catalog!D221</f>
        <v/>
      </c>
      <c r="B248" s="15">
        <f>Catalog!F221</f>
        <v/>
      </c>
      <c r="C248" s="15">
        <f>IF(Catalog!I221="","",Catalog!I221)&amp;IF(AND(Catalog!I221&lt;&gt;"",Catalog!J221&lt;&gt;""),"; ","")&amp;IF(Catalog!J221="","",Catalog!J221)</f>
        <v/>
      </c>
      <c r="D248" s="15">
        <f>Catalog!P221</f>
        <v/>
      </c>
      <c r="E248" s="15">
        <f>Catalog!R221</f>
        <v/>
      </c>
      <c r="F248" s="15">
        <f>Catalog!M221</f>
        <v/>
      </c>
      <c r="G248" s="15">
        <f>Catalog!K221</f>
        <v/>
      </c>
      <c r="H248" s="15">
        <f>IF(Catalog!S221&lt;&gt;"","ISBN:"&amp;Catalog!S221,IF(Catalog!T221&lt;&gt;"","ISSN:"&amp;Catalog!T221,""))</f>
        <v/>
      </c>
      <c r="I248" s="15">
        <f>Catalog!B221</f>
        <v/>
      </c>
      <c r="J248" s="15">
        <f>Catalog!L221</f>
        <v/>
      </c>
      <c r="K248" s="15">
        <f>IF(Catalog!AG221&lt;&gt;"",Catalog!AG221,Catalog!AE221)</f>
        <v/>
      </c>
      <c r="L248" s="15">
        <f>Catalog!AD221</f>
        <v/>
      </c>
      <c r="M248" s="15">
        <f>Catalog!V221</f>
        <v/>
      </c>
      <c r="N248" s="15">
        <f>Catalog!Q221</f>
        <v/>
      </c>
      <c r="O248" s="15">
        <f>Catalog!AF221</f>
        <v/>
      </c>
    </row>
    <row r="249">
      <c r="A249" s="15">
        <f>Catalog!D222</f>
        <v/>
      </c>
      <c r="B249" s="15">
        <f>Catalog!F222</f>
        <v/>
      </c>
      <c r="C249" s="15">
        <f>IF(Catalog!I222="","",Catalog!I222)&amp;IF(AND(Catalog!I222&lt;&gt;"",Catalog!J222&lt;&gt;""),"; ","")&amp;IF(Catalog!J222="","",Catalog!J222)</f>
        <v/>
      </c>
      <c r="D249" s="15">
        <f>Catalog!P222</f>
        <v/>
      </c>
      <c r="E249" s="15">
        <f>Catalog!R222</f>
        <v/>
      </c>
      <c r="F249" s="15">
        <f>Catalog!M222</f>
        <v/>
      </c>
      <c r="G249" s="15">
        <f>Catalog!K222</f>
        <v/>
      </c>
      <c r="H249" s="15">
        <f>IF(Catalog!S222&lt;&gt;"","ISBN:"&amp;Catalog!S222,IF(Catalog!T222&lt;&gt;"","ISSN:"&amp;Catalog!T222,""))</f>
        <v/>
      </c>
      <c r="I249" s="15">
        <f>Catalog!B222</f>
        <v/>
      </c>
      <c r="J249" s="15">
        <f>Catalog!L222</f>
        <v/>
      </c>
      <c r="K249" s="15">
        <f>IF(Catalog!AG222&lt;&gt;"",Catalog!AG222,Catalog!AE222)</f>
        <v/>
      </c>
      <c r="L249" s="15">
        <f>Catalog!AD222</f>
        <v/>
      </c>
      <c r="M249" s="15">
        <f>Catalog!V222</f>
        <v/>
      </c>
      <c r="N249" s="15">
        <f>Catalog!Q222</f>
        <v/>
      </c>
      <c r="O249" s="15">
        <f>Catalog!AF222</f>
        <v/>
      </c>
    </row>
    <row r="250">
      <c r="A250" s="15">
        <f>Catalog!D223</f>
        <v/>
      </c>
      <c r="B250" s="15">
        <f>Catalog!F223</f>
        <v/>
      </c>
      <c r="C250" s="15">
        <f>IF(Catalog!I223="","",Catalog!I223)&amp;IF(AND(Catalog!I223&lt;&gt;"",Catalog!J223&lt;&gt;""),"; ","")&amp;IF(Catalog!J223="","",Catalog!J223)</f>
        <v/>
      </c>
      <c r="D250" s="15">
        <f>Catalog!P223</f>
        <v/>
      </c>
      <c r="E250" s="15">
        <f>Catalog!R223</f>
        <v/>
      </c>
      <c r="F250" s="15">
        <f>Catalog!M223</f>
        <v/>
      </c>
      <c r="G250" s="15">
        <f>Catalog!K223</f>
        <v/>
      </c>
      <c r="H250" s="15">
        <f>IF(Catalog!S223&lt;&gt;"","ISBN:"&amp;Catalog!S223,IF(Catalog!T223&lt;&gt;"","ISSN:"&amp;Catalog!T223,""))</f>
        <v/>
      </c>
      <c r="I250" s="15">
        <f>Catalog!B223</f>
        <v/>
      </c>
      <c r="J250" s="15">
        <f>Catalog!L223</f>
        <v/>
      </c>
      <c r="K250" s="15">
        <f>IF(Catalog!AG223&lt;&gt;"",Catalog!AG223,Catalog!AE223)</f>
        <v/>
      </c>
      <c r="L250" s="15">
        <f>Catalog!AD223</f>
        <v/>
      </c>
      <c r="M250" s="15">
        <f>Catalog!V223</f>
        <v/>
      </c>
      <c r="N250" s="15">
        <f>Catalog!Q223</f>
        <v/>
      </c>
      <c r="O250" s="15">
        <f>Catalog!AF223</f>
        <v/>
      </c>
    </row>
    <row r="251">
      <c r="A251" s="15">
        <f>Catalog!D224</f>
        <v/>
      </c>
      <c r="B251" s="15">
        <f>Catalog!F224</f>
        <v/>
      </c>
      <c r="C251" s="15">
        <f>IF(Catalog!I224="","",Catalog!I224)&amp;IF(AND(Catalog!I224&lt;&gt;"",Catalog!J224&lt;&gt;""),"; ","")&amp;IF(Catalog!J224="","",Catalog!J224)</f>
        <v/>
      </c>
      <c r="D251" s="15">
        <f>Catalog!P224</f>
        <v/>
      </c>
      <c r="E251" s="15">
        <f>Catalog!R224</f>
        <v/>
      </c>
      <c r="F251" s="15">
        <f>Catalog!M224</f>
        <v/>
      </c>
      <c r="G251" s="15">
        <f>Catalog!K224</f>
        <v/>
      </c>
      <c r="H251" s="15">
        <f>IF(Catalog!S224&lt;&gt;"","ISBN:"&amp;Catalog!S224,IF(Catalog!T224&lt;&gt;"","ISSN:"&amp;Catalog!T224,""))</f>
        <v/>
      </c>
      <c r="I251" s="15">
        <f>Catalog!B224</f>
        <v/>
      </c>
      <c r="J251" s="15">
        <f>Catalog!L224</f>
        <v/>
      </c>
      <c r="K251" s="15">
        <f>IF(Catalog!AG224&lt;&gt;"",Catalog!AG224,Catalog!AE224)</f>
        <v/>
      </c>
      <c r="L251" s="15">
        <f>Catalog!AD224</f>
        <v/>
      </c>
      <c r="M251" s="15">
        <f>Catalog!V224</f>
        <v/>
      </c>
      <c r="N251" s="15">
        <f>Catalog!Q224</f>
        <v/>
      </c>
      <c r="O251" s="15">
        <f>Catalog!AF224</f>
        <v/>
      </c>
    </row>
    <row r="252">
      <c r="A252" s="15">
        <f>Catalog!D225</f>
        <v/>
      </c>
      <c r="B252" s="15">
        <f>Catalog!F225</f>
        <v/>
      </c>
      <c r="C252" s="15">
        <f>IF(Catalog!I225="","",Catalog!I225)&amp;IF(AND(Catalog!I225&lt;&gt;"",Catalog!J225&lt;&gt;""),"; ","")&amp;IF(Catalog!J225="","",Catalog!J225)</f>
        <v/>
      </c>
      <c r="D252" s="15">
        <f>Catalog!P225</f>
        <v/>
      </c>
      <c r="E252" s="15">
        <f>Catalog!R225</f>
        <v/>
      </c>
      <c r="F252" s="15">
        <f>Catalog!M225</f>
        <v/>
      </c>
      <c r="G252" s="15">
        <f>Catalog!K225</f>
        <v/>
      </c>
      <c r="H252" s="15">
        <f>IF(Catalog!S225&lt;&gt;"","ISBN:"&amp;Catalog!S225,IF(Catalog!T225&lt;&gt;"","ISSN:"&amp;Catalog!T225,""))</f>
        <v/>
      </c>
      <c r="I252" s="15">
        <f>Catalog!B225</f>
        <v/>
      </c>
      <c r="J252" s="15">
        <f>Catalog!L225</f>
        <v/>
      </c>
      <c r="K252" s="15">
        <f>IF(Catalog!AG225&lt;&gt;"",Catalog!AG225,Catalog!AE225)</f>
        <v/>
      </c>
      <c r="L252" s="15">
        <f>Catalog!AD225</f>
        <v/>
      </c>
      <c r="M252" s="15">
        <f>Catalog!V225</f>
        <v/>
      </c>
      <c r="N252" s="15">
        <f>Catalog!Q225</f>
        <v/>
      </c>
      <c r="O252" s="15">
        <f>Catalog!AF225</f>
        <v/>
      </c>
    </row>
    <row r="253">
      <c r="A253" s="15">
        <f>Catalog!D226</f>
        <v/>
      </c>
      <c r="B253" s="15">
        <f>Catalog!F226</f>
        <v/>
      </c>
      <c r="C253" s="15">
        <f>IF(Catalog!I226="","",Catalog!I226)&amp;IF(AND(Catalog!I226&lt;&gt;"",Catalog!J226&lt;&gt;""),"; ","")&amp;IF(Catalog!J226="","",Catalog!J226)</f>
        <v/>
      </c>
      <c r="D253" s="15">
        <f>Catalog!P226</f>
        <v/>
      </c>
      <c r="E253" s="15">
        <f>Catalog!R226</f>
        <v/>
      </c>
      <c r="F253" s="15">
        <f>Catalog!M226</f>
        <v/>
      </c>
      <c r="G253" s="15">
        <f>Catalog!K226</f>
        <v/>
      </c>
      <c r="H253" s="15">
        <f>IF(Catalog!S226&lt;&gt;"","ISBN:"&amp;Catalog!S226,IF(Catalog!T226&lt;&gt;"","ISSN:"&amp;Catalog!T226,""))</f>
        <v/>
      </c>
      <c r="I253" s="15">
        <f>Catalog!B226</f>
        <v/>
      </c>
      <c r="J253" s="15">
        <f>Catalog!L226</f>
        <v/>
      </c>
      <c r="K253" s="15">
        <f>IF(Catalog!AG226&lt;&gt;"",Catalog!AG226,Catalog!AE226)</f>
        <v/>
      </c>
      <c r="L253" s="15">
        <f>Catalog!AD226</f>
        <v/>
      </c>
      <c r="M253" s="15">
        <f>Catalog!V226</f>
        <v/>
      </c>
      <c r="N253" s="15">
        <f>Catalog!Q226</f>
        <v/>
      </c>
      <c r="O253" s="15">
        <f>Catalog!AF226</f>
        <v/>
      </c>
    </row>
    <row r="254">
      <c r="A254" s="15">
        <f>Catalog!D227</f>
        <v/>
      </c>
      <c r="B254" s="15">
        <f>Catalog!F227</f>
        <v/>
      </c>
      <c r="C254" s="15">
        <f>IF(Catalog!I227="","",Catalog!I227)&amp;IF(AND(Catalog!I227&lt;&gt;"",Catalog!J227&lt;&gt;""),"; ","")&amp;IF(Catalog!J227="","",Catalog!J227)</f>
        <v/>
      </c>
      <c r="D254" s="15">
        <f>Catalog!P227</f>
        <v/>
      </c>
      <c r="E254" s="15">
        <f>Catalog!R227</f>
        <v/>
      </c>
      <c r="F254" s="15">
        <f>Catalog!M227</f>
        <v/>
      </c>
      <c r="G254" s="15">
        <f>Catalog!K227</f>
        <v/>
      </c>
      <c r="H254" s="15">
        <f>IF(Catalog!S227&lt;&gt;"","ISBN:"&amp;Catalog!S227,IF(Catalog!T227&lt;&gt;"","ISSN:"&amp;Catalog!T227,""))</f>
        <v/>
      </c>
      <c r="I254" s="15">
        <f>Catalog!B227</f>
        <v/>
      </c>
      <c r="J254" s="15">
        <f>Catalog!L227</f>
        <v/>
      </c>
      <c r="K254" s="15">
        <f>IF(Catalog!AG227&lt;&gt;"",Catalog!AG227,Catalog!AE227)</f>
        <v/>
      </c>
      <c r="L254" s="15">
        <f>Catalog!AD227</f>
        <v/>
      </c>
      <c r="M254" s="15">
        <f>Catalog!V227</f>
        <v/>
      </c>
      <c r="N254" s="15">
        <f>Catalog!Q227</f>
        <v/>
      </c>
      <c r="O254" s="15">
        <f>Catalog!AF227</f>
        <v/>
      </c>
    </row>
    <row r="255">
      <c r="A255" s="15">
        <f>Catalog!D228</f>
        <v/>
      </c>
      <c r="B255" s="15">
        <f>Catalog!F228</f>
        <v/>
      </c>
      <c r="C255" s="15">
        <f>IF(Catalog!I228="","",Catalog!I228)&amp;IF(AND(Catalog!I228&lt;&gt;"",Catalog!J228&lt;&gt;""),"; ","")&amp;IF(Catalog!J228="","",Catalog!J228)</f>
        <v/>
      </c>
      <c r="D255" s="15">
        <f>Catalog!P228</f>
        <v/>
      </c>
      <c r="E255" s="15">
        <f>Catalog!R228</f>
        <v/>
      </c>
      <c r="F255" s="15">
        <f>Catalog!M228</f>
        <v/>
      </c>
      <c r="G255" s="15">
        <f>Catalog!K228</f>
        <v/>
      </c>
      <c r="H255" s="15">
        <f>IF(Catalog!S228&lt;&gt;"","ISBN:"&amp;Catalog!S228,IF(Catalog!T228&lt;&gt;"","ISSN:"&amp;Catalog!T228,""))</f>
        <v/>
      </c>
      <c r="I255" s="15">
        <f>Catalog!B228</f>
        <v/>
      </c>
      <c r="J255" s="15">
        <f>Catalog!L228</f>
        <v/>
      </c>
      <c r="K255" s="15">
        <f>IF(Catalog!AG228&lt;&gt;"",Catalog!AG228,Catalog!AE228)</f>
        <v/>
      </c>
      <c r="L255" s="15">
        <f>Catalog!AD228</f>
        <v/>
      </c>
      <c r="M255" s="15">
        <f>Catalog!V228</f>
        <v/>
      </c>
      <c r="N255" s="15">
        <f>Catalog!Q228</f>
        <v/>
      </c>
      <c r="O255" s="15">
        <f>Catalog!AF228</f>
        <v/>
      </c>
    </row>
    <row r="256">
      <c r="A256" s="15">
        <f>Catalog!D229</f>
        <v/>
      </c>
      <c r="B256" s="15">
        <f>Catalog!F229</f>
        <v/>
      </c>
      <c r="C256" s="15">
        <f>IF(Catalog!I229="","",Catalog!I229)&amp;IF(AND(Catalog!I229&lt;&gt;"",Catalog!J229&lt;&gt;""),"; ","")&amp;IF(Catalog!J229="","",Catalog!J229)</f>
        <v/>
      </c>
      <c r="D256" s="15">
        <f>Catalog!P229</f>
        <v/>
      </c>
      <c r="E256" s="15">
        <f>Catalog!R229</f>
        <v/>
      </c>
      <c r="F256" s="15">
        <f>Catalog!M229</f>
        <v/>
      </c>
      <c r="G256" s="15">
        <f>Catalog!K229</f>
        <v/>
      </c>
      <c r="H256" s="15">
        <f>IF(Catalog!S229&lt;&gt;"","ISBN:"&amp;Catalog!S229,IF(Catalog!T229&lt;&gt;"","ISSN:"&amp;Catalog!T229,""))</f>
        <v/>
      </c>
      <c r="I256" s="15">
        <f>Catalog!B229</f>
        <v/>
      </c>
      <c r="J256" s="15">
        <f>Catalog!L229</f>
        <v/>
      </c>
      <c r="K256" s="15">
        <f>IF(Catalog!AG229&lt;&gt;"",Catalog!AG229,Catalog!AE229)</f>
        <v/>
      </c>
      <c r="L256" s="15">
        <f>Catalog!AD229</f>
        <v/>
      </c>
      <c r="M256" s="15">
        <f>Catalog!V229</f>
        <v/>
      </c>
      <c r="N256" s="15">
        <f>Catalog!Q229</f>
        <v/>
      </c>
      <c r="O256" s="15">
        <f>Catalog!AF229</f>
        <v/>
      </c>
    </row>
    <row r="257">
      <c r="A257" s="15">
        <f>Catalog!D230</f>
        <v/>
      </c>
      <c r="B257" s="15">
        <f>Catalog!F230</f>
        <v/>
      </c>
      <c r="C257" s="15">
        <f>IF(Catalog!I230="","",Catalog!I230)&amp;IF(AND(Catalog!I230&lt;&gt;"",Catalog!J230&lt;&gt;""),"; ","")&amp;IF(Catalog!J230="","",Catalog!J230)</f>
        <v/>
      </c>
      <c r="D257" s="15">
        <f>Catalog!P230</f>
        <v/>
      </c>
      <c r="E257" s="15">
        <f>Catalog!R230</f>
        <v/>
      </c>
      <c r="F257" s="15">
        <f>Catalog!M230</f>
        <v/>
      </c>
      <c r="G257" s="15">
        <f>Catalog!K230</f>
        <v/>
      </c>
      <c r="H257" s="15">
        <f>IF(Catalog!S230&lt;&gt;"","ISBN:"&amp;Catalog!S230,IF(Catalog!T230&lt;&gt;"","ISSN:"&amp;Catalog!T230,""))</f>
        <v/>
      </c>
      <c r="I257" s="15">
        <f>Catalog!B230</f>
        <v/>
      </c>
      <c r="J257" s="15">
        <f>Catalog!L230</f>
        <v/>
      </c>
      <c r="K257" s="15">
        <f>IF(Catalog!AG230&lt;&gt;"",Catalog!AG230,Catalog!AE230)</f>
        <v/>
      </c>
      <c r="L257" s="15">
        <f>Catalog!AD230</f>
        <v/>
      </c>
      <c r="M257" s="15">
        <f>Catalog!V230</f>
        <v/>
      </c>
      <c r="N257" s="15">
        <f>Catalog!Q230</f>
        <v/>
      </c>
      <c r="O257" s="15">
        <f>Catalog!AF230</f>
        <v/>
      </c>
    </row>
    <row r="258">
      <c r="A258" s="15">
        <f>Catalog!D231</f>
        <v/>
      </c>
      <c r="B258" s="15">
        <f>Catalog!F231</f>
        <v/>
      </c>
      <c r="C258" s="15">
        <f>IF(Catalog!I231="","",Catalog!I231)&amp;IF(AND(Catalog!I231&lt;&gt;"",Catalog!J231&lt;&gt;""),"; ","")&amp;IF(Catalog!J231="","",Catalog!J231)</f>
        <v/>
      </c>
      <c r="D258" s="15">
        <f>Catalog!P231</f>
        <v/>
      </c>
      <c r="E258" s="15">
        <f>Catalog!R231</f>
        <v/>
      </c>
      <c r="F258" s="15">
        <f>Catalog!M231</f>
        <v/>
      </c>
      <c r="G258" s="15">
        <f>Catalog!K231</f>
        <v/>
      </c>
      <c r="H258" s="15">
        <f>IF(Catalog!S231&lt;&gt;"","ISBN:"&amp;Catalog!S231,IF(Catalog!T231&lt;&gt;"","ISSN:"&amp;Catalog!T231,""))</f>
        <v/>
      </c>
      <c r="I258" s="15">
        <f>Catalog!B231</f>
        <v/>
      </c>
      <c r="J258" s="15">
        <f>Catalog!L231</f>
        <v/>
      </c>
      <c r="K258" s="15">
        <f>IF(Catalog!AG231&lt;&gt;"",Catalog!AG231,Catalog!AE231)</f>
        <v/>
      </c>
      <c r="L258" s="15">
        <f>Catalog!AD231</f>
        <v/>
      </c>
      <c r="M258" s="15">
        <f>Catalog!V231</f>
        <v/>
      </c>
      <c r="N258" s="15">
        <f>Catalog!Q231</f>
        <v/>
      </c>
      <c r="O258" s="15">
        <f>Catalog!AF231</f>
        <v/>
      </c>
    </row>
    <row r="259">
      <c r="A259" s="15">
        <f>Catalog!D232</f>
        <v/>
      </c>
      <c r="B259" s="15">
        <f>Catalog!F232</f>
        <v/>
      </c>
      <c r="C259" s="15">
        <f>IF(Catalog!I232="","",Catalog!I232)&amp;IF(AND(Catalog!I232&lt;&gt;"",Catalog!J232&lt;&gt;""),"; ","")&amp;IF(Catalog!J232="","",Catalog!J232)</f>
        <v/>
      </c>
      <c r="D259" s="15">
        <f>Catalog!P232</f>
        <v/>
      </c>
      <c r="E259" s="15">
        <f>Catalog!R232</f>
        <v/>
      </c>
      <c r="F259" s="15">
        <f>Catalog!M232</f>
        <v/>
      </c>
      <c r="G259" s="15">
        <f>Catalog!K232</f>
        <v/>
      </c>
      <c r="H259" s="15">
        <f>IF(Catalog!S232&lt;&gt;"","ISBN:"&amp;Catalog!S232,IF(Catalog!T232&lt;&gt;"","ISSN:"&amp;Catalog!T232,""))</f>
        <v/>
      </c>
      <c r="I259" s="15">
        <f>Catalog!B232</f>
        <v/>
      </c>
      <c r="J259" s="15">
        <f>Catalog!L232</f>
        <v/>
      </c>
      <c r="K259" s="15">
        <f>IF(Catalog!AG232&lt;&gt;"",Catalog!AG232,Catalog!AE232)</f>
        <v/>
      </c>
      <c r="L259" s="15">
        <f>Catalog!AD232</f>
        <v/>
      </c>
      <c r="M259" s="15">
        <f>Catalog!V232</f>
        <v/>
      </c>
      <c r="N259" s="15">
        <f>Catalog!Q232</f>
        <v/>
      </c>
      <c r="O259" s="15">
        <f>Catalog!AF232</f>
        <v/>
      </c>
    </row>
    <row r="260">
      <c r="A260" s="15">
        <f>Catalog!D233</f>
        <v/>
      </c>
      <c r="B260" s="15">
        <f>Catalog!F233</f>
        <v/>
      </c>
      <c r="C260" s="15">
        <f>IF(Catalog!I233="","",Catalog!I233)&amp;IF(AND(Catalog!I233&lt;&gt;"",Catalog!J233&lt;&gt;""),"; ","")&amp;IF(Catalog!J233="","",Catalog!J233)</f>
        <v/>
      </c>
      <c r="D260" s="15">
        <f>Catalog!P233</f>
        <v/>
      </c>
      <c r="E260" s="15">
        <f>Catalog!R233</f>
        <v/>
      </c>
      <c r="F260" s="15">
        <f>Catalog!M233</f>
        <v/>
      </c>
      <c r="G260" s="15">
        <f>Catalog!K233</f>
        <v/>
      </c>
      <c r="H260" s="15">
        <f>IF(Catalog!S233&lt;&gt;"","ISBN:"&amp;Catalog!S233,IF(Catalog!T233&lt;&gt;"","ISSN:"&amp;Catalog!T233,""))</f>
        <v/>
      </c>
      <c r="I260" s="15">
        <f>Catalog!B233</f>
        <v/>
      </c>
      <c r="J260" s="15">
        <f>Catalog!L233</f>
        <v/>
      </c>
      <c r="K260" s="15">
        <f>IF(Catalog!AG233&lt;&gt;"",Catalog!AG233,Catalog!AE233)</f>
        <v/>
      </c>
      <c r="L260" s="15">
        <f>Catalog!AD233</f>
        <v/>
      </c>
      <c r="M260" s="15">
        <f>Catalog!V233</f>
        <v/>
      </c>
      <c r="N260" s="15">
        <f>Catalog!Q233</f>
        <v/>
      </c>
      <c r="O260" s="15">
        <f>Catalog!AF233</f>
        <v/>
      </c>
    </row>
    <row r="261">
      <c r="A261" s="15">
        <f>Catalog!D234</f>
        <v/>
      </c>
      <c r="B261" s="15">
        <f>Catalog!F234</f>
        <v/>
      </c>
      <c r="C261" s="15">
        <f>IF(Catalog!I234="","",Catalog!I234)&amp;IF(AND(Catalog!I234&lt;&gt;"",Catalog!J234&lt;&gt;""),"; ","")&amp;IF(Catalog!J234="","",Catalog!J234)</f>
        <v/>
      </c>
      <c r="D261" s="15">
        <f>Catalog!P234</f>
        <v/>
      </c>
      <c r="E261" s="15">
        <f>Catalog!R234</f>
        <v/>
      </c>
      <c r="F261" s="15">
        <f>Catalog!M234</f>
        <v/>
      </c>
      <c r="G261" s="15">
        <f>Catalog!K234</f>
        <v/>
      </c>
      <c r="H261" s="15">
        <f>IF(Catalog!S234&lt;&gt;"","ISBN:"&amp;Catalog!S234,IF(Catalog!T234&lt;&gt;"","ISSN:"&amp;Catalog!T234,""))</f>
        <v/>
      </c>
      <c r="I261" s="15">
        <f>Catalog!B234</f>
        <v/>
      </c>
      <c r="J261" s="15">
        <f>Catalog!L234</f>
        <v/>
      </c>
      <c r="K261" s="15">
        <f>IF(Catalog!AG234&lt;&gt;"",Catalog!AG234,Catalog!AE234)</f>
        <v/>
      </c>
      <c r="L261" s="15">
        <f>Catalog!AD234</f>
        <v/>
      </c>
      <c r="M261" s="15">
        <f>Catalog!V234</f>
        <v/>
      </c>
      <c r="N261" s="15">
        <f>Catalog!Q234</f>
        <v/>
      </c>
      <c r="O261" s="15">
        <f>Catalog!AF234</f>
        <v/>
      </c>
    </row>
    <row r="262">
      <c r="A262" s="15">
        <f>Catalog!D235</f>
        <v/>
      </c>
      <c r="B262" s="15">
        <f>Catalog!F235</f>
        <v/>
      </c>
      <c r="C262" s="15">
        <f>IF(Catalog!I235="","",Catalog!I235)&amp;IF(AND(Catalog!I235&lt;&gt;"",Catalog!J235&lt;&gt;""),"; ","")&amp;IF(Catalog!J235="","",Catalog!J235)</f>
        <v/>
      </c>
      <c r="D262" s="15">
        <f>Catalog!P235</f>
        <v/>
      </c>
      <c r="E262" s="15">
        <f>Catalog!R235</f>
        <v/>
      </c>
      <c r="F262" s="15">
        <f>Catalog!M235</f>
        <v/>
      </c>
      <c r="G262" s="15">
        <f>Catalog!K235</f>
        <v/>
      </c>
      <c r="H262" s="15">
        <f>IF(Catalog!S235&lt;&gt;"","ISBN:"&amp;Catalog!S235,IF(Catalog!T235&lt;&gt;"","ISSN:"&amp;Catalog!T235,""))</f>
        <v/>
      </c>
      <c r="I262" s="15">
        <f>Catalog!B235</f>
        <v/>
      </c>
      <c r="J262" s="15">
        <f>Catalog!L235</f>
        <v/>
      </c>
      <c r="K262" s="15">
        <f>IF(Catalog!AG235&lt;&gt;"",Catalog!AG235,Catalog!AE235)</f>
        <v/>
      </c>
      <c r="L262" s="15">
        <f>Catalog!AD235</f>
        <v/>
      </c>
      <c r="M262" s="15">
        <f>Catalog!V235</f>
        <v/>
      </c>
      <c r="N262" s="15">
        <f>Catalog!Q235</f>
        <v/>
      </c>
      <c r="O262" s="15">
        <f>Catalog!AF235</f>
        <v/>
      </c>
    </row>
    <row r="263">
      <c r="A263" s="15">
        <f>Catalog!D236</f>
        <v/>
      </c>
      <c r="B263" s="15">
        <f>Catalog!F236</f>
        <v/>
      </c>
      <c r="C263" s="15">
        <f>IF(Catalog!I236="","",Catalog!I236)&amp;IF(AND(Catalog!I236&lt;&gt;"",Catalog!J236&lt;&gt;""),"; ","")&amp;IF(Catalog!J236="","",Catalog!J236)</f>
        <v/>
      </c>
      <c r="D263" s="15">
        <f>Catalog!P236</f>
        <v/>
      </c>
      <c r="E263" s="15">
        <f>Catalog!R236</f>
        <v/>
      </c>
      <c r="F263" s="15">
        <f>Catalog!M236</f>
        <v/>
      </c>
      <c r="G263" s="15">
        <f>Catalog!K236</f>
        <v/>
      </c>
      <c r="H263" s="15">
        <f>IF(Catalog!S236&lt;&gt;"","ISBN:"&amp;Catalog!S236,IF(Catalog!T236&lt;&gt;"","ISSN:"&amp;Catalog!T236,""))</f>
        <v/>
      </c>
      <c r="I263" s="15">
        <f>Catalog!B236</f>
        <v/>
      </c>
      <c r="J263" s="15">
        <f>Catalog!L236</f>
        <v/>
      </c>
      <c r="K263" s="15">
        <f>IF(Catalog!AG236&lt;&gt;"",Catalog!AG236,Catalog!AE236)</f>
        <v/>
      </c>
      <c r="L263" s="15">
        <f>Catalog!AD236</f>
        <v/>
      </c>
      <c r="M263" s="15">
        <f>Catalog!V236</f>
        <v/>
      </c>
      <c r="N263" s="15">
        <f>Catalog!Q236</f>
        <v/>
      </c>
      <c r="O263" s="15">
        <f>Catalog!AF236</f>
        <v/>
      </c>
    </row>
    <row r="264">
      <c r="A264" s="15">
        <f>Catalog!D237</f>
        <v/>
      </c>
      <c r="B264" s="15">
        <f>Catalog!F237</f>
        <v/>
      </c>
      <c r="C264" s="15">
        <f>IF(Catalog!I237="","",Catalog!I237)&amp;IF(AND(Catalog!I237&lt;&gt;"",Catalog!J237&lt;&gt;""),"; ","")&amp;IF(Catalog!J237="","",Catalog!J237)</f>
        <v/>
      </c>
      <c r="D264" s="15">
        <f>Catalog!P237</f>
        <v/>
      </c>
      <c r="E264" s="15">
        <f>Catalog!R237</f>
        <v/>
      </c>
      <c r="F264" s="15">
        <f>Catalog!M237</f>
        <v/>
      </c>
      <c r="G264" s="15">
        <f>Catalog!K237</f>
        <v/>
      </c>
      <c r="H264" s="15">
        <f>IF(Catalog!S237&lt;&gt;"","ISBN:"&amp;Catalog!S237,IF(Catalog!T237&lt;&gt;"","ISSN:"&amp;Catalog!T237,""))</f>
        <v/>
      </c>
      <c r="I264" s="15">
        <f>Catalog!B237</f>
        <v/>
      </c>
      <c r="J264" s="15">
        <f>Catalog!L237</f>
        <v/>
      </c>
      <c r="K264" s="15">
        <f>IF(Catalog!AG237&lt;&gt;"",Catalog!AG237,Catalog!AE237)</f>
        <v/>
      </c>
      <c r="L264" s="15">
        <f>Catalog!AD237</f>
        <v/>
      </c>
      <c r="M264" s="15">
        <f>Catalog!V237</f>
        <v/>
      </c>
      <c r="N264" s="15">
        <f>Catalog!Q237</f>
        <v/>
      </c>
      <c r="O264" s="15">
        <f>Catalog!AF237</f>
        <v/>
      </c>
    </row>
    <row r="265">
      <c r="A265" s="15">
        <f>Catalog!D238</f>
        <v/>
      </c>
      <c r="B265" s="15">
        <f>Catalog!F238</f>
        <v/>
      </c>
      <c r="C265" s="15">
        <f>IF(Catalog!I238="","",Catalog!I238)&amp;IF(AND(Catalog!I238&lt;&gt;"",Catalog!J238&lt;&gt;""),"; ","")&amp;IF(Catalog!J238="","",Catalog!J238)</f>
        <v/>
      </c>
      <c r="D265" s="15">
        <f>Catalog!P238</f>
        <v/>
      </c>
      <c r="E265" s="15">
        <f>Catalog!R238</f>
        <v/>
      </c>
      <c r="F265" s="15">
        <f>Catalog!M238</f>
        <v/>
      </c>
      <c r="G265" s="15">
        <f>Catalog!K238</f>
        <v/>
      </c>
      <c r="H265" s="15">
        <f>IF(Catalog!S238&lt;&gt;"","ISBN:"&amp;Catalog!S238,IF(Catalog!T238&lt;&gt;"","ISSN:"&amp;Catalog!T238,""))</f>
        <v/>
      </c>
      <c r="I265" s="15">
        <f>Catalog!B238</f>
        <v/>
      </c>
      <c r="J265" s="15">
        <f>Catalog!L238</f>
        <v/>
      </c>
      <c r="K265" s="15">
        <f>IF(Catalog!AG238&lt;&gt;"",Catalog!AG238,Catalog!AE238)</f>
        <v/>
      </c>
      <c r="L265" s="15">
        <f>Catalog!AD238</f>
        <v/>
      </c>
      <c r="M265" s="15">
        <f>Catalog!V238</f>
        <v/>
      </c>
      <c r="N265" s="15">
        <f>Catalog!Q238</f>
        <v/>
      </c>
      <c r="O265" s="15">
        <f>Catalog!AF238</f>
        <v/>
      </c>
    </row>
    <row r="266">
      <c r="A266" s="15">
        <f>Catalog!D239</f>
        <v/>
      </c>
      <c r="B266" s="15">
        <f>Catalog!F239</f>
        <v/>
      </c>
      <c r="C266" s="15">
        <f>IF(Catalog!I239="","",Catalog!I239)&amp;IF(AND(Catalog!I239&lt;&gt;"",Catalog!J239&lt;&gt;""),"; ","")&amp;IF(Catalog!J239="","",Catalog!J239)</f>
        <v/>
      </c>
      <c r="D266" s="15">
        <f>Catalog!P239</f>
        <v/>
      </c>
      <c r="E266" s="15">
        <f>Catalog!R239</f>
        <v/>
      </c>
      <c r="F266" s="15">
        <f>Catalog!M239</f>
        <v/>
      </c>
      <c r="G266" s="15">
        <f>Catalog!K239</f>
        <v/>
      </c>
      <c r="H266" s="15">
        <f>IF(Catalog!S239&lt;&gt;"","ISBN:"&amp;Catalog!S239,IF(Catalog!T239&lt;&gt;"","ISSN:"&amp;Catalog!T239,""))</f>
        <v/>
      </c>
      <c r="I266" s="15">
        <f>Catalog!B239</f>
        <v/>
      </c>
      <c r="J266" s="15">
        <f>Catalog!L239</f>
        <v/>
      </c>
      <c r="K266" s="15">
        <f>IF(Catalog!AG239&lt;&gt;"",Catalog!AG239,Catalog!AE239)</f>
        <v/>
      </c>
      <c r="L266" s="15">
        <f>Catalog!AD239</f>
        <v/>
      </c>
      <c r="M266" s="15">
        <f>Catalog!V239</f>
        <v/>
      </c>
      <c r="N266" s="15">
        <f>Catalog!Q239</f>
        <v/>
      </c>
      <c r="O266" s="15">
        <f>Catalog!AF239</f>
        <v/>
      </c>
    </row>
    <row r="267">
      <c r="A267" s="15">
        <f>Catalog!D240</f>
        <v/>
      </c>
      <c r="B267" s="15">
        <f>Catalog!F240</f>
        <v/>
      </c>
      <c r="C267" s="15">
        <f>IF(Catalog!I240="","",Catalog!I240)&amp;IF(AND(Catalog!I240&lt;&gt;"",Catalog!J240&lt;&gt;""),"; ","")&amp;IF(Catalog!J240="","",Catalog!J240)</f>
        <v/>
      </c>
      <c r="D267" s="15">
        <f>Catalog!P240</f>
        <v/>
      </c>
      <c r="E267" s="15">
        <f>Catalog!R240</f>
        <v/>
      </c>
      <c r="F267" s="15">
        <f>Catalog!M240</f>
        <v/>
      </c>
      <c r="G267" s="15">
        <f>Catalog!K240</f>
        <v/>
      </c>
      <c r="H267" s="15">
        <f>IF(Catalog!S240&lt;&gt;"","ISBN:"&amp;Catalog!S240,IF(Catalog!T240&lt;&gt;"","ISSN:"&amp;Catalog!T240,""))</f>
        <v/>
      </c>
      <c r="I267" s="15">
        <f>Catalog!B240</f>
        <v/>
      </c>
      <c r="J267" s="15">
        <f>Catalog!L240</f>
        <v/>
      </c>
      <c r="K267" s="15">
        <f>IF(Catalog!AG240&lt;&gt;"",Catalog!AG240,Catalog!AE240)</f>
        <v/>
      </c>
      <c r="L267" s="15">
        <f>Catalog!AD240</f>
        <v/>
      </c>
      <c r="M267" s="15">
        <f>Catalog!V240</f>
        <v/>
      </c>
      <c r="N267" s="15">
        <f>Catalog!Q240</f>
        <v/>
      </c>
      <c r="O267" s="15">
        <f>Catalog!AF240</f>
        <v/>
      </c>
    </row>
    <row r="268">
      <c r="A268" s="15">
        <f>Catalog!D241</f>
        <v/>
      </c>
      <c r="B268" s="15">
        <f>Catalog!F241</f>
        <v/>
      </c>
      <c r="C268" s="15">
        <f>IF(Catalog!I241="","",Catalog!I241)&amp;IF(AND(Catalog!I241&lt;&gt;"",Catalog!J241&lt;&gt;""),"; ","")&amp;IF(Catalog!J241="","",Catalog!J241)</f>
        <v/>
      </c>
      <c r="D268" s="15">
        <f>Catalog!P241</f>
        <v/>
      </c>
      <c r="E268" s="15">
        <f>Catalog!R241</f>
        <v/>
      </c>
      <c r="F268" s="15">
        <f>Catalog!M241</f>
        <v/>
      </c>
      <c r="G268" s="15">
        <f>Catalog!K241</f>
        <v/>
      </c>
      <c r="H268" s="15">
        <f>IF(Catalog!S241&lt;&gt;"","ISBN:"&amp;Catalog!S241,IF(Catalog!T241&lt;&gt;"","ISSN:"&amp;Catalog!T241,""))</f>
        <v/>
      </c>
      <c r="I268" s="15">
        <f>Catalog!B241</f>
        <v/>
      </c>
      <c r="J268" s="15">
        <f>Catalog!L241</f>
        <v/>
      </c>
      <c r="K268" s="15">
        <f>IF(Catalog!AG241&lt;&gt;"",Catalog!AG241,Catalog!AE241)</f>
        <v/>
      </c>
      <c r="L268" s="15">
        <f>Catalog!AD241</f>
        <v/>
      </c>
      <c r="M268" s="15">
        <f>Catalog!V241</f>
        <v/>
      </c>
      <c r="N268" s="15">
        <f>Catalog!Q241</f>
        <v/>
      </c>
      <c r="O268" s="15">
        <f>Catalog!AF241</f>
        <v/>
      </c>
    </row>
    <row r="269">
      <c r="A269" s="15">
        <f>Catalog!D242</f>
        <v/>
      </c>
      <c r="B269" s="15">
        <f>Catalog!F242</f>
        <v/>
      </c>
      <c r="C269" s="15">
        <f>IF(Catalog!I242="","",Catalog!I242)&amp;IF(AND(Catalog!I242&lt;&gt;"",Catalog!J242&lt;&gt;""),"; ","")&amp;IF(Catalog!J242="","",Catalog!J242)</f>
        <v/>
      </c>
      <c r="D269" s="15">
        <f>Catalog!P242</f>
        <v/>
      </c>
      <c r="E269" s="15">
        <f>Catalog!R242</f>
        <v/>
      </c>
      <c r="F269" s="15">
        <f>Catalog!M242</f>
        <v/>
      </c>
      <c r="G269" s="15">
        <f>Catalog!K242</f>
        <v/>
      </c>
      <c r="H269" s="15">
        <f>IF(Catalog!S242&lt;&gt;"","ISBN:"&amp;Catalog!S242,IF(Catalog!T242&lt;&gt;"","ISSN:"&amp;Catalog!T242,""))</f>
        <v/>
      </c>
      <c r="I269" s="15">
        <f>Catalog!B242</f>
        <v/>
      </c>
      <c r="J269" s="15">
        <f>Catalog!L242</f>
        <v/>
      </c>
      <c r="K269" s="15">
        <f>IF(Catalog!AG242&lt;&gt;"",Catalog!AG242,Catalog!AE242)</f>
        <v/>
      </c>
      <c r="L269" s="15">
        <f>Catalog!AD242</f>
        <v/>
      </c>
      <c r="M269" s="15">
        <f>Catalog!V242</f>
        <v/>
      </c>
      <c r="N269" s="15">
        <f>Catalog!Q242</f>
        <v/>
      </c>
      <c r="O269" s="15">
        <f>Catalog!AF242</f>
        <v/>
      </c>
    </row>
    <row r="270">
      <c r="A270" s="15">
        <f>Catalog!D243</f>
        <v/>
      </c>
      <c r="B270" s="15">
        <f>Catalog!F243</f>
        <v/>
      </c>
      <c r="C270" s="15">
        <f>IF(Catalog!I243="","",Catalog!I243)&amp;IF(AND(Catalog!I243&lt;&gt;"",Catalog!J243&lt;&gt;""),"; ","")&amp;IF(Catalog!J243="","",Catalog!J243)</f>
        <v/>
      </c>
      <c r="D270" s="15">
        <f>Catalog!P243</f>
        <v/>
      </c>
      <c r="E270" s="15">
        <f>Catalog!R243</f>
        <v/>
      </c>
      <c r="F270" s="15">
        <f>Catalog!M243</f>
        <v/>
      </c>
      <c r="G270" s="15">
        <f>Catalog!K243</f>
        <v/>
      </c>
      <c r="H270" s="15">
        <f>IF(Catalog!S243&lt;&gt;"","ISBN:"&amp;Catalog!S243,IF(Catalog!T243&lt;&gt;"","ISSN:"&amp;Catalog!T243,""))</f>
        <v/>
      </c>
      <c r="I270" s="15">
        <f>Catalog!B243</f>
        <v/>
      </c>
      <c r="J270" s="15">
        <f>Catalog!L243</f>
        <v/>
      </c>
      <c r="K270" s="15">
        <f>IF(Catalog!AG243&lt;&gt;"",Catalog!AG243,Catalog!AE243)</f>
        <v/>
      </c>
      <c r="L270" s="15">
        <f>Catalog!AD243</f>
        <v/>
      </c>
      <c r="M270" s="15">
        <f>Catalog!V243</f>
        <v/>
      </c>
      <c r="N270" s="15">
        <f>Catalog!Q243</f>
        <v/>
      </c>
      <c r="O270" s="15">
        <f>Catalog!AF243</f>
        <v/>
      </c>
    </row>
    <row r="271">
      <c r="A271" s="15">
        <f>Catalog!D244</f>
        <v/>
      </c>
      <c r="B271" s="15">
        <f>Catalog!F244</f>
        <v/>
      </c>
      <c r="C271" s="15">
        <f>IF(Catalog!I244="","",Catalog!I244)&amp;IF(AND(Catalog!I244&lt;&gt;"",Catalog!J244&lt;&gt;""),"; ","")&amp;IF(Catalog!J244="","",Catalog!J244)</f>
        <v/>
      </c>
      <c r="D271" s="15">
        <f>Catalog!P244</f>
        <v/>
      </c>
      <c r="E271" s="15">
        <f>Catalog!R244</f>
        <v/>
      </c>
      <c r="F271" s="15">
        <f>Catalog!M244</f>
        <v/>
      </c>
      <c r="G271" s="15">
        <f>Catalog!K244</f>
        <v/>
      </c>
      <c r="H271" s="15">
        <f>IF(Catalog!S244&lt;&gt;"","ISBN:"&amp;Catalog!S244,IF(Catalog!T244&lt;&gt;"","ISSN:"&amp;Catalog!T244,""))</f>
        <v/>
      </c>
      <c r="I271" s="15">
        <f>Catalog!B244</f>
        <v/>
      </c>
      <c r="J271" s="15">
        <f>Catalog!L244</f>
        <v/>
      </c>
      <c r="K271" s="15">
        <f>IF(Catalog!AG244&lt;&gt;"",Catalog!AG244,Catalog!AE244)</f>
        <v/>
      </c>
      <c r="L271" s="15">
        <f>Catalog!AD244</f>
        <v/>
      </c>
      <c r="M271" s="15">
        <f>Catalog!V244</f>
        <v/>
      </c>
      <c r="N271" s="15">
        <f>Catalog!Q244</f>
        <v/>
      </c>
      <c r="O271" s="15">
        <f>Catalog!AF244</f>
        <v/>
      </c>
    </row>
    <row r="272">
      <c r="A272" s="15">
        <f>Catalog!D245</f>
        <v/>
      </c>
      <c r="B272" s="15">
        <f>Catalog!F245</f>
        <v/>
      </c>
      <c r="C272" s="15">
        <f>IF(Catalog!I245="","",Catalog!I245)&amp;IF(AND(Catalog!I245&lt;&gt;"",Catalog!J245&lt;&gt;""),"; ","")&amp;IF(Catalog!J245="","",Catalog!J245)</f>
        <v/>
      </c>
      <c r="D272" s="15">
        <f>Catalog!P245</f>
        <v/>
      </c>
      <c r="E272" s="15">
        <f>Catalog!R245</f>
        <v/>
      </c>
      <c r="F272" s="15">
        <f>Catalog!M245</f>
        <v/>
      </c>
      <c r="G272" s="15">
        <f>Catalog!K245</f>
        <v/>
      </c>
      <c r="H272" s="15">
        <f>IF(Catalog!S245&lt;&gt;"","ISBN:"&amp;Catalog!S245,IF(Catalog!T245&lt;&gt;"","ISSN:"&amp;Catalog!T245,""))</f>
        <v/>
      </c>
      <c r="I272" s="15">
        <f>Catalog!B245</f>
        <v/>
      </c>
      <c r="J272" s="15">
        <f>Catalog!L245</f>
        <v/>
      </c>
      <c r="K272" s="15">
        <f>IF(Catalog!AG245&lt;&gt;"",Catalog!AG245,Catalog!AE245)</f>
        <v/>
      </c>
      <c r="L272" s="15">
        <f>Catalog!AD245</f>
        <v/>
      </c>
      <c r="M272" s="15">
        <f>Catalog!V245</f>
        <v/>
      </c>
      <c r="N272" s="15">
        <f>Catalog!Q245</f>
        <v/>
      </c>
      <c r="O272" s="15">
        <f>Catalog!AF245</f>
        <v/>
      </c>
    </row>
    <row r="273">
      <c r="A273" s="15">
        <f>Catalog!D246</f>
        <v/>
      </c>
      <c r="B273" s="15">
        <f>Catalog!F246</f>
        <v/>
      </c>
      <c r="C273" s="15">
        <f>IF(Catalog!I246="","",Catalog!I246)&amp;IF(AND(Catalog!I246&lt;&gt;"",Catalog!J246&lt;&gt;""),"; ","")&amp;IF(Catalog!J246="","",Catalog!J246)</f>
        <v/>
      </c>
      <c r="D273" s="15">
        <f>Catalog!P246</f>
        <v/>
      </c>
      <c r="E273" s="15">
        <f>Catalog!R246</f>
        <v/>
      </c>
      <c r="F273" s="15">
        <f>Catalog!M246</f>
        <v/>
      </c>
      <c r="G273" s="15">
        <f>Catalog!K246</f>
        <v/>
      </c>
      <c r="H273" s="15">
        <f>IF(Catalog!S246&lt;&gt;"","ISBN:"&amp;Catalog!S246,IF(Catalog!T246&lt;&gt;"","ISSN:"&amp;Catalog!T246,""))</f>
        <v/>
      </c>
      <c r="I273" s="15">
        <f>Catalog!B246</f>
        <v/>
      </c>
      <c r="J273" s="15">
        <f>Catalog!L246</f>
        <v/>
      </c>
      <c r="K273" s="15">
        <f>IF(Catalog!AG246&lt;&gt;"",Catalog!AG246,Catalog!AE246)</f>
        <v/>
      </c>
      <c r="L273" s="15">
        <f>Catalog!AD246</f>
        <v/>
      </c>
      <c r="M273" s="15">
        <f>Catalog!V246</f>
        <v/>
      </c>
      <c r="N273" s="15">
        <f>Catalog!Q246</f>
        <v/>
      </c>
      <c r="O273" s="15">
        <f>Catalog!AF246</f>
        <v/>
      </c>
    </row>
    <row r="274">
      <c r="A274" s="15">
        <f>Catalog!D247</f>
        <v/>
      </c>
      <c r="B274" s="15">
        <f>Catalog!F247</f>
        <v/>
      </c>
      <c r="C274" s="15">
        <f>IF(Catalog!I247="","",Catalog!I247)&amp;IF(AND(Catalog!I247&lt;&gt;"",Catalog!J247&lt;&gt;""),"; ","")&amp;IF(Catalog!J247="","",Catalog!J247)</f>
        <v/>
      </c>
      <c r="D274" s="15">
        <f>Catalog!P247</f>
        <v/>
      </c>
      <c r="E274" s="15">
        <f>Catalog!R247</f>
        <v/>
      </c>
      <c r="F274" s="15">
        <f>Catalog!M247</f>
        <v/>
      </c>
      <c r="G274" s="15">
        <f>Catalog!K247</f>
        <v/>
      </c>
      <c r="H274" s="15">
        <f>IF(Catalog!S247&lt;&gt;"","ISBN:"&amp;Catalog!S247,IF(Catalog!T247&lt;&gt;"","ISSN:"&amp;Catalog!T247,""))</f>
        <v/>
      </c>
      <c r="I274" s="15">
        <f>Catalog!B247</f>
        <v/>
      </c>
      <c r="J274" s="15">
        <f>Catalog!L247</f>
        <v/>
      </c>
      <c r="K274" s="15">
        <f>IF(Catalog!AG247&lt;&gt;"",Catalog!AG247,Catalog!AE247)</f>
        <v/>
      </c>
      <c r="L274" s="15">
        <f>Catalog!AD247</f>
        <v/>
      </c>
      <c r="M274" s="15">
        <f>Catalog!V247</f>
        <v/>
      </c>
      <c r="N274" s="15">
        <f>Catalog!Q247</f>
        <v/>
      </c>
      <c r="O274" s="15">
        <f>Catalog!AF247</f>
        <v/>
      </c>
    </row>
    <row r="275">
      <c r="A275" s="15">
        <f>Catalog!D248</f>
        <v/>
      </c>
      <c r="B275" s="15">
        <f>Catalog!F248</f>
        <v/>
      </c>
      <c r="C275" s="15">
        <f>IF(Catalog!I248="","",Catalog!I248)&amp;IF(AND(Catalog!I248&lt;&gt;"",Catalog!J248&lt;&gt;""),"; ","")&amp;IF(Catalog!J248="","",Catalog!J248)</f>
        <v/>
      </c>
      <c r="D275" s="15">
        <f>Catalog!P248</f>
        <v/>
      </c>
      <c r="E275" s="15">
        <f>Catalog!R248</f>
        <v/>
      </c>
      <c r="F275" s="15">
        <f>Catalog!M248</f>
        <v/>
      </c>
      <c r="G275" s="15">
        <f>Catalog!K248</f>
        <v/>
      </c>
      <c r="H275" s="15">
        <f>IF(Catalog!S248&lt;&gt;"","ISBN:"&amp;Catalog!S248,IF(Catalog!T248&lt;&gt;"","ISSN:"&amp;Catalog!T248,""))</f>
        <v/>
      </c>
      <c r="I275" s="15">
        <f>Catalog!B248</f>
        <v/>
      </c>
      <c r="J275" s="15">
        <f>Catalog!L248</f>
        <v/>
      </c>
      <c r="K275" s="15">
        <f>IF(Catalog!AG248&lt;&gt;"",Catalog!AG248,Catalog!AE248)</f>
        <v/>
      </c>
      <c r="L275" s="15">
        <f>Catalog!AD248</f>
        <v/>
      </c>
      <c r="M275" s="15">
        <f>Catalog!V248</f>
        <v/>
      </c>
      <c r="N275" s="15">
        <f>Catalog!Q248</f>
        <v/>
      </c>
      <c r="O275" s="15">
        <f>Catalog!AF248</f>
        <v/>
      </c>
    </row>
    <row r="276">
      <c r="A276" s="15">
        <f>Catalog!D249</f>
        <v/>
      </c>
      <c r="B276" s="15">
        <f>Catalog!F249</f>
        <v/>
      </c>
      <c r="C276" s="15">
        <f>IF(Catalog!I249="","",Catalog!I249)&amp;IF(AND(Catalog!I249&lt;&gt;"",Catalog!J249&lt;&gt;""),"; ","")&amp;IF(Catalog!J249="","",Catalog!J249)</f>
        <v/>
      </c>
      <c r="D276" s="15">
        <f>Catalog!P249</f>
        <v/>
      </c>
      <c r="E276" s="15">
        <f>Catalog!R249</f>
        <v/>
      </c>
      <c r="F276" s="15">
        <f>Catalog!M249</f>
        <v/>
      </c>
      <c r="G276" s="15">
        <f>Catalog!K249</f>
        <v/>
      </c>
      <c r="H276" s="15">
        <f>IF(Catalog!S249&lt;&gt;"","ISBN:"&amp;Catalog!S249,IF(Catalog!T249&lt;&gt;"","ISSN:"&amp;Catalog!T249,""))</f>
        <v/>
      </c>
      <c r="I276" s="15">
        <f>Catalog!B249</f>
        <v/>
      </c>
      <c r="J276" s="15">
        <f>Catalog!L249</f>
        <v/>
      </c>
      <c r="K276" s="15">
        <f>IF(Catalog!AG249&lt;&gt;"",Catalog!AG249,Catalog!AE249)</f>
        <v/>
      </c>
      <c r="L276" s="15">
        <f>Catalog!AD249</f>
        <v/>
      </c>
      <c r="M276" s="15">
        <f>Catalog!V249</f>
        <v/>
      </c>
      <c r="N276" s="15">
        <f>Catalog!Q249</f>
        <v/>
      </c>
      <c r="O276" s="15">
        <f>Catalog!AF249</f>
        <v/>
      </c>
    </row>
    <row r="277">
      <c r="A277" s="15">
        <f>Catalog!D250</f>
        <v/>
      </c>
      <c r="B277" s="15">
        <f>Catalog!F250</f>
        <v/>
      </c>
      <c r="C277" s="15">
        <f>IF(Catalog!I250="","",Catalog!I250)&amp;IF(AND(Catalog!I250&lt;&gt;"",Catalog!J250&lt;&gt;""),"; ","")&amp;IF(Catalog!J250="","",Catalog!J250)</f>
        <v/>
      </c>
      <c r="D277" s="15">
        <f>Catalog!P250</f>
        <v/>
      </c>
      <c r="E277" s="15">
        <f>Catalog!R250</f>
        <v/>
      </c>
      <c r="F277" s="15">
        <f>Catalog!M250</f>
        <v/>
      </c>
      <c r="G277" s="15">
        <f>Catalog!K250</f>
        <v/>
      </c>
      <c r="H277" s="15">
        <f>IF(Catalog!S250&lt;&gt;"","ISBN:"&amp;Catalog!S250,IF(Catalog!T250&lt;&gt;"","ISSN:"&amp;Catalog!T250,""))</f>
        <v/>
      </c>
      <c r="I277" s="15">
        <f>Catalog!B250</f>
        <v/>
      </c>
      <c r="J277" s="15">
        <f>Catalog!L250</f>
        <v/>
      </c>
      <c r="K277" s="15">
        <f>IF(Catalog!AG250&lt;&gt;"",Catalog!AG250,Catalog!AE250)</f>
        <v/>
      </c>
      <c r="L277" s="15">
        <f>Catalog!AD250</f>
        <v/>
      </c>
      <c r="M277" s="15">
        <f>Catalog!V250</f>
        <v/>
      </c>
      <c r="N277" s="15">
        <f>Catalog!Q250</f>
        <v/>
      </c>
      <c r="O277" s="15">
        <f>Catalog!AF250</f>
        <v/>
      </c>
    </row>
    <row r="278">
      <c r="A278" s="15">
        <f>Catalog!D251</f>
        <v/>
      </c>
      <c r="B278" s="15">
        <f>Catalog!F251</f>
        <v/>
      </c>
      <c r="C278" s="15">
        <f>IF(Catalog!I251="","",Catalog!I251)&amp;IF(AND(Catalog!I251&lt;&gt;"",Catalog!J251&lt;&gt;""),"; ","")&amp;IF(Catalog!J251="","",Catalog!J251)</f>
        <v/>
      </c>
      <c r="D278" s="15">
        <f>Catalog!P251</f>
        <v/>
      </c>
      <c r="E278" s="15">
        <f>Catalog!R251</f>
        <v/>
      </c>
      <c r="F278" s="15">
        <f>Catalog!M251</f>
        <v/>
      </c>
      <c r="G278" s="15">
        <f>Catalog!K251</f>
        <v/>
      </c>
      <c r="H278" s="15">
        <f>IF(Catalog!S251&lt;&gt;"","ISBN:"&amp;Catalog!S251,IF(Catalog!T251&lt;&gt;"","ISSN:"&amp;Catalog!T251,""))</f>
        <v/>
      </c>
      <c r="I278" s="15">
        <f>Catalog!B251</f>
        <v/>
      </c>
      <c r="J278" s="15">
        <f>Catalog!L251</f>
        <v/>
      </c>
      <c r="K278" s="15">
        <f>IF(Catalog!AG251&lt;&gt;"",Catalog!AG251,Catalog!AE251)</f>
        <v/>
      </c>
      <c r="L278" s="15">
        <f>Catalog!AD251</f>
        <v/>
      </c>
      <c r="M278" s="15">
        <f>Catalog!V251</f>
        <v/>
      </c>
      <c r="N278" s="15">
        <f>Catalog!Q251</f>
        <v/>
      </c>
      <c r="O278" s="15">
        <f>Catalog!AF251</f>
        <v/>
      </c>
    </row>
    <row r="279">
      <c r="A279" s="15">
        <f>Catalog!D252</f>
        <v/>
      </c>
      <c r="B279" s="15">
        <f>Catalog!F252</f>
        <v/>
      </c>
      <c r="C279" s="15">
        <f>IF(Catalog!I252="","",Catalog!I252)&amp;IF(AND(Catalog!I252&lt;&gt;"",Catalog!J252&lt;&gt;""),"; ","")&amp;IF(Catalog!J252="","",Catalog!J252)</f>
        <v/>
      </c>
      <c r="D279" s="15">
        <f>Catalog!P252</f>
        <v/>
      </c>
      <c r="E279" s="15">
        <f>Catalog!R252</f>
        <v/>
      </c>
      <c r="F279" s="15">
        <f>Catalog!M252</f>
        <v/>
      </c>
      <c r="G279" s="15">
        <f>Catalog!K252</f>
        <v/>
      </c>
      <c r="H279" s="15">
        <f>IF(Catalog!S252&lt;&gt;"","ISBN:"&amp;Catalog!S252,IF(Catalog!T252&lt;&gt;"","ISSN:"&amp;Catalog!T252,""))</f>
        <v/>
      </c>
      <c r="I279" s="15">
        <f>Catalog!B252</f>
        <v/>
      </c>
      <c r="J279" s="15">
        <f>Catalog!L252</f>
        <v/>
      </c>
      <c r="K279" s="15">
        <f>IF(Catalog!AG252&lt;&gt;"",Catalog!AG252,Catalog!AE252)</f>
        <v/>
      </c>
      <c r="L279" s="15">
        <f>Catalog!AD252</f>
        <v/>
      </c>
      <c r="M279" s="15">
        <f>Catalog!V252</f>
        <v/>
      </c>
      <c r="N279" s="15">
        <f>Catalog!Q252</f>
        <v/>
      </c>
      <c r="O279" s="15">
        <f>Catalog!AF252</f>
        <v/>
      </c>
    </row>
    <row r="280">
      <c r="A280" s="15">
        <f>Catalog!D253</f>
        <v/>
      </c>
      <c r="B280" s="15">
        <f>Catalog!F253</f>
        <v/>
      </c>
      <c r="C280" s="15">
        <f>IF(Catalog!I253="","",Catalog!I253)&amp;IF(AND(Catalog!I253&lt;&gt;"",Catalog!J253&lt;&gt;""),"; ","")&amp;IF(Catalog!J253="","",Catalog!J253)</f>
        <v/>
      </c>
      <c r="D280" s="15">
        <f>Catalog!P253</f>
        <v/>
      </c>
      <c r="E280" s="15">
        <f>Catalog!R253</f>
        <v/>
      </c>
      <c r="F280" s="15">
        <f>Catalog!M253</f>
        <v/>
      </c>
      <c r="G280" s="15">
        <f>Catalog!K253</f>
        <v/>
      </c>
      <c r="H280" s="15">
        <f>IF(Catalog!S253&lt;&gt;"","ISBN:"&amp;Catalog!S253,IF(Catalog!T253&lt;&gt;"","ISSN:"&amp;Catalog!T253,""))</f>
        <v/>
      </c>
      <c r="I280" s="15">
        <f>Catalog!B253</f>
        <v/>
      </c>
      <c r="J280" s="15">
        <f>Catalog!L253</f>
        <v/>
      </c>
      <c r="K280" s="15">
        <f>IF(Catalog!AG253&lt;&gt;"",Catalog!AG253,Catalog!AE253)</f>
        <v/>
      </c>
      <c r="L280" s="15">
        <f>Catalog!AD253</f>
        <v/>
      </c>
      <c r="M280" s="15">
        <f>Catalog!V253</f>
        <v/>
      </c>
      <c r="N280" s="15">
        <f>Catalog!Q253</f>
        <v/>
      </c>
      <c r="O280" s="15">
        <f>Catalog!AF253</f>
        <v/>
      </c>
    </row>
    <row r="281">
      <c r="A281" s="15">
        <f>Catalog!D254</f>
        <v/>
      </c>
      <c r="B281" s="15">
        <f>Catalog!F254</f>
        <v/>
      </c>
      <c r="C281" s="15">
        <f>IF(Catalog!I254="","",Catalog!I254)&amp;IF(AND(Catalog!I254&lt;&gt;"",Catalog!J254&lt;&gt;""),"; ","")&amp;IF(Catalog!J254="","",Catalog!J254)</f>
        <v/>
      </c>
      <c r="D281" s="15">
        <f>Catalog!P254</f>
        <v/>
      </c>
      <c r="E281" s="15">
        <f>Catalog!R254</f>
        <v/>
      </c>
      <c r="F281" s="15">
        <f>Catalog!M254</f>
        <v/>
      </c>
      <c r="G281" s="15">
        <f>Catalog!K254</f>
        <v/>
      </c>
      <c r="H281" s="15">
        <f>IF(Catalog!S254&lt;&gt;"","ISBN:"&amp;Catalog!S254,IF(Catalog!T254&lt;&gt;"","ISSN:"&amp;Catalog!T254,""))</f>
        <v/>
      </c>
      <c r="I281" s="15">
        <f>Catalog!B254</f>
        <v/>
      </c>
      <c r="J281" s="15">
        <f>Catalog!L254</f>
        <v/>
      </c>
      <c r="K281" s="15">
        <f>IF(Catalog!AG254&lt;&gt;"",Catalog!AG254,Catalog!AE254)</f>
        <v/>
      </c>
      <c r="L281" s="15">
        <f>Catalog!AD254</f>
        <v/>
      </c>
      <c r="M281" s="15">
        <f>Catalog!V254</f>
        <v/>
      </c>
      <c r="N281" s="15">
        <f>Catalog!Q254</f>
        <v/>
      </c>
      <c r="O281" s="15">
        <f>Catalog!AF254</f>
        <v/>
      </c>
    </row>
    <row r="282">
      <c r="A282" s="15">
        <f>Catalog!D255</f>
        <v/>
      </c>
      <c r="B282" s="15">
        <f>Catalog!F255</f>
        <v/>
      </c>
      <c r="C282" s="15">
        <f>IF(Catalog!I255="","",Catalog!I255)&amp;IF(AND(Catalog!I255&lt;&gt;"",Catalog!J255&lt;&gt;""),"; ","")&amp;IF(Catalog!J255="","",Catalog!J255)</f>
        <v/>
      </c>
      <c r="D282" s="15">
        <f>Catalog!P255</f>
        <v/>
      </c>
      <c r="E282" s="15">
        <f>Catalog!R255</f>
        <v/>
      </c>
      <c r="F282" s="15">
        <f>Catalog!M255</f>
        <v/>
      </c>
      <c r="G282" s="15">
        <f>Catalog!K255</f>
        <v/>
      </c>
      <c r="H282" s="15">
        <f>IF(Catalog!S255&lt;&gt;"","ISBN:"&amp;Catalog!S255,IF(Catalog!T255&lt;&gt;"","ISSN:"&amp;Catalog!T255,""))</f>
        <v/>
      </c>
      <c r="I282" s="15">
        <f>Catalog!B255</f>
        <v/>
      </c>
      <c r="J282" s="15">
        <f>Catalog!L255</f>
        <v/>
      </c>
      <c r="K282" s="15">
        <f>IF(Catalog!AG255&lt;&gt;"",Catalog!AG255,Catalog!AE255)</f>
        <v/>
      </c>
      <c r="L282" s="15">
        <f>Catalog!AD255</f>
        <v/>
      </c>
      <c r="M282" s="15">
        <f>Catalog!V255</f>
        <v/>
      </c>
      <c r="N282" s="15">
        <f>Catalog!Q255</f>
        <v/>
      </c>
      <c r="O282" s="15">
        <f>Catalog!AF255</f>
        <v/>
      </c>
    </row>
    <row r="283">
      <c r="A283" s="15">
        <f>Catalog!D256</f>
        <v/>
      </c>
      <c r="B283" s="15">
        <f>Catalog!F256</f>
        <v/>
      </c>
      <c r="C283" s="15">
        <f>IF(Catalog!I256="","",Catalog!I256)&amp;IF(AND(Catalog!I256&lt;&gt;"",Catalog!J256&lt;&gt;""),"; ","")&amp;IF(Catalog!J256="","",Catalog!J256)</f>
        <v/>
      </c>
      <c r="D283" s="15">
        <f>Catalog!P256</f>
        <v/>
      </c>
      <c r="E283" s="15">
        <f>Catalog!R256</f>
        <v/>
      </c>
      <c r="F283" s="15">
        <f>Catalog!M256</f>
        <v/>
      </c>
      <c r="G283" s="15">
        <f>Catalog!K256</f>
        <v/>
      </c>
      <c r="H283" s="15">
        <f>IF(Catalog!S256&lt;&gt;"","ISBN:"&amp;Catalog!S256,IF(Catalog!T256&lt;&gt;"","ISSN:"&amp;Catalog!T256,""))</f>
        <v/>
      </c>
      <c r="I283" s="15">
        <f>Catalog!B256</f>
        <v/>
      </c>
      <c r="J283" s="15">
        <f>Catalog!L256</f>
        <v/>
      </c>
      <c r="K283" s="15">
        <f>IF(Catalog!AG256&lt;&gt;"",Catalog!AG256,Catalog!AE256)</f>
        <v/>
      </c>
      <c r="L283" s="15">
        <f>Catalog!AD256</f>
        <v/>
      </c>
      <c r="M283" s="15">
        <f>Catalog!V256</f>
        <v/>
      </c>
      <c r="N283" s="15">
        <f>Catalog!Q256</f>
        <v/>
      </c>
      <c r="O283" s="15">
        <f>Catalog!AF256</f>
        <v/>
      </c>
    </row>
    <row r="284">
      <c r="A284" s="15">
        <f>Catalog!D257</f>
        <v/>
      </c>
      <c r="B284" s="15">
        <f>Catalog!F257</f>
        <v/>
      </c>
      <c r="C284" s="15">
        <f>IF(Catalog!I257="","",Catalog!I257)&amp;IF(AND(Catalog!I257&lt;&gt;"",Catalog!J257&lt;&gt;""),"; ","")&amp;IF(Catalog!J257="","",Catalog!J257)</f>
        <v/>
      </c>
      <c r="D284" s="15">
        <f>Catalog!P257</f>
        <v/>
      </c>
      <c r="E284" s="15">
        <f>Catalog!R257</f>
        <v/>
      </c>
      <c r="F284" s="15">
        <f>Catalog!M257</f>
        <v/>
      </c>
      <c r="G284" s="15">
        <f>Catalog!K257</f>
        <v/>
      </c>
      <c r="H284" s="15">
        <f>IF(Catalog!S257&lt;&gt;"","ISBN:"&amp;Catalog!S257,IF(Catalog!T257&lt;&gt;"","ISSN:"&amp;Catalog!T257,""))</f>
        <v/>
      </c>
      <c r="I284" s="15">
        <f>Catalog!B257</f>
        <v/>
      </c>
      <c r="J284" s="15">
        <f>Catalog!L257</f>
        <v/>
      </c>
      <c r="K284" s="15">
        <f>IF(Catalog!AG257&lt;&gt;"",Catalog!AG257,Catalog!AE257)</f>
        <v/>
      </c>
      <c r="L284" s="15">
        <f>Catalog!AD257</f>
        <v/>
      </c>
      <c r="M284" s="15">
        <f>Catalog!V257</f>
        <v/>
      </c>
      <c r="N284" s="15">
        <f>Catalog!Q257</f>
        <v/>
      </c>
      <c r="O284" s="15">
        <f>Catalog!AF257</f>
        <v/>
      </c>
    </row>
    <row r="285">
      <c r="A285" s="15">
        <f>Catalog!D258</f>
        <v/>
      </c>
      <c r="B285" s="15">
        <f>Catalog!F258</f>
        <v/>
      </c>
      <c r="C285" s="15">
        <f>IF(Catalog!I258="","",Catalog!I258)&amp;IF(AND(Catalog!I258&lt;&gt;"",Catalog!J258&lt;&gt;""),"; ","")&amp;IF(Catalog!J258="","",Catalog!J258)</f>
        <v/>
      </c>
      <c r="D285" s="15">
        <f>Catalog!P258</f>
        <v/>
      </c>
      <c r="E285" s="15">
        <f>Catalog!R258</f>
        <v/>
      </c>
      <c r="F285" s="15">
        <f>Catalog!M258</f>
        <v/>
      </c>
      <c r="G285" s="15">
        <f>Catalog!K258</f>
        <v/>
      </c>
      <c r="H285" s="15">
        <f>IF(Catalog!S258&lt;&gt;"","ISBN:"&amp;Catalog!S258,IF(Catalog!T258&lt;&gt;"","ISSN:"&amp;Catalog!T258,""))</f>
        <v/>
      </c>
      <c r="I285" s="15">
        <f>Catalog!B258</f>
        <v/>
      </c>
      <c r="J285" s="15">
        <f>Catalog!L258</f>
        <v/>
      </c>
      <c r="K285" s="15">
        <f>IF(Catalog!AG258&lt;&gt;"",Catalog!AG258,Catalog!AE258)</f>
        <v/>
      </c>
      <c r="L285" s="15">
        <f>Catalog!AD258</f>
        <v/>
      </c>
      <c r="M285" s="15">
        <f>Catalog!V258</f>
        <v/>
      </c>
      <c r="N285" s="15">
        <f>Catalog!Q258</f>
        <v/>
      </c>
      <c r="O285" s="15">
        <f>Catalog!AF258</f>
        <v/>
      </c>
    </row>
    <row r="286">
      <c r="A286" s="15">
        <f>Catalog!D259</f>
        <v/>
      </c>
      <c r="B286" s="15">
        <f>Catalog!F259</f>
        <v/>
      </c>
      <c r="C286" s="15">
        <f>IF(Catalog!I259="","",Catalog!I259)&amp;IF(AND(Catalog!I259&lt;&gt;"",Catalog!J259&lt;&gt;""),"; ","")&amp;IF(Catalog!J259="","",Catalog!J259)</f>
        <v/>
      </c>
      <c r="D286" s="15">
        <f>Catalog!P259</f>
        <v/>
      </c>
      <c r="E286" s="15">
        <f>Catalog!R259</f>
        <v/>
      </c>
      <c r="F286" s="15">
        <f>Catalog!M259</f>
        <v/>
      </c>
      <c r="G286" s="15">
        <f>Catalog!K259</f>
        <v/>
      </c>
      <c r="H286" s="15">
        <f>IF(Catalog!S259&lt;&gt;"","ISBN:"&amp;Catalog!S259,IF(Catalog!T259&lt;&gt;"","ISSN:"&amp;Catalog!T259,""))</f>
        <v/>
      </c>
      <c r="I286" s="15">
        <f>Catalog!B259</f>
        <v/>
      </c>
      <c r="J286" s="15">
        <f>Catalog!L259</f>
        <v/>
      </c>
      <c r="K286" s="15">
        <f>IF(Catalog!AG259&lt;&gt;"",Catalog!AG259,Catalog!AE259)</f>
        <v/>
      </c>
      <c r="L286" s="15">
        <f>Catalog!AD259</f>
        <v/>
      </c>
      <c r="M286" s="15">
        <f>Catalog!V259</f>
        <v/>
      </c>
      <c r="N286" s="15">
        <f>Catalog!Q259</f>
        <v/>
      </c>
      <c r="O286" s="15">
        <f>Catalog!AF259</f>
        <v/>
      </c>
    </row>
    <row r="287">
      <c r="A287" s="15">
        <f>Catalog!D260</f>
        <v/>
      </c>
      <c r="B287" s="15">
        <f>Catalog!F260</f>
        <v/>
      </c>
      <c r="C287" s="15">
        <f>IF(Catalog!I260="","",Catalog!I260)&amp;IF(AND(Catalog!I260&lt;&gt;"",Catalog!J260&lt;&gt;""),"; ","")&amp;IF(Catalog!J260="","",Catalog!J260)</f>
        <v/>
      </c>
      <c r="D287" s="15">
        <f>Catalog!P260</f>
        <v/>
      </c>
      <c r="E287" s="15">
        <f>Catalog!R260</f>
        <v/>
      </c>
      <c r="F287" s="15">
        <f>Catalog!M260</f>
        <v/>
      </c>
      <c r="G287" s="15">
        <f>Catalog!K260</f>
        <v/>
      </c>
      <c r="H287" s="15">
        <f>IF(Catalog!S260&lt;&gt;"","ISBN:"&amp;Catalog!S260,IF(Catalog!T260&lt;&gt;"","ISSN:"&amp;Catalog!T260,""))</f>
        <v/>
      </c>
      <c r="I287" s="15">
        <f>Catalog!B260</f>
        <v/>
      </c>
      <c r="J287" s="15">
        <f>Catalog!L260</f>
        <v/>
      </c>
      <c r="K287" s="15">
        <f>IF(Catalog!AG260&lt;&gt;"",Catalog!AG260,Catalog!AE260)</f>
        <v/>
      </c>
      <c r="L287" s="15">
        <f>Catalog!AD260</f>
        <v/>
      </c>
      <c r="M287" s="15">
        <f>Catalog!V260</f>
        <v/>
      </c>
      <c r="N287" s="15">
        <f>Catalog!Q260</f>
        <v/>
      </c>
      <c r="O287" s="15">
        <f>Catalog!AF260</f>
        <v/>
      </c>
    </row>
    <row r="288">
      <c r="A288" s="15">
        <f>Catalog!D261</f>
        <v/>
      </c>
      <c r="B288" s="15">
        <f>Catalog!F261</f>
        <v/>
      </c>
      <c r="C288" s="15">
        <f>IF(Catalog!I261="","",Catalog!I261)&amp;IF(AND(Catalog!I261&lt;&gt;"",Catalog!J261&lt;&gt;""),"; ","")&amp;IF(Catalog!J261="","",Catalog!J261)</f>
        <v/>
      </c>
      <c r="D288" s="15">
        <f>Catalog!P261</f>
        <v/>
      </c>
      <c r="E288" s="15">
        <f>Catalog!R261</f>
        <v/>
      </c>
      <c r="F288" s="15">
        <f>Catalog!M261</f>
        <v/>
      </c>
      <c r="G288" s="15">
        <f>Catalog!K261</f>
        <v/>
      </c>
      <c r="H288" s="15">
        <f>IF(Catalog!S261&lt;&gt;"","ISBN:"&amp;Catalog!S261,IF(Catalog!T261&lt;&gt;"","ISSN:"&amp;Catalog!T261,""))</f>
        <v/>
      </c>
      <c r="I288" s="15">
        <f>Catalog!B261</f>
        <v/>
      </c>
      <c r="J288" s="15">
        <f>Catalog!L261</f>
        <v/>
      </c>
      <c r="K288" s="15">
        <f>IF(Catalog!AG261&lt;&gt;"",Catalog!AG261,Catalog!AE261)</f>
        <v/>
      </c>
      <c r="L288" s="15">
        <f>Catalog!AD261</f>
        <v/>
      </c>
      <c r="M288" s="15">
        <f>Catalog!V261</f>
        <v/>
      </c>
      <c r="N288" s="15">
        <f>Catalog!Q261</f>
        <v/>
      </c>
      <c r="O288" s="15">
        <f>Catalog!AF261</f>
        <v/>
      </c>
    </row>
    <row r="289">
      <c r="A289" s="15">
        <f>Catalog!D262</f>
        <v/>
      </c>
      <c r="B289" s="15">
        <f>Catalog!F262</f>
        <v/>
      </c>
      <c r="C289" s="15">
        <f>IF(Catalog!I262="","",Catalog!I262)&amp;IF(AND(Catalog!I262&lt;&gt;"",Catalog!J262&lt;&gt;""),"; ","")&amp;IF(Catalog!J262="","",Catalog!J262)</f>
        <v/>
      </c>
      <c r="D289" s="15">
        <f>Catalog!P262</f>
        <v/>
      </c>
      <c r="E289" s="15">
        <f>Catalog!R262</f>
        <v/>
      </c>
      <c r="F289" s="15">
        <f>Catalog!M262</f>
        <v/>
      </c>
      <c r="G289" s="15">
        <f>Catalog!K262</f>
        <v/>
      </c>
      <c r="H289" s="15">
        <f>IF(Catalog!S262&lt;&gt;"","ISBN:"&amp;Catalog!S262,IF(Catalog!T262&lt;&gt;"","ISSN:"&amp;Catalog!T262,""))</f>
        <v/>
      </c>
      <c r="I289" s="15">
        <f>Catalog!B262</f>
        <v/>
      </c>
      <c r="J289" s="15">
        <f>Catalog!L262</f>
        <v/>
      </c>
      <c r="K289" s="15">
        <f>IF(Catalog!AG262&lt;&gt;"",Catalog!AG262,Catalog!AE262)</f>
        <v/>
      </c>
      <c r="L289" s="15">
        <f>Catalog!AD262</f>
        <v/>
      </c>
      <c r="M289" s="15">
        <f>Catalog!V262</f>
        <v/>
      </c>
      <c r="N289" s="15">
        <f>Catalog!Q262</f>
        <v/>
      </c>
      <c r="O289" s="15">
        <f>Catalog!AF262</f>
        <v/>
      </c>
    </row>
    <row r="290">
      <c r="A290" s="15">
        <f>Catalog!D263</f>
        <v/>
      </c>
      <c r="B290" s="15">
        <f>Catalog!F263</f>
        <v/>
      </c>
      <c r="C290" s="15">
        <f>IF(Catalog!I263="","",Catalog!I263)&amp;IF(AND(Catalog!I263&lt;&gt;"",Catalog!J263&lt;&gt;""),"; ","")&amp;IF(Catalog!J263="","",Catalog!J263)</f>
        <v/>
      </c>
      <c r="D290" s="15">
        <f>Catalog!P263</f>
        <v/>
      </c>
      <c r="E290" s="15">
        <f>Catalog!R263</f>
        <v/>
      </c>
      <c r="F290" s="15">
        <f>Catalog!M263</f>
        <v/>
      </c>
      <c r="G290" s="15">
        <f>Catalog!K263</f>
        <v/>
      </c>
      <c r="H290" s="15">
        <f>IF(Catalog!S263&lt;&gt;"","ISBN:"&amp;Catalog!S263,IF(Catalog!T263&lt;&gt;"","ISSN:"&amp;Catalog!T263,""))</f>
        <v/>
      </c>
      <c r="I290" s="15">
        <f>Catalog!B263</f>
        <v/>
      </c>
      <c r="J290" s="15">
        <f>Catalog!L263</f>
        <v/>
      </c>
      <c r="K290" s="15">
        <f>IF(Catalog!AG263&lt;&gt;"",Catalog!AG263,Catalog!AE263)</f>
        <v/>
      </c>
      <c r="L290" s="15">
        <f>Catalog!AD263</f>
        <v/>
      </c>
      <c r="M290" s="15">
        <f>Catalog!V263</f>
        <v/>
      </c>
      <c r="N290" s="15">
        <f>Catalog!Q263</f>
        <v/>
      </c>
      <c r="O290" s="15">
        <f>Catalog!AF263</f>
        <v/>
      </c>
    </row>
    <row r="291">
      <c r="A291" s="15">
        <f>Catalog!D264</f>
        <v/>
      </c>
      <c r="B291" s="15">
        <f>Catalog!F264</f>
        <v/>
      </c>
      <c r="C291" s="15">
        <f>IF(Catalog!I264="","",Catalog!I264)&amp;IF(AND(Catalog!I264&lt;&gt;"",Catalog!J264&lt;&gt;""),"; ","")&amp;IF(Catalog!J264="","",Catalog!J264)</f>
        <v/>
      </c>
      <c r="D291" s="15">
        <f>Catalog!P264</f>
        <v/>
      </c>
      <c r="E291" s="15">
        <f>Catalog!R264</f>
        <v/>
      </c>
      <c r="F291" s="15">
        <f>Catalog!M264</f>
        <v/>
      </c>
      <c r="G291" s="15">
        <f>Catalog!K264</f>
        <v/>
      </c>
      <c r="H291" s="15">
        <f>IF(Catalog!S264&lt;&gt;"","ISBN:"&amp;Catalog!S264,IF(Catalog!T264&lt;&gt;"","ISSN:"&amp;Catalog!T264,""))</f>
        <v/>
      </c>
      <c r="I291" s="15">
        <f>Catalog!B264</f>
        <v/>
      </c>
      <c r="J291" s="15">
        <f>Catalog!L264</f>
        <v/>
      </c>
      <c r="K291" s="15">
        <f>IF(Catalog!AG264&lt;&gt;"",Catalog!AG264,Catalog!AE264)</f>
        <v/>
      </c>
      <c r="L291" s="15">
        <f>Catalog!AD264</f>
        <v/>
      </c>
      <c r="M291" s="15">
        <f>Catalog!V264</f>
        <v/>
      </c>
      <c r="N291" s="15">
        <f>Catalog!Q264</f>
        <v/>
      </c>
      <c r="O291" s="15">
        <f>Catalog!AF264</f>
        <v/>
      </c>
    </row>
    <row r="292">
      <c r="A292" s="15">
        <f>Catalog!D265</f>
        <v/>
      </c>
      <c r="B292" s="15">
        <f>Catalog!F265</f>
        <v/>
      </c>
      <c r="C292" s="15">
        <f>IF(Catalog!I265="","",Catalog!I265)&amp;IF(AND(Catalog!I265&lt;&gt;"",Catalog!J265&lt;&gt;""),"; ","")&amp;IF(Catalog!J265="","",Catalog!J265)</f>
        <v/>
      </c>
      <c r="D292" s="15">
        <f>Catalog!P265</f>
        <v/>
      </c>
      <c r="E292" s="15">
        <f>Catalog!R265</f>
        <v/>
      </c>
      <c r="F292" s="15">
        <f>Catalog!M265</f>
        <v/>
      </c>
      <c r="G292" s="15">
        <f>Catalog!K265</f>
        <v/>
      </c>
      <c r="H292" s="15">
        <f>IF(Catalog!S265&lt;&gt;"","ISBN:"&amp;Catalog!S265,IF(Catalog!T265&lt;&gt;"","ISSN:"&amp;Catalog!T265,""))</f>
        <v/>
      </c>
      <c r="I292" s="15">
        <f>Catalog!B265</f>
        <v/>
      </c>
      <c r="J292" s="15">
        <f>Catalog!L265</f>
        <v/>
      </c>
      <c r="K292" s="15">
        <f>IF(Catalog!AG265&lt;&gt;"",Catalog!AG265,Catalog!AE265)</f>
        <v/>
      </c>
      <c r="L292" s="15">
        <f>Catalog!AD265</f>
        <v/>
      </c>
      <c r="M292" s="15">
        <f>Catalog!V265</f>
        <v/>
      </c>
      <c r="N292" s="15">
        <f>Catalog!Q265</f>
        <v/>
      </c>
      <c r="O292" s="15">
        <f>Catalog!AF265</f>
        <v/>
      </c>
    </row>
    <row r="293">
      <c r="A293" s="15">
        <f>Catalog!D266</f>
        <v/>
      </c>
      <c r="B293" s="15">
        <f>Catalog!F266</f>
        <v/>
      </c>
      <c r="C293" s="15">
        <f>IF(Catalog!I266="","",Catalog!I266)&amp;IF(AND(Catalog!I266&lt;&gt;"",Catalog!J266&lt;&gt;""),"; ","")&amp;IF(Catalog!J266="","",Catalog!J266)</f>
        <v/>
      </c>
      <c r="D293" s="15">
        <f>Catalog!P266</f>
        <v/>
      </c>
      <c r="E293" s="15">
        <f>Catalog!R266</f>
        <v/>
      </c>
      <c r="F293" s="15">
        <f>Catalog!M266</f>
        <v/>
      </c>
      <c r="G293" s="15">
        <f>Catalog!K266</f>
        <v/>
      </c>
      <c r="H293" s="15">
        <f>IF(Catalog!S266&lt;&gt;"","ISBN:"&amp;Catalog!S266,IF(Catalog!T266&lt;&gt;"","ISSN:"&amp;Catalog!T266,""))</f>
        <v/>
      </c>
      <c r="I293" s="15">
        <f>Catalog!B266</f>
        <v/>
      </c>
      <c r="J293" s="15">
        <f>Catalog!L266</f>
        <v/>
      </c>
      <c r="K293" s="15">
        <f>IF(Catalog!AG266&lt;&gt;"",Catalog!AG266,Catalog!AE266)</f>
        <v/>
      </c>
      <c r="L293" s="15">
        <f>Catalog!AD266</f>
        <v/>
      </c>
      <c r="M293" s="15">
        <f>Catalog!V266</f>
        <v/>
      </c>
      <c r="N293" s="15">
        <f>Catalog!Q266</f>
        <v/>
      </c>
      <c r="O293" s="15">
        <f>Catalog!AF266</f>
        <v/>
      </c>
    </row>
    <row r="294">
      <c r="A294" s="15">
        <f>Catalog!D267</f>
        <v/>
      </c>
      <c r="B294" s="15">
        <f>Catalog!F267</f>
        <v/>
      </c>
      <c r="C294" s="15">
        <f>IF(Catalog!I267="","",Catalog!I267)&amp;IF(AND(Catalog!I267&lt;&gt;"",Catalog!J267&lt;&gt;""),"; ","")&amp;IF(Catalog!J267="","",Catalog!J267)</f>
        <v/>
      </c>
      <c r="D294" s="15">
        <f>Catalog!P267</f>
        <v/>
      </c>
      <c r="E294" s="15">
        <f>Catalog!R267</f>
        <v/>
      </c>
      <c r="F294" s="15">
        <f>Catalog!M267</f>
        <v/>
      </c>
      <c r="G294" s="15">
        <f>Catalog!K267</f>
        <v/>
      </c>
      <c r="H294" s="15">
        <f>IF(Catalog!S267&lt;&gt;"","ISBN:"&amp;Catalog!S267,IF(Catalog!T267&lt;&gt;"","ISSN:"&amp;Catalog!T267,""))</f>
        <v/>
      </c>
      <c r="I294" s="15">
        <f>Catalog!B267</f>
        <v/>
      </c>
      <c r="J294" s="15">
        <f>Catalog!L267</f>
        <v/>
      </c>
      <c r="K294" s="15">
        <f>IF(Catalog!AG267&lt;&gt;"",Catalog!AG267,Catalog!AE267)</f>
        <v/>
      </c>
      <c r="L294" s="15">
        <f>Catalog!AD267</f>
        <v/>
      </c>
      <c r="M294" s="15">
        <f>Catalog!V267</f>
        <v/>
      </c>
      <c r="N294" s="15">
        <f>Catalog!Q267</f>
        <v/>
      </c>
      <c r="O294" s="15">
        <f>Catalog!AF267</f>
        <v/>
      </c>
    </row>
    <row r="295">
      <c r="A295" s="15">
        <f>Catalog!D268</f>
        <v/>
      </c>
      <c r="B295" s="15">
        <f>Catalog!F268</f>
        <v/>
      </c>
      <c r="C295" s="15">
        <f>IF(Catalog!I268="","",Catalog!I268)&amp;IF(AND(Catalog!I268&lt;&gt;"",Catalog!J268&lt;&gt;""),"; ","")&amp;IF(Catalog!J268="","",Catalog!J268)</f>
        <v/>
      </c>
      <c r="D295" s="15">
        <f>Catalog!P268</f>
        <v/>
      </c>
      <c r="E295" s="15">
        <f>Catalog!R268</f>
        <v/>
      </c>
      <c r="F295" s="15">
        <f>Catalog!M268</f>
        <v/>
      </c>
      <c r="G295" s="15">
        <f>Catalog!K268</f>
        <v/>
      </c>
      <c r="H295" s="15">
        <f>IF(Catalog!S268&lt;&gt;"","ISBN:"&amp;Catalog!S268,IF(Catalog!T268&lt;&gt;"","ISSN:"&amp;Catalog!T268,""))</f>
        <v/>
      </c>
      <c r="I295" s="15">
        <f>Catalog!B268</f>
        <v/>
      </c>
      <c r="J295" s="15">
        <f>Catalog!L268</f>
        <v/>
      </c>
      <c r="K295" s="15">
        <f>IF(Catalog!AG268&lt;&gt;"",Catalog!AG268,Catalog!AE268)</f>
        <v/>
      </c>
      <c r="L295" s="15">
        <f>Catalog!AD268</f>
        <v/>
      </c>
      <c r="M295" s="15">
        <f>Catalog!V268</f>
        <v/>
      </c>
      <c r="N295" s="15">
        <f>Catalog!Q268</f>
        <v/>
      </c>
      <c r="O295" s="15">
        <f>Catalog!AF268</f>
        <v/>
      </c>
    </row>
    <row r="296">
      <c r="A296" s="15">
        <f>Catalog!D269</f>
        <v/>
      </c>
      <c r="B296" s="15">
        <f>Catalog!F269</f>
        <v/>
      </c>
      <c r="C296" s="15">
        <f>IF(Catalog!I269="","",Catalog!I269)&amp;IF(AND(Catalog!I269&lt;&gt;"",Catalog!J269&lt;&gt;""),"; ","")&amp;IF(Catalog!J269="","",Catalog!J269)</f>
        <v/>
      </c>
      <c r="D296" s="15">
        <f>Catalog!P269</f>
        <v/>
      </c>
      <c r="E296" s="15">
        <f>Catalog!R269</f>
        <v/>
      </c>
      <c r="F296" s="15">
        <f>Catalog!M269</f>
        <v/>
      </c>
      <c r="G296" s="15">
        <f>Catalog!K269</f>
        <v/>
      </c>
      <c r="H296" s="15">
        <f>IF(Catalog!S269&lt;&gt;"","ISBN:"&amp;Catalog!S269,IF(Catalog!T269&lt;&gt;"","ISSN:"&amp;Catalog!T269,""))</f>
        <v/>
      </c>
      <c r="I296" s="15">
        <f>Catalog!B269</f>
        <v/>
      </c>
      <c r="J296" s="15">
        <f>Catalog!L269</f>
        <v/>
      </c>
      <c r="K296" s="15">
        <f>IF(Catalog!AG269&lt;&gt;"",Catalog!AG269,Catalog!AE269)</f>
        <v/>
      </c>
      <c r="L296" s="15">
        <f>Catalog!AD269</f>
        <v/>
      </c>
      <c r="M296" s="15">
        <f>Catalog!V269</f>
        <v/>
      </c>
      <c r="N296" s="15">
        <f>Catalog!Q269</f>
        <v/>
      </c>
      <c r="O296" s="15">
        <f>Catalog!AF269</f>
        <v/>
      </c>
    </row>
    <row r="297">
      <c r="A297" s="15">
        <f>Catalog!D270</f>
        <v/>
      </c>
      <c r="B297" s="15">
        <f>Catalog!F270</f>
        <v/>
      </c>
      <c r="C297" s="15">
        <f>IF(Catalog!I270="","",Catalog!I270)&amp;IF(AND(Catalog!I270&lt;&gt;"",Catalog!J270&lt;&gt;""),"; ","")&amp;IF(Catalog!J270="","",Catalog!J270)</f>
        <v/>
      </c>
      <c r="D297" s="15">
        <f>Catalog!P270</f>
        <v/>
      </c>
      <c r="E297" s="15">
        <f>Catalog!R270</f>
        <v/>
      </c>
      <c r="F297" s="15">
        <f>Catalog!M270</f>
        <v/>
      </c>
      <c r="G297" s="15">
        <f>Catalog!K270</f>
        <v/>
      </c>
      <c r="H297" s="15">
        <f>IF(Catalog!S270&lt;&gt;"","ISBN:"&amp;Catalog!S270,IF(Catalog!T270&lt;&gt;"","ISSN:"&amp;Catalog!T270,""))</f>
        <v/>
      </c>
      <c r="I297" s="15">
        <f>Catalog!B270</f>
        <v/>
      </c>
      <c r="J297" s="15">
        <f>Catalog!L270</f>
        <v/>
      </c>
      <c r="K297" s="15">
        <f>IF(Catalog!AG270&lt;&gt;"",Catalog!AG270,Catalog!AE270)</f>
        <v/>
      </c>
      <c r="L297" s="15">
        <f>Catalog!AD270</f>
        <v/>
      </c>
      <c r="M297" s="15">
        <f>Catalog!V270</f>
        <v/>
      </c>
      <c r="N297" s="15">
        <f>Catalog!Q270</f>
        <v/>
      </c>
      <c r="O297" s="15">
        <f>Catalog!AF270</f>
        <v/>
      </c>
    </row>
    <row r="298">
      <c r="A298" s="15">
        <f>Catalog!D271</f>
        <v/>
      </c>
      <c r="B298" s="15">
        <f>Catalog!F271</f>
        <v/>
      </c>
      <c r="C298" s="15">
        <f>IF(Catalog!I271="","",Catalog!I271)&amp;IF(AND(Catalog!I271&lt;&gt;"",Catalog!J271&lt;&gt;""),"; ","")&amp;IF(Catalog!J271="","",Catalog!J271)</f>
        <v/>
      </c>
      <c r="D298" s="15">
        <f>Catalog!P271</f>
        <v/>
      </c>
      <c r="E298" s="15">
        <f>Catalog!R271</f>
        <v/>
      </c>
      <c r="F298" s="15">
        <f>Catalog!M271</f>
        <v/>
      </c>
      <c r="G298" s="15">
        <f>Catalog!K271</f>
        <v/>
      </c>
      <c r="H298" s="15">
        <f>IF(Catalog!S271&lt;&gt;"","ISBN:"&amp;Catalog!S271,IF(Catalog!T271&lt;&gt;"","ISSN:"&amp;Catalog!T271,""))</f>
        <v/>
      </c>
      <c r="I298" s="15">
        <f>Catalog!B271</f>
        <v/>
      </c>
      <c r="J298" s="15">
        <f>Catalog!L271</f>
        <v/>
      </c>
      <c r="K298" s="15">
        <f>IF(Catalog!AG271&lt;&gt;"",Catalog!AG271,Catalog!AE271)</f>
        <v/>
      </c>
      <c r="L298" s="15">
        <f>Catalog!AD271</f>
        <v/>
      </c>
      <c r="M298" s="15">
        <f>Catalog!V271</f>
        <v/>
      </c>
      <c r="N298" s="15">
        <f>Catalog!Q271</f>
        <v/>
      </c>
      <c r="O298" s="15">
        <f>Catalog!AF271</f>
        <v/>
      </c>
    </row>
    <row r="299">
      <c r="A299" s="15">
        <f>Catalog!D272</f>
        <v/>
      </c>
      <c r="B299" s="15">
        <f>Catalog!F272</f>
        <v/>
      </c>
      <c r="C299" s="15">
        <f>IF(Catalog!I272="","",Catalog!I272)&amp;IF(AND(Catalog!I272&lt;&gt;"",Catalog!J272&lt;&gt;""),"; ","")&amp;IF(Catalog!J272="","",Catalog!J272)</f>
        <v/>
      </c>
      <c r="D299" s="15">
        <f>Catalog!P272</f>
        <v/>
      </c>
      <c r="E299" s="15">
        <f>Catalog!R272</f>
        <v/>
      </c>
      <c r="F299" s="15">
        <f>Catalog!M272</f>
        <v/>
      </c>
      <c r="G299" s="15">
        <f>Catalog!K272</f>
        <v/>
      </c>
      <c r="H299" s="15">
        <f>IF(Catalog!S272&lt;&gt;"","ISBN:"&amp;Catalog!S272,IF(Catalog!T272&lt;&gt;"","ISSN:"&amp;Catalog!T272,""))</f>
        <v/>
      </c>
      <c r="I299" s="15">
        <f>Catalog!B272</f>
        <v/>
      </c>
      <c r="J299" s="15">
        <f>Catalog!L272</f>
        <v/>
      </c>
      <c r="K299" s="15">
        <f>IF(Catalog!AG272&lt;&gt;"",Catalog!AG272,Catalog!AE272)</f>
        <v/>
      </c>
      <c r="L299" s="15">
        <f>Catalog!AD272</f>
        <v/>
      </c>
      <c r="M299" s="15">
        <f>Catalog!V272</f>
        <v/>
      </c>
      <c r="N299" s="15">
        <f>Catalog!Q272</f>
        <v/>
      </c>
      <c r="O299" s="15">
        <f>Catalog!AF272</f>
        <v/>
      </c>
    </row>
    <row r="300">
      <c r="A300" s="15">
        <f>Catalog!D273</f>
        <v/>
      </c>
      <c r="B300" s="15">
        <f>Catalog!F273</f>
        <v/>
      </c>
      <c r="C300" s="15">
        <f>IF(Catalog!I273="","",Catalog!I273)&amp;IF(AND(Catalog!I273&lt;&gt;"",Catalog!J273&lt;&gt;""),"; ","")&amp;IF(Catalog!J273="","",Catalog!J273)</f>
        <v/>
      </c>
      <c r="D300" s="15">
        <f>Catalog!P273</f>
        <v/>
      </c>
      <c r="E300" s="15">
        <f>Catalog!R273</f>
        <v/>
      </c>
      <c r="F300" s="15">
        <f>Catalog!M273</f>
        <v/>
      </c>
      <c r="G300" s="15">
        <f>Catalog!K273</f>
        <v/>
      </c>
      <c r="H300" s="15">
        <f>IF(Catalog!S273&lt;&gt;"","ISBN:"&amp;Catalog!S273,IF(Catalog!T273&lt;&gt;"","ISSN:"&amp;Catalog!T273,""))</f>
        <v/>
      </c>
      <c r="I300" s="15">
        <f>Catalog!B273</f>
        <v/>
      </c>
      <c r="J300" s="15">
        <f>Catalog!L273</f>
        <v/>
      </c>
      <c r="K300" s="15">
        <f>IF(Catalog!AG273&lt;&gt;"",Catalog!AG273,Catalog!AE273)</f>
        <v/>
      </c>
      <c r="L300" s="15">
        <f>Catalog!AD273</f>
        <v/>
      </c>
      <c r="M300" s="15">
        <f>Catalog!V273</f>
        <v/>
      </c>
      <c r="N300" s="15">
        <f>Catalog!Q273</f>
        <v/>
      </c>
      <c r="O300" s="15">
        <f>Catalog!AF273</f>
        <v/>
      </c>
    </row>
    <row r="301">
      <c r="A301" s="15">
        <f>Catalog!D274</f>
        <v/>
      </c>
      <c r="B301" s="15">
        <f>Catalog!F274</f>
        <v/>
      </c>
      <c r="C301" s="15">
        <f>IF(Catalog!I274="","",Catalog!I274)&amp;IF(AND(Catalog!I274&lt;&gt;"",Catalog!J274&lt;&gt;""),"; ","")&amp;IF(Catalog!J274="","",Catalog!J274)</f>
        <v/>
      </c>
      <c r="D301" s="15">
        <f>Catalog!P274</f>
        <v/>
      </c>
      <c r="E301" s="15">
        <f>Catalog!R274</f>
        <v/>
      </c>
      <c r="F301" s="15">
        <f>Catalog!M274</f>
        <v/>
      </c>
      <c r="G301" s="15">
        <f>Catalog!K274</f>
        <v/>
      </c>
      <c r="H301" s="15">
        <f>IF(Catalog!S274&lt;&gt;"","ISBN:"&amp;Catalog!S274,IF(Catalog!T274&lt;&gt;"","ISSN:"&amp;Catalog!T274,""))</f>
        <v/>
      </c>
      <c r="I301" s="15">
        <f>Catalog!B274</f>
        <v/>
      </c>
      <c r="J301" s="15">
        <f>Catalog!L274</f>
        <v/>
      </c>
      <c r="K301" s="15">
        <f>IF(Catalog!AG274&lt;&gt;"",Catalog!AG274,Catalog!AE274)</f>
        <v/>
      </c>
      <c r="L301" s="15">
        <f>Catalog!AD274</f>
        <v/>
      </c>
      <c r="M301" s="15">
        <f>Catalog!V274</f>
        <v/>
      </c>
      <c r="N301" s="15">
        <f>Catalog!Q274</f>
        <v/>
      </c>
      <c r="O301" s="15">
        <f>Catalog!AF274</f>
        <v/>
      </c>
    </row>
    <row r="302">
      <c r="A302" s="15">
        <f>Catalog!D275</f>
        <v/>
      </c>
      <c r="B302" s="15">
        <f>Catalog!F275</f>
        <v/>
      </c>
      <c r="C302" s="15">
        <f>IF(Catalog!I275="","",Catalog!I275)&amp;IF(AND(Catalog!I275&lt;&gt;"",Catalog!J275&lt;&gt;""),"; ","")&amp;IF(Catalog!J275="","",Catalog!J275)</f>
        <v/>
      </c>
      <c r="D302" s="15">
        <f>Catalog!P275</f>
        <v/>
      </c>
      <c r="E302" s="15">
        <f>Catalog!R275</f>
        <v/>
      </c>
      <c r="F302" s="15">
        <f>Catalog!M275</f>
        <v/>
      </c>
      <c r="G302" s="15">
        <f>Catalog!K275</f>
        <v/>
      </c>
      <c r="H302" s="15">
        <f>IF(Catalog!S275&lt;&gt;"","ISBN:"&amp;Catalog!S275,IF(Catalog!T275&lt;&gt;"","ISSN:"&amp;Catalog!T275,""))</f>
        <v/>
      </c>
      <c r="I302" s="15">
        <f>Catalog!B275</f>
        <v/>
      </c>
      <c r="J302" s="15">
        <f>Catalog!L275</f>
        <v/>
      </c>
      <c r="K302" s="15">
        <f>IF(Catalog!AG275&lt;&gt;"",Catalog!AG275,Catalog!AE275)</f>
        <v/>
      </c>
      <c r="L302" s="15">
        <f>Catalog!AD275</f>
        <v/>
      </c>
      <c r="M302" s="15">
        <f>Catalog!V275</f>
        <v/>
      </c>
      <c r="N302" s="15">
        <f>Catalog!Q275</f>
        <v/>
      </c>
      <c r="O302" s="15">
        <f>Catalog!AF275</f>
        <v/>
      </c>
    </row>
    <row r="303">
      <c r="A303" s="15">
        <f>Catalog!D276</f>
        <v/>
      </c>
      <c r="B303" s="15">
        <f>Catalog!F276</f>
        <v/>
      </c>
      <c r="C303" s="15">
        <f>IF(Catalog!I276="","",Catalog!I276)&amp;IF(AND(Catalog!I276&lt;&gt;"",Catalog!J276&lt;&gt;""),"; ","")&amp;IF(Catalog!J276="","",Catalog!J276)</f>
        <v/>
      </c>
      <c r="D303" s="15">
        <f>Catalog!P276</f>
        <v/>
      </c>
      <c r="E303" s="15">
        <f>Catalog!R276</f>
        <v/>
      </c>
      <c r="F303" s="15">
        <f>Catalog!M276</f>
        <v/>
      </c>
      <c r="G303" s="15">
        <f>Catalog!K276</f>
        <v/>
      </c>
      <c r="H303" s="15">
        <f>IF(Catalog!S276&lt;&gt;"","ISBN:"&amp;Catalog!S276,IF(Catalog!T276&lt;&gt;"","ISSN:"&amp;Catalog!T276,""))</f>
        <v/>
      </c>
      <c r="I303" s="15">
        <f>Catalog!B276</f>
        <v/>
      </c>
      <c r="J303" s="15">
        <f>Catalog!L276</f>
        <v/>
      </c>
      <c r="K303" s="15">
        <f>IF(Catalog!AG276&lt;&gt;"",Catalog!AG276,Catalog!AE276)</f>
        <v/>
      </c>
      <c r="L303" s="15">
        <f>Catalog!AD276</f>
        <v/>
      </c>
      <c r="M303" s="15">
        <f>Catalog!V276</f>
        <v/>
      </c>
      <c r="N303" s="15">
        <f>Catalog!Q276</f>
        <v/>
      </c>
      <c r="O303" s="15">
        <f>Catalog!AF276</f>
        <v/>
      </c>
    </row>
    <row r="304">
      <c r="A304" s="15">
        <f>Catalog!D277</f>
        <v/>
      </c>
      <c r="B304" s="15">
        <f>Catalog!F277</f>
        <v/>
      </c>
      <c r="C304" s="15">
        <f>IF(Catalog!I277="","",Catalog!I277)&amp;IF(AND(Catalog!I277&lt;&gt;"",Catalog!J277&lt;&gt;""),"; ","")&amp;IF(Catalog!J277="","",Catalog!J277)</f>
        <v/>
      </c>
      <c r="D304" s="15">
        <f>Catalog!P277</f>
        <v/>
      </c>
      <c r="E304" s="15">
        <f>Catalog!R277</f>
        <v/>
      </c>
      <c r="F304" s="15">
        <f>Catalog!M277</f>
        <v/>
      </c>
      <c r="G304" s="15">
        <f>Catalog!K277</f>
        <v/>
      </c>
      <c r="H304" s="15">
        <f>IF(Catalog!S277&lt;&gt;"","ISBN:"&amp;Catalog!S277,IF(Catalog!T277&lt;&gt;"","ISSN:"&amp;Catalog!T277,""))</f>
        <v/>
      </c>
      <c r="I304" s="15">
        <f>Catalog!B277</f>
        <v/>
      </c>
      <c r="J304" s="15">
        <f>Catalog!L277</f>
        <v/>
      </c>
      <c r="K304" s="15">
        <f>IF(Catalog!AG277&lt;&gt;"",Catalog!AG277,Catalog!AE277)</f>
        <v/>
      </c>
      <c r="L304" s="15">
        <f>Catalog!AD277</f>
        <v/>
      </c>
      <c r="M304" s="15">
        <f>Catalog!V277</f>
        <v/>
      </c>
      <c r="N304" s="15">
        <f>Catalog!Q277</f>
        <v/>
      </c>
      <c r="O304" s="15">
        <f>Catalog!AF277</f>
        <v/>
      </c>
    </row>
    <row r="305">
      <c r="A305" s="15">
        <f>Catalog!D278</f>
        <v/>
      </c>
      <c r="B305" s="15">
        <f>Catalog!F278</f>
        <v/>
      </c>
      <c r="C305" s="15">
        <f>IF(Catalog!I278="","",Catalog!I278)&amp;IF(AND(Catalog!I278&lt;&gt;"",Catalog!J278&lt;&gt;""),"; ","")&amp;IF(Catalog!J278="","",Catalog!J278)</f>
        <v/>
      </c>
      <c r="D305" s="15">
        <f>Catalog!P278</f>
        <v/>
      </c>
      <c r="E305" s="15">
        <f>Catalog!R278</f>
        <v/>
      </c>
      <c r="F305" s="15">
        <f>Catalog!M278</f>
        <v/>
      </c>
      <c r="G305" s="15">
        <f>Catalog!K278</f>
        <v/>
      </c>
      <c r="H305" s="15">
        <f>IF(Catalog!S278&lt;&gt;"","ISBN:"&amp;Catalog!S278,IF(Catalog!T278&lt;&gt;"","ISSN:"&amp;Catalog!T278,""))</f>
        <v/>
      </c>
      <c r="I305" s="15">
        <f>Catalog!B278</f>
        <v/>
      </c>
      <c r="J305" s="15">
        <f>Catalog!L278</f>
        <v/>
      </c>
      <c r="K305" s="15">
        <f>IF(Catalog!AG278&lt;&gt;"",Catalog!AG278,Catalog!AE278)</f>
        <v/>
      </c>
      <c r="L305" s="15">
        <f>Catalog!AD278</f>
        <v/>
      </c>
      <c r="M305" s="15">
        <f>Catalog!V278</f>
        <v/>
      </c>
      <c r="N305" s="15">
        <f>Catalog!Q278</f>
        <v/>
      </c>
      <c r="O305" s="15">
        <f>Catalog!AF278</f>
        <v/>
      </c>
    </row>
    <row r="306">
      <c r="A306" s="15">
        <f>Catalog!D279</f>
        <v/>
      </c>
      <c r="B306" s="15">
        <f>Catalog!F279</f>
        <v/>
      </c>
      <c r="C306" s="15">
        <f>IF(Catalog!I279="","",Catalog!I279)&amp;IF(AND(Catalog!I279&lt;&gt;"",Catalog!J279&lt;&gt;""),"; ","")&amp;IF(Catalog!J279="","",Catalog!J279)</f>
        <v/>
      </c>
      <c r="D306" s="15">
        <f>Catalog!P279</f>
        <v/>
      </c>
      <c r="E306" s="15">
        <f>Catalog!R279</f>
        <v/>
      </c>
      <c r="F306" s="15">
        <f>Catalog!M279</f>
        <v/>
      </c>
      <c r="G306" s="15">
        <f>Catalog!K279</f>
        <v/>
      </c>
      <c r="H306" s="15">
        <f>IF(Catalog!S279&lt;&gt;"","ISBN:"&amp;Catalog!S279,IF(Catalog!T279&lt;&gt;"","ISSN:"&amp;Catalog!T279,""))</f>
        <v/>
      </c>
      <c r="I306" s="15">
        <f>Catalog!B279</f>
        <v/>
      </c>
      <c r="J306" s="15">
        <f>Catalog!L279</f>
        <v/>
      </c>
      <c r="K306" s="15">
        <f>IF(Catalog!AG279&lt;&gt;"",Catalog!AG279,Catalog!AE279)</f>
        <v/>
      </c>
      <c r="L306" s="15">
        <f>Catalog!AD279</f>
        <v/>
      </c>
      <c r="M306" s="15">
        <f>Catalog!V279</f>
        <v/>
      </c>
      <c r="N306" s="15">
        <f>Catalog!Q279</f>
        <v/>
      </c>
      <c r="O306" s="15">
        <f>Catalog!AF279</f>
        <v/>
      </c>
    </row>
    <row r="307">
      <c r="A307" s="15">
        <f>Catalog!D280</f>
        <v/>
      </c>
      <c r="B307" s="15">
        <f>Catalog!F280</f>
        <v/>
      </c>
      <c r="C307" s="15">
        <f>IF(Catalog!I280="","",Catalog!I280)&amp;IF(AND(Catalog!I280&lt;&gt;"",Catalog!J280&lt;&gt;""),"; ","")&amp;IF(Catalog!J280="","",Catalog!J280)</f>
        <v/>
      </c>
      <c r="D307" s="15">
        <f>Catalog!P280</f>
        <v/>
      </c>
      <c r="E307" s="15">
        <f>Catalog!R280</f>
        <v/>
      </c>
      <c r="F307" s="15">
        <f>Catalog!M280</f>
        <v/>
      </c>
      <c r="G307" s="15">
        <f>Catalog!K280</f>
        <v/>
      </c>
      <c r="H307" s="15">
        <f>IF(Catalog!S280&lt;&gt;"","ISBN:"&amp;Catalog!S280,IF(Catalog!T280&lt;&gt;"","ISSN:"&amp;Catalog!T280,""))</f>
        <v/>
      </c>
      <c r="I307" s="15">
        <f>Catalog!B280</f>
        <v/>
      </c>
      <c r="J307" s="15">
        <f>Catalog!L280</f>
        <v/>
      </c>
      <c r="K307" s="15">
        <f>IF(Catalog!AG280&lt;&gt;"",Catalog!AG280,Catalog!AE280)</f>
        <v/>
      </c>
      <c r="L307" s="15">
        <f>Catalog!AD280</f>
        <v/>
      </c>
      <c r="M307" s="15">
        <f>Catalog!V280</f>
        <v/>
      </c>
      <c r="N307" s="15">
        <f>Catalog!Q280</f>
        <v/>
      </c>
      <c r="O307" s="15">
        <f>Catalog!AF280</f>
        <v/>
      </c>
    </row>
    <row r="308">
      <c r="A308" s="15">
        <f>Catalog!D281</f>
        <v/>
      </c>
      <c r="B308" s="15">
        <f>Catalog!F281</f>
        <v/>
      </c>
      <c r="C308" s="15">
        <f>IF(Catalog!I281="","",Catalog!I281)&amp;IF(AND(Catalog!I281&lt;&gt;"",Catalog!J281&lt;&gt;""),"; ","")&amp;IF(Catalog!J281="","",Catalog!J281)</f>
        <v/>
      </c>
      <c r="D308" s="15">
        <f>Catalog!P281</f>
        <v/>
      </c>
      <c r="E308" s="15">
        <f>Catalog!R281</f>
        <v/>
      </c>
      <c r="F308" s="15">
        <f>Catalog!M281</f>
        <v/>
      </c>
      <c r="G308" s="15">
        <f>Catalog!K281</f>
        <v/>
      </c>
      <c r="H308" s="15">
        <f>IF(Catalog!S281&lt;&gt;"","ISBN:"&amp;Catalog!S281,IF(Catalog!T281&lt;&gt;"","ISSN:"&amp;Catalog!T281,""))</f>
        <v/>
      </c>
      <c r="I308" s="15">
        <f>Catalog!B281</f>
        <v/>
      </c>
      <c r="J308" s="15">
        <f>Catalog!L281</f>
        <v/>
      </c>
      <c r="K308" s="15">
        <f>IF(Catalog!AG281&lt;&gt;"",Catalog!AG281,Catalog!AE281)</f>
        <v/>
      </c>
      <c r="L308" s="15">
        <f>Catalog!AD281</f>
        <v/>
      </c>
      <c r="M308" s="15">
        <f>Catalog!V281</f>
        <v/>
      </c>
      <c r="N308" s="15">
        <f>Catalog!Q281</f>
        <v/>
      </c>
      <c r="O308" s="15">
        <f>Catalog!AF281</f>
        <v/>
      </c>
    </row>
    <row r="309">
      <c r="A309" s="15">
        <f>Catalog!D282</f>
        <v/>
      </c>
      <c r="B309" s="15">
        <f>Catalog!F282</f>
        <v/>
      </c>
      <c r="C309" s="15">
        <f>IF(Catalog!I282="","",Catalog!I282)&amp;IF(AND(Catalog!I282&lt;&gt;"",Catalog!J282&lt;&gt;""),"; ","")&amp;IF(Catalog!J282="","",Catalog!J282)</f>
        <v/>
      </c>
      <c r="D309" s="15">
        <f>Catalog!P282</f>
        <v/>
      </c>
      <c r="E309" s="15">
        <f>Catalog!R282</f>
        <v/>
      </c>
      <c r="F309" s="15">
        <f>Catalog!M282</f>
        <v/>
      </c>
      <c r="G309" s="15">
        <f>Catalog!K282</f>
        <v/>
      </c>
      <c r="H309" s="15">
        <f>IF(Catalog!S282&lt;&gt;"","ISBN:"&amp;Catalog!S282,IF(Catalog!T282&lt;&gt;"","ISSN:"&amp;Catalog!T282,""))</f>
        <v/>
      </c>
      <c r="I309" s="15">
        <f>Catalog!B282</f>
        <v/>
      </c>
      <c r="J309" s="15">
        <f>Catalog!L282</f>
        <v/>
      </c>
      <c r="K309" s="15">
        <f>IF(Catalog!AG282&lt;&gt;"",Catalog!AG282,Catalog!AE282)</f>
        <v/>
      </c>
      <c r="L309" s="15">
        <f>Catalog!AD282</f>
        <v/>
      </c>
      <c r="M309" s="15">
        <f>Catalog!V282</f>
        <v/>
      </c>
      <c r="N309" s="15">
        <f>Catalog!Q282</f>
        <v/>
      </c>
      <c r="O309" s="15">
        <f>Catalog!AF282</f>
        <v/>
      </c>
    </row>
    <row r="310">
      <c r="A310" s="15">
        <f>Catalog!D283</f>
        <v/>
      </c>
      <c r="B310" s="15">
        <f>Catalog!F283</f>
        <v/>
      </c>
      <c r="C310" s="15">
        <f>IF(Catalog!I283="","",Catalog!I283)&amp;IF(AND(Catalog!I283&lt;&gt;"",Catalog!J283&lt;&gt;""),"; ","")&amp;IF(Catalog!J283="","",Catalog!J283)</f>
        <v/>
      </c>
      <c r="D310" s="15">
        <f>Catalog!P283</f>
        <v/>
      </c>
      <c r="E310" s="15">
        <f>Catalog!R283</f>
        <v/>
      </c>
      <c r="F310" s="15">
        <f>Catalog!M283</f>
        <v/>
      </c>
      <c r="G310" s="15">
        <f>Catalog!K283</f>
        <v/>
      </c>
      <c r="H310" s="15">
        <f>IF(Catalog!S283&lt;&gt;"","ISBN:"&amp;Catalog!S283,IF(Catalog!T283&lt;&gt;"","ISSN:"&amp;Catalog!T283,""))</f>
        <v/>
      </c>
      <c r="I310" s="15">
        <f>Catalog!B283</f>
        <v/>
      </c>
      <c r="J310" s="15">
        <f>Catalog!L283</f>
        <v/>
      </c>
      <c r="K310" s="15">
        <f>IF(Catalog!AG283&lt;&gt;"",Catalog!AG283,Catalog!AE283)</f>
        <v/>
      </c>
      <c r="L310" s="15">
        <f>Catalog!AD283</f>
        <v/>
      </c>
      <c r="M310" s="15">
        <f>Catalog!V283</f>
        <v/>
      </c>
      <c r="N310" s="15">
        <f>Catalog!Q283</f>
        <v/>
      </c>
      <c r="O310" s="15">
        <f>Catalog!AF283</f>
        <v/>
      </c>
    </row>
    <row r="311">
      <c r="A311" s="15">
        <f>Catalog!D284</f>
        <v/>
      </c>
      <c r="B311" s="15">
        <f>Catalog!F284</f>
        <v/>
      </c>
      <c r="C311" s="15">
        <f>IF(Catalog!I284="","",Catalog!I284)&amp;IF(AND(Catalog!I284&lt;&gt;"",Catalog!J284&lt;&gt;""),"; ","")&amp;IF(Catalog!J284="","",Catalog!J284)</f>
        <v/>
      </c>
      <c r="D311" s="15">
        <f>Catalog!P284</f>
        <v/>
      </c>
      <c r="E311" s="15">
        <f>Catalog!R284</f>
        <v/>
      </c>
      <c r="F311" s="15">
        <f>Catalog!M284</f>
        <v/>
      </c>
      <c r="G311" s="15">
        <f>Catalog!K284</f>
        <v/>
      </c>
      <c r="H311" s="15">
        <f>IF(Catalog!S284&lt;&gt;"","ISBN:"&amp;Catalog!S284,IF(Catalog!T284&lt;&gt;"","ISSN:"&amp;Catalog!T284,""))</f>
        <v/>
      </c>
      <c r="I311" s="15">
        <f>Catalog!B284</f>
        <v/>
      </c>
      <c r="J311" s="15">
        <f>Catalog!L284</f>
        <v/>
      </c>
      <c r="K311" s="15">
        <f>IF(Catalog!AG284&lt;&gt;"",Catalog!AG284,Catalog!AE284)</f>
        <v/>
      </c>
      <c r="L311" s="15">
        <f>Catalog!AD284</f>
        <v/>
      </c>
      <c r="M311" s="15">
        <f>Catalog!V284</f>
        <v/>
      </c>
      <c r="N311" s="15">
        <f>Catalog!Q284</f>
        <v/>
      </c>
      <c r="O311" s="15">
        <f>Catalog!AF284</f>
        <v/>
      </c>
    </row>
    <row r="312">
      <c r="A312" s="15">
        <f>Catalog!D285</f>
        <v/>
      </c>
      <c r="B312" s="15">
        <f>Catalog!F285</f>
        <v/>
      </c>
      <c r="C312" s="15">
        <f>IF(Catalog!I285="","",Catalog!I285)&amp;IF(AND(Catalog!I285&lt;&gt;"",Catalog!J285&lt;&gt;""),"; ","")&amp;IF(Catalog!J285="","",Catalog!J285)</f>
        <v/>
      </c>
      <c r="D312" s="15">
        <f>Catalog!P285</f>
        <v/>
      </c>
      <c r="E312" s="15">
        <f>Catalog!R285</f>
        <v/>
      </c>
      <c r="F312" s="15">
        <f>Catalog!M285</f>
        <v/>
      </c>
      <c r="G312" s="15">
        <f>Catalog!K285</f>
        <v/>
      </c>
      <c r="H312" s="15">
        <f>IF(Catalog!S285&lt;&gt;"","ISBN:"&amp;Catalog!S285,IF(Catalog!T285&lt;&gt;"","ISSN:"&amp;Catalog!T285,""))</f>
        <v/>
      </c>
      <c r="I312" s="15">
        <f>Catalog!B285</f>
        <v/>
      </c>
      <c r="J312" s="15">
        <f>Catalog!L285</f>
        <v/>
      </c>
      <c r="K312" s="15">
        <f>IF(Catalog!AG285&lt;&gt;"",Catalog!AG285,Catalog!AE285)</f>
        <v/>
      </c>
      <c r="L312" s="15">
        <f>Catalog!AD285</f>
        <v/>
      </c>
      <c r="M312" s="15">
        <f>Catalog!V285</f>
        <v/>
      </c>
      <c r="N312" s="15">
        <f>Catalog!Q285</f>
        <v/>
      </c>
      <c r="O312" s="15">
        <f>Catalog!AF285</f>
        <v/>
      </c>
    </row>
    <row r="313">
      <c r="A313" s="15">
        <f>Catalog!D286</f>
        <v/>
      </c>
      <c r="B313" s="15">
        <f>Catalog!F286</f>
        <v/>
      </c>
      <c r="C313" s="15">
        <f>IF(Catalog!I286="","",Catalog!I286)&amp;IF(AND(Catalog!I286&lt;&gt;"",Catalog!J286&lt;&gt;""),"; ","")&amp;IF(Catalog!J286="","",Catalog!J286)</f>
        <v/>
      </c>
      <c r="D313" s="15">
        <f>Catalog!P286</f>
        <v/>
      </c>
      <c r="E313" s="15">
        <f>Catalog!R286</f>
        <v/>
      </c>
      <c r="F313" s="15">
        <f>Catalog!M286</f>
        <v/>
      </c>
      <c r="G313" s="15">
        <f>Catalog!K286</f>
        <v/>
      </c>
      <c r="H313" s="15">
        <f>IF(Catalog!S286&lt;&gt;"","ISBN:"&amp;Catalog!S286,IF(Catalog!T286&lt;&gt;"","ISSN:"&amp;Catalog!T286,""))</f>
        <v/>
      </c>
      <c r="I313" s="15">
        <f>Catalog!B286</f>
        <v/>
      </c>
      <c r="J313" s="15">
        <f>Catalog!L286</f>
        <v/>
      </c>
      <c r="K313" s="15">
        <f>IF(Catalog!AG286&lt;&gt;"",Catalog!AG286,Catalog!AE286)</f>
        <v/>
      </c>
      <c r="L313" s="15">
        <f>Catalog!AD286</f>
        <v/>
      </c>
      <c r="M313" s="15">
        <f>Catalog!V286</f>
        <v/>
      </c>
      <c r="N313" s="15">
        <f>Catalog!Q286</f>
        <v/>
      </c>
      <c r="O313" s="15">
        <f>Catalog!AF286</f>
        <v/>
      </c>
    </row>
    <row r="314">
      <c r="A314" s="15">
        <f>Catalog!D287</f>
        <v/>
      </c>
      <c r="B314" s="15">
        <f>Catalog!F287</f>
        <v/>
      </c>
      <c r="C314" s="15">
        <f>IF(Catalog!I287="","",Catalog!I287)&amp;IF(AND(Catalog!I287&lt;&gt;"",Catalog!J287&lt;&gt;""),"; ","")&amp;IF(Catalog!J287="","",Catalog!J287)</f>
        <v/>
      </c>
      <c r="D314" s="15">
        <f>Catalog!P287</f>
        <v/>
      </c>
      <c r="E314" s="15">
        <f>Catalog!R287</f>
        <v/>
      </c>
      <c r="F314" s="15">
        <f>Catalog!M287</f>
        <v/>
      </c>
      <c r="G314" s="15">
        <f>Catalog!K287</f>
        <v/>
      </c>
      <c r="H314" s="15">
        <f>IF(Catalog!S287&lt;&gt;"","ISBN:"&amp;Catalog!S287,IF(Catalog!T287&lt;&gt;"","ISSN:"&amp;Catalog!T287,""))</f>
        <v/>
      </c>
      <c r="I314" s="15">
        <f>Catalog!B287</f>
        <v/>
      </c>
      <c r="J314" s="15">
        <f>Catalog!L287</f>
        <v/>
      </c>
      <c r="K314" s="15">
        <f>IF(Catalog!AG287&lt;&gt;"",Catalog!AG287,Catalog!AE287)</f>
        <v/>
      </c>
      <c r="L314" s="15">
        <f>Catalog!AD287</f>
        <v/>
      </c>
      <c r="M314" s="15">
        <f>Catalog!V287</f>
        <v/>
      </c>
      <c r="N314" s="15">
        <f>Catalog!Q287</f>
        <v/>
      </c>
      <c r="O314" s="15">
        <f>Catalog!AF287</f>
        <v/>
      </c>
    </row>
    <row r="315">
      <c r="A315" s="15">
        <f>Catalog!D288</f>
        <v/>
      </c>
      <c r="B315" s="15">
        <f>Catalog!F288</f>
        <v/>
      </c>
      <c r="C315" s="15">
        <f>IF(Catalog!I288="","",Catalog!I288)&amp;IF(AND(Catalog!I288&lt;&gt;"",Catalog!J288&lt;&gt;""),"; ","")&amp;IF(Catalog!J288="","",Catalog!J288)</f>
        <v/>
      </c>
      <c r="D315" s="15">
        <f>Catalog!P288</f>
        <v/>
      </c>
      <c r="E315" s="15">
        <f>Catalog!R288</f>
        <v/>
      </c>
      <c r="F315" s="15">
        <f>Catalog!M288</f>
        <v/>
      </c>
      <c r="G315" s="15">
        <f>Catalog!K288</f>
        <v/>
      </c>
      <c r="H315" s="15">
        <f>IF(Catalog!S288&lt;&gt;"","ISBN:"&amp;Catalog!S288,IF(Catalog!T288&lt;&gt;"","ISSN:"&amp;Catalog!T288,""))</f>
        <v/>
      </c>
      <c r="I315" s="15">
        <f>Catalog!B288</f>
        <v/>
      </c>
      <c r="J315" s="15">
        <f>Catalog!L288</f>
        <v/>
      </c>
      <c r="K315" s="15">
        <f>IF(Catalog!AG288&lt;&gt;"",Catalog!AG288,Catalog!AE288)</f>
        <v/>
      </c>
      <c r="L315" s="15">
        <f>Catalog!AD288</f>
        <v/>
      </c>
      <c r="M315" s="15">
        <f>Catalog!V288</f>
        <v/>
      </c>
      <c r="N315" s="15">
        <f>Catalog!Q288</f>
        <v/>
      </c>
      <c r="O315" s="15">
        <f>Catalog!AF288</f>
        <v/>
      </c>
    </row>
    <row r="316">
      <c r="A316" s="15">
        <f>Catalog!D289</f>
        <v/>
      </c>
      <c r="B316" s="15">
        <f>Catalog!F289</f>
        <v/>
      </c>
      <c r="C316" s="15">
        <f>IF(Catalog!I289="","",Catalog!I289)&amp;IF(AND(Catalog!I289&lt;&gt;"",Catalog!J289&lt;&gt;""),"; ","")&amp;IF(Catalog!J289="","",Catalog!J289)</f>
        <v/>
      </c>
      <c r="D316" s="15">
        <f>Catalog!P289</f>
        <v/>
      </c>
      <c r="E316" s="15">
        <f>Catalog!R289</f>
        <v/>
      </c>
      <c r="F316" s="15">
        <f>Catalog!M289</f>
        <v/>
      </c>
      <c r="G316" s="15">
        <f>Catalog!K289</f>
        <v/>
      </c>
      <c r="H316" s="15">
        <f>IF(Catalog!S289&lt;&gt;"","ISBN:"&amp;Catalog!S289,IF(Catalog!T289&lt;&gt;"","ISSN:"&amp;Catalog!T289,""))</f>
        <v/>
      </c>
      <c r="I316" s="15">
        <f>Catalog!B289</f>
        <v/>
      </c>
      <c r="J316" s="15">
        <f>Catalog!L289</f>
        <v/>
      </c>
      <c r="K316" s="15">
        <f>IF(Catalog!AG289&lt;&gt;"",Catalog!AG289,Catalog!AE289)</f>
        <v/>
      </c>
      <c r="L316" s="15">
        <f>Catalog!AD289</f>
        <v/>
      </c>
      <c r="M316" s="15">
        <f>Catalog!V289</f>
        <v/>
      </c>
      <c r="N316" s="15">
        <f>Catalog!Q289</f>
        <v/>
      </c>
      <c r="O316" s="15">
        <f>Catalog!AF289</f>
        <v/>
      </c>
    </row>
    <row r="317">
      <c r="A317" s="15">
        <f>Catalog!D290</f>
        <v/>
      </c>
      <c r="B317" s="15">
        <f>Catalog!F290</f>
        <v/>
      </c>
      <c r="C317" s="15">
        <f>IF(Catalog!I290="","",Catalog!I290)&amp;IF(AND(Catalog!I290&lt;&gt;"",Catalog!J290&lt;&gt;""),"; ","")&amp;IF(Catalog!J290="","",Catalog!J290)</f>
        <v/>
      </c>
      <c r="D317" s="15">
        <f>Catalog!P290</f>
        <v/>
      </c>
      <c r="E317" s="15">
        <f>Catalog!R290</f>
        <v/>
      </c>
      <c r="F317" s="15">
        <f>Catalog!M290</f>
        <v/>
      </c>
      <c r="G317" s="15">
        <f>Catalog!K290</f>
        <v/>
      </c>
      <c r="H317" s="15">
        <f>IF(Catalog!S290&lt;&gt;"","ISBN:"&amp;Catalog!S290,IF(Catalog!T290&lt;&gt;"","ISSN:"&amp;Catalog!T290,""))</f>
        <v/>
      </c>
      <c r="I317" s="15">
        <f>Catalog!B290</f>
        <v/>
      </c>
      <c r="J317" s="15">
        <f>Catalog!L290</f>
        <v/>
      </c>
      <c r="K317" s="15">
        <f>IF(Catalog!AG290&lt;&gt;"",Catalog!AG290,Catalog!AE290)</f>
        <v/>
      </c>
      <c r="L317" s="15">
        <f>Catalog!AD290</f>
        <v/>
      </c>
      <c r="M317" s="15">
        <f>Catalog!V290</f>
        <v/>
      </c>
      <c r="N317" s="15">
        <f>Catalog!Q290</f>
        <v/>
      </c>
      <c r="O317" s="15">
        <f>Catalog!AF290</f>
        <v/>
      </c>
    </row>
    <row r="318">
      <c r="A318" s="15">
        <f>Catalog!D291</f>
        <v/>
      </c>
      <c r="B318" s="15">
        <f>Catalog!F291</f>
        <v/>
      </c>
      <c r="C318" s="15">
        <f>IF(Catalog!I291="","",Catalog!I291)&amp;IF(AND(Catalog!I291&lt;&gt;"",Catalog!J291&lt;&gt;""),"; ","")&amp;IF(Catalog!J291="","",Catalog!J291)</f>
        <v/>
      </c>
      <c r="D318" s="15">
        <f>Catalog!P291</f>
        <v/>
      </c>
      <c r="E318" s="15">
        <f>Catalog!R291</f>
        <v/>
      </c>
      <c r="F318" s="15">
        <f>Catalog!M291</f>
        <v/>
      </c>
      <c r="G318" s="15">
        <f>Catalog!K291</f>
        <v/>
      </c>
      <c r="H318" s="15">
        <f>IF(Catalog!S291&lt;&gt;"","ISBN:"&amp;Catalog!S291,IF(Catalog!T291&lt;&gt;"","ISSN:"&amp;Catalog!T291,""))</f>
        <v/>
      </c>
      <c r="I318" s="15">
        <f>Catalog!B291</f>
        <v/>
      </c>
      <c r="J318" s="15">
        <f>Catalog!L291</f>
        <v/>
      </c>
      <c r="K318" s="15">
        <f>IF(Catalog!AG291&lt;&gt;"",Catalog!AG291,Catalog!AE291)</f>
        <v/>
      </c>
      <c r="L318" s="15">
        <f>Catalog!AD291</f>
        <v/>
      </c>
      <c r="M318" s="15">
        <f>Catalog!V291</f>
        <v/>
      </c>
      <c r="N318" s="15">
        <f>Catalog!Q291</f>
        <v/>
      </c>
      <c r="O318" s="15">
        <f>Catalog!AF291</f>
        <v/>
      </c>
    </row>
    <row r="319">
      <c r="A319" s="15">
        <f>Catalog!D292</f>
        <v/>
      </c>
      <c r="B319" s="15">
        <f>Catalog!F292</f>
        <v/>
      </c>
      <c r="C319" s="15">
        <f>IF(Catalog!I292="","",Catalog!I292)&amp;IF(AND(Catalog!I292&lt;&gt;"",Catalog!J292&lt;&gt;""),"; ","")&amp;IF(Catalog!J292="","",Catalog!J292)</f>
        <v/>
      </c>
      <c r="D319" s="15">
        <f>Catalog!P292</f>
        <v/>
      </c>
      <c r="E319" s="15">
        <f>Catalog!R292</f>
        <v/>
      </c>
      <c r="F319" s="15">
        <f>Catalog!M292</f>
        <v/>
      </c>
      <c r="G319" s="15">
        <f>Catalog!K292</f>
        <v/>
      </c>
      <c r="H319" s="15">
        <f>IF(Catalog!S292&lt;&gt;"","ISBN:"&amp;Catalog!S292,IF(Catalog!T292&lt;&gt;"","ISSN:"&amp;Catalog!T292,""))</f>
        <v/>
      </c>
      <c r="I319" s="15">
        <f>Catalog!B292</f>
        <v/>
      </c>
      <c r="J319" s="15">
        <f>Catalog!L292</f>
        <v/>
      </c>
      <c r="K319" s="15">
        <f>IF(Catalog!AG292&lt;&gt;"",Catalog!AG292,Catalog!AE292)</f>
        <v/>
      </c>
      <c r="L319" s="15">
        <f>Catalog!AD292</f>
        <v/>
      </c>
      <c r="M319" s="15">
        <f>Catalog!V292</f>
        <v/>
      </c>
      <c r="N319" s="15">
        <f>Catalog!Q292</f>
        <v/>
      </c>
      <c r="O319" s="15">
        <f>Catalog!AF292</f>
        <v/>
      </c>
    </row>
    <row r="320">
      <c r="A320" s="15">
        <f>Catalog!D293</f>
        <v/>
      </c>
      <c r="B320" s="15">
        <f>Catalog!F293</f>
        <v/>
      </c>
      <c r="C320" s="15">
        <f>IF(Catalog!I293="","",Catalog!I293)&amp;IF(AND(Catalog!I293&lt;&gt;"",Catalog!J293&lt;&gt;""),"; ","")&amp;IF(Catalog!J293="","",Catalog!J293)</f>
        <v/>
      </c>
      <c r="D320" s="15">
        <f>Catalog!P293</f>
        <v/>
      </c>
      <c r="E320" s="15">
        <f>Catalog!R293</f>
        <v/>
      </c>
      <c r="F320" s="15">
        <f>Catalog!M293</f>
        <v/>
      </c>
      <c r="G320" s="15">
        <f>Catalog!K293</f>
        <v/>
      </c>
      <c r="H320" s="15">
        <f>IF(Catalog!S293&lt;&gt;"","ISBN:"&amp;Catalog!S293,IF(Catalog!T293&lt;&gt;"","ISSN:"&amp;Catalog!T293,""))</f>
        <v/>
      </c>
      <c r="I320" s="15">
        <f>Catalog!B293</f>
        <v/>
      </c>
      <c r="J320" s="15">
        <f>Catalog!L293</f>
        <v/>
      </c>
      <c r="K320" s="15">
        <f>IF(Catalog!AG293&lt;&gt;"",Catalog!AG293,Catalog!AE293)</f>
        <v/>
      </c>
      <c r="L320" s="15">
        <f>Catalog!AD293</f>
        <v/>
      </c>
      <c r="M320" s="15">
        <f>Catalog!V293</f>
        <v/>
      </c>
      <c r="N320" s="15">
        <f>Catalog!Q293</f>
        <v/>
      </c>
      <c r="O320" s="15">
        <f>Catalog!AF293</f>
        <v/>
      </c>
    </row>
    <row r="321">
      <c r="A321" s="15">
        <f>Catalog!D294</f>
        <v/>
      </c>
      <c r="B321" s="15">
        <f>Catalog!F294</f>
        <v/>
      </c>
      <c r="C321" s="15">
        <f>IF(Catalog!I294="","",Catalog!I294)&amp;IF(AND(Catalog!I294&lt;&gt;"",Catalog!J294&lt;&gt;""),"; ","")&amp;IF(Catalog!J294="","",Catalog!J294)</f>
        <v/>
      </c>
      <c r="D321" s="15">
        <f>Catalog!P294</f>
        <v/>
      </c>
      <c r="E321" s="15">
        <f>Catalog!R294</f>
        <v/>
      </c>
      <c r="F321" s="15">
        <f>Catalog!M294</f>
        <v/>
      </c>
      <c r="G321" s="15">
        <f>Catalog!K294</f>
        <v/>
      </c>
      <c r="H321" s="15">
        <f>IF(Catalog!S294&lt;&gt;"","ISBN:"&amp;Catalog!S294,IF(Catalog!T294&lt;&gt;"","ISSN:"&amp;Catalog!T294,""))</f>
        <v/>
      </c>
      <c r="I321" s="15">
        <f>Catalog!B294</f>
        <v/>
      </c>
      <c r="J321" s="15">
        <f>Catalog!L294</f>
        <v/>
      </c>
      <c r="K321" s="15">
        <f>IF(Catalog!AG294&lt;&gt;"",Catalog!AG294,Catalog!AE294)</f>
        <v/>
      </c>
      <c r="L321" s="15">
        <f>Catalog!AD294</f>
        <v/>
      </c>
      <c r="M321" s="15">
        <f>Catalog!V294</f>
        <v/>
      </c>
      <c r="N321" s="15">
        <f>Catalog!Q294</f>
        <v/>
      </c>
      <c r="O321" s="15">
        <f>Catalog!AF294</f>
        <v/>
      </c>
    </row>
    <row r="322">
      <c r="A322" s="15">
        <f>Catalog!D295</f>
        <v/>
      </c>
      <c r="B322" s="15">
        <f>Catalog!F295</f>
        <v/>
      </c>
      <c r="C322" s="15">
        <f>IF(Catalog!I295="","",Catalog!I295)&amp;IF(AND(Catalog!I295&lt;&gt;"",Catalog!J295&lt;&gt;""),"; ","")&amp;IF(Catalog!J295="","",Catalog!J295)</f>
        <v/>
      </c>
      <c r="D322" s="15">
        <f>Catalog!P295</f>
        <v/>
      </c>
      <c r="E322" s="15">
        <f>Catalog!R295</f>
        <v/>
      </c>
      <c r="F322" s="15">
        <f>Catalog!M295</f>
        <v/>
      </c>
      <c r="G322" s="15">
        <f>Catalog!K295</f>
        <v/>
      </c>
      <c r="H322" s="15">
        <f>IF(Catalog!S295&lt;&gt;"","ISBN:"&amp;Catalog!S295,IF(Catalog!T295&lt;&gt;"","ISSN:"&amp;Catalog!T295,""))</f>
        <v/>
      </c>
      <c r="I322" s="15">
        <f>Catalog!B295</f>
        <v/>
      </c>
      <c r="J322" s="15">
        <f>Catalog!L295</f>
        <v/>
      </c>
      <c r="K322" s="15">
        <f>IF(Catalog!AG295&lt;&gt;"",Catalog!AG295,Catalog!AE295)</f>
        <v/>
      </c>
      <c r="L322" s="15">
        <f>Catalog!AD295</f>
        <v/>
      </c>
      <c r="M322" s="15">
        <f>Catalog!V295</f>
        <v/>
      </c>
      <c r="N322" s="15">
        <f>Catalog!Q295</f>
        <v/>
      </c>
      <c r="O322" s="15">
        <f>Catalog!AF295</f>
        <v/>
      </c>
    </row>
    <row r="323">
      <c r="A323" s="15">
        <f>Catalog!D296</f>
        <v/>
      </c>
      <c r="B323" s="15">
        <f>Catalog!F296</f>
        <v/>
      </c>
      <c r="C323" s="15">
        <f>IF(Catalog!I296="","",Catalog!I296)&amp;IF(AND(Catalog!I296&lt;&gt;"",Catalog!J296&lt;&gt;""),"; ","")&amp;IF(Catalog!J296="","",Catalog!J296)</f>
        <v/>
      </c>
      <c r="D323" s="15">
        <f>Catalog!P296</f>
        <v/>
      </c>
      <c r="E323" s="15">
        <f>Catalog!R296</f>
        <v/>
      </c>
      <c r="F323" s="15">
        <f>Catalog!M296</f>
        <v/>
      </c>
      <c r="G323" s="15">
        <f>Catalog!K296</f>
        <v/>
      </c>
      <c r="H323" s="15">
        <f>IF(Catalog!S296&lt;&gt;"","ISBN:"&amp;Catalog!S296,IF(Catalog!T296&lt;&gt;"","ISSN:"&amp;Catalog!T296,""))</f>
        <v/>
      </c>
      <c r="I323" s="15">
        <f>Catalog!B296</f>
        <v/>
      </c>
      <c r="J323" s="15">
        <f>Catalog!L296</f>
        <v/>
      </c>
      <c r="K323" s="15">
        <f>IF(Catalog!AG296&lt;&gt;"",Catalog!AG296,Catalog!AE296)</f>
        <v/>
      </c>
      <c r="L323" s="15">
        <f>Catalog!AD296</f>
        <v/>
      </c>
      <c r="M323" s="15">
        <f>Catalog!V296</f>
        <v/>
      </c>
      <c r="N323" s="15">
        <f>Catalog!Q296</f>
        <v/>
      </c>
      <c r="O323" s="15">
        <f>Catalog!AF296</f>
        <v/>
      </c>
    </row>
    <row r="324">
      <c r="A324" s="15">
        <f>Catalog!D297</f>
        <v/>
      </c>
      <c r="B324" s="15">
        <f>Catalog!F297</f>
        <v/>
      </c>
      <c r="C324" s="15">
        <f>IF(Catalog!I297="","",Catalog!I297)&amp;IF(AND(Catalog!I297&lt;&gt;"",Catalog!J297&lt;&gt;""),"; ","")&amp;IF(Catalog!J297="","",Catalog!J297)</f>
        <v/>
      </c>
      <c r="D324" s="15">
        <f>Catalog!P297</f>
        <v/>
      </c>
      <c r="E324" s="15">
        <f>Catalog!R297</f>
        <v/>
      </c>
      <c r="F324" s="15">
        <f>Catalog!M297</f>
        <v/>
      </c>
      <c r="G324" s="15">
        <f>Catalog!K297</f>
        <v/>
      </c>
      <c r="H324" s="15">
        <f>IF(Catalog!S297&lt;&gt;"","ISBN:"&amp;Catalog!S297,IF(Catalog!T297&lt;&gt;"","ISSN:"&amp;Catalog!T297,""))</f>
        <v/>
      </c>
      <c r="I324" s="15">
        <f>Catalog!B297</f>
        <v/>
      </c>
      <c r="J324" s="15">
        <f>Catalog!L297</f>
        <v/>
      </c>
      <c r="K324" s="15">
        <f>IF(Catalog!AG297&lt;&gt;"",Catalog!AG297,Catalog!AE297)</f>
        <v/>
      </c>
      <c r="L324" s="15">
        <f>Catalog!AD297</f>
        <v/>
      </c>
      <c r="M324" s="15">
        <f>Catalog!V297</f>
        <v/>
      </c>
      <c r="N324" s="15">
        <f>Catalog!Q297</f>
        <v/>
      </c>
      <c r="O324" s="15">
        <f>Catalog!AF297</f>
        <v/>
      </c>
    </row>
    <row r="325">
      <c r="A325" s="15">
        <f>Catalog!D298</f>
        <v/>
      </c>
      <c r="B325" s="15">
        <f>Catalog!F298</f>
        <v/>
      </c>
      <c r="C325" s="15">
        <f>IF(Catalog!I298="","",Catalog!I298)&amp;IF(AND(Catalog!I298&lt;&gt;"",Catalog!J298&lt;&gt;""),"; ","")&amp;IF(Catalog!J298="","",Catalog!J298)</f>
        <v/>
      </c>
      <c r="D325" s="15">
        <f>Catalog!P298</f>
        <v/>
      </c>
      <c r="E325" s="15">
        <f>Catalog!R298</f>
        <v/>
      </c>
      <c r="F325" s="15">
        <f>Catalog!M298</f>
        <v/>
      </c>
      <c r="G325" s="15">
        <f>Catalog!K298</f>
        <v/>
      </c>
      <c r="H325" s="15">
        <f>IF(Catalog!S298&lt;&gt;"","ISBN:"&amp;Catalog!S298,IF(Catalog!T298&lt;&gt;"","ISSN:"&amp;Catalog!T298,""))</f>
        <v/>
      </c>
      <c r="I325" s="15">
        <f>Catalog!B298</f>
        <v/>
      </c>
      <c r="J325" s="15">
        <f>Catalog!L298</f>
        <v/>
      </c>
      <c r="K325" s="15">
        <f>IF(Catalog!AG298&lt;&gt;"",Catalog!AG298,Catalog!AE298)</f>
        <v/>
      </c>
      <c r="L325" s="15">
        <f>Catalog!AD298</f>
        <v/>
      </c>
      <c r="M325" s="15">
        <f>Catalog!V298</f>
        <v/>
      </c>
      <c r="N325" s="15">
        <f>Catalog!Q298</f>
        <v/>
      </c>
      <c r="O325" s="15">
        <f>Catalog!AF298</f>
        <v/>
      </c>
    </row>
    <row r="326">
      <c r="A326" s="15">
        <f>Catalog!D299</f>
        <v/>
      </c>
      <c r="B326" s="15">
        <f>Catalog!F299</f>
        <v/>
      </c>
      <c r="C326" s="15">
        <f>IF(Catalog!I299="","",Catalog!I299)&amp;IF(AND(Catalog!I299&lt;&gt;"",Catalog!J299&lt;&gt;""),"; ","")&amp;IF(Catalog!J299="","",Catalog!J299)</f>
        <v/>
      </c>
      <c r="D326" s="15">
        <f>Catalog!P299</f>
        <v/>
      </c>
      <c r="E326" s="15">
        <f>Catalog!R299</f>
        <v/>
      </c>
      <c r="F326" s="15">
        <f>Catalog!M299</f>
        <v/>
      </c>
      <c r="G326" s="15">
        <f>Catalog!K299</f>
        <v/>
      </c>
      <c r="H326" s="15">
        <f>IF(Catalog!S299&lt;&gt;"","ISBN:"&amp;Catalog!S299,IF(Catalog!T299&lt;&gt;"","ISSN:"&amp;Catalog!T299,""))</f>
        <v/>
      </c>
      <c r="I326" s="15">
        <f>Catalog!B299</f>
        <v/>
      </c>
      <c r="J326" s="15">
        <f>Catalog!L299</f>
        <v/>
      </c>
      <c r="K326" s="15">
        <f>IF(Catalog!AG299&lt;&gt;"",Catalog!AG299,Catalog!AE299)</f>
        <v/>
      </c>
      <c r="L326" s="15">
        <f>Catalog!AD299</f>
        <v/>
      </c>
      <c r="M326" s="15">
        <f>Catalog!V299</f>
        <v/>
      </c>
      <c r="N326" s="15">
        <f>Catalog!Q299</f>
        <v/>
      </c>
      <c r="O326" s="15">
        <f>Catalog!AF299</f>
        <v/>
      </c>
    </row>
    <row r="327">
      <c r="A327" s="15">
        <f>Catalog!D300</f>
        <v/>
      </c>
      <c r="B327" s="15">
        <f>Catalog!F300</f>
        <v/>
      </c>
      <c r="C327" s="15">
        <f>IF(Catalog!I300="","",Catalog!I300)&amp;IF(AND(Catalog!I300&lt;&gt;"",Catalog!J300&lt;&gt;""),"; ","")&amp;IF(Catalog!J300="","",Catalog!J300)</f>
        <v/>
      </c>
      <c r="D327" s="15">
        <f>Catalog!P300</f>
        <v/>
      </c>
      <c r="E327" s="15">
        <f>Catalog!R300</f>
        <v/>
      </c>
      <c r="F327" s="15">
        <f>Catalog!M300</f>
        <v/>
      </c>
      <c r="G327" s="15">
        <f>Catalog!K300</f>
        <v/>
      </c>
      <c r="H327" s="15">
        <f>IF(Catalog!S300&lt;&gt;"","ISBN:"&amp;Catalog!S300,IF(Catalog!T300&lt;&gt;"","ISSN:"&amp;Catalog!T300,""))</f>
        <v/>
      </c>
      <c r="I327" s="15">
        <f>Catalog!B300</f>
        <v/>
      </c>
      <c r="J327" s="15">
        <f>Catalog!L300</f>
        <v/>
      </c>
      <c r="K327" s="15">
        <f>IF(Catalog!AG300&lt;&gt;"",Catalog!AG300,Catalog!AE300)</f>
        <v/>
      </c>
      <c r="L327" s="15">
        <f>Catalog!AD300</f>
        <v/>
      </c>
      <c r="M327" s="15">
        <f>Catalog!V300</f>
        <v/>
      </c>
      <c r="N327" s="15">
        <f>Catalog!Q300</f>
        <v/>
      </c>
      <c r="O327" s="15">
        <f>Catalog!AF300</f>
        <v/>
      </c>
    </row>
    <row r="328">
      <c r="A328" s="15">
        <f>Catalog!D301</f>
        <v/>
      </c>
      <c r="B328" s="15">
        <f>Catalog!F301</f>
        <v/>
      </c>
      <c r="C328" s="15">
        <f>IF(Catalog!I301="","",Catalog!I301)&amp;IF(AND(Catalog!I301&lt;&gt;"",Catalog!J301&lt;&gt;""),"; ","")&amp;IF(Catalog!J301="","",Catalog!J301)</f>
        <v/>
      </c>
      <c r="D328" s="15">
        <f>Catalog!P301</f>
        <v/>
      </c>
      <c r="E328" s="15">
        <f>Catalog!R301</f>
        <v/>
      </c>
      <c r="F328" s="15">
        <f>Catalog!M301</f>
        <v/>
      </c>
      <c r="G328" s="15">
        <f>Catalog!K301</f>
        <v/>
      </c>
      <c r="H328" s="15">
        <f>IF(Catalog!S301&lt;&gt;"","ISBN:"&amp;Catalog!S301,IF(Catalog!T301&lt;&gt;"","ISSN:"&amp;Catalog!T301,""))</f>
        <v/>
      </c>
      <c r="I328" s="15">
        <f>Catalog!B301</f>
        <v/>
      </c>
      <c r="J328" s="15">
        <f>Catalog!L301</f>
        <v/>
      </c>
      <c r="K328" s="15">
        <f>IF(Catalog!AG301&lt;&gt;"",Catalog!AG301,Catalog!AE301)</f>
        <v/>
      </c>
      <c r="L328" s="15">
        <f>Catalog!AD301</f>
        <v/>
      </c>
      <c r="M328" s="15">
        <f>Catalog!V301</f>
        <v/>
      </c>
      <c r="N328" s="15">
        <f>Catalog!Q301</f>
        <v/>
      </c>
      <c r="O328" s="15">
        <f>Catalog!AF301</f>
        <v/>
      </c>
    </row>
    <row r="329">
      <c r="A329" s="15">
        <f>Catalog!D302</f>
        <v/>
      </c>
      <c r="B329" s="15">
        <f>Catalog!F302</f>
        <v/>
      </c>
      <c r="C329" s="15">
        <f>IF(Catalog!I302="","",Catalog!I302)&amp;IF(AND(Catalog!I302&lt;&gt;"",Catalog!J302&lt;&gt;""),"; ","")&amp;IF(Catalog!J302="","",Catalog!J302)</f>
        <v/>
      </c>
      <c r="D329" s="15">
        <f>Catalog!P302</f>
        <v/>
      </c>
      <c r="E329" s="15">
        <f>Catalog!R302</f>
        <v/>
      </c>
      <c r="F329" s="15">
        <f>Catalog!M302</f>
        <v/>
      </c>
      <c r="G329" s="15">
        <f>Catalog!K302</f>
        <v/>
      </c>
      <c r="H329" s="15">
        <f>IF(Catalog!S302&lt;&gt;"","ISBN:"&amp;Catalog!S302,IF(Catalog!T302&lt;&gt;"","ISSN:"&amp;Catalog!T302,""))</f>
        <v/>
      </c>
      <c r="I329" s="15">
        <f>Catalog!B302</f>
        <v/>
      </c>
      <c r="J329" s="15">
        <f>Catalog!L302</f>
        <v/>
      </c>
      <c r="K329" s="15">
        <f>IF(Catalog!AG302&lt;&gt;"",Catalog!AG302,Catalog!AE302)</f>
        <v/>
      </c>
      <c r="L329" s="15">
        <f>Catalog!AD302</f>
        <v/>
      </c>
      <c r="M329" s="15">
        <f>Catalog!V302</f>
        <v/>
      </c>
      <c r="N329" s="15">
        <f>Catalog!Q302</f>
        <v/>
      </c>
      <c r="O329" s="15">
        <f>Catalog!AF302</f>
        <v/>
      </c>
    </row>
    <row r="330">
      <c r="A330" s="15">
        <f>Catalog!D303</f>
        <v/>
      </c>
      <c r="B330" s="15">
        <f>Catalog!F303</f>
        <v/>
      </c>
      <c r="C330" s="15">
        <f>IF(Catalog!I303="","",Catalog!I303)&amp;IF(AND(Catalog!I303&lt;&gt;"",Catalog!J303&lt;&gt;""),"; ","")&amp;IF(Catalog!J303="","",Catalog!J303)</f>
        <v/>
      </c>
      <c r="D330" s="15">
        <f>Catalog!P303</f>
        <v/>
      </c>
      <c r="E330" s="15">
        <f>Catalog!R303</f>
        <v/>
      </c>
      <c r="F330" s="15">
        <f>Catalog!M303</f>
        <v/>
      </c>
      <c r="G330" s="15">
        <f>Catalog!K303</f>
        <v/>
      </c>
      <c r="H330" s="15">
        <f>IF(Catalog!S303&lt;&gt;"","ISBN:"&amp;Catalog!S303,IF(Catalog!T303&lt;&gt;"","ISSN:"&amp;Catalog!T303,""))</f>
        <v/>
      </c>
      <c r="I330" s="15">
        <f>Catalog!B303</f>
        <v/>
      </c>
      <c r="J330" s="15">
        <f>Catalog!L303</f>
        <v/>
      </c>
      <c r="K330" s="15">
        <f>IF(Catalog!AG303&lt;&gt;"",Catalog!AG303,Catalog!AE303)</f>
        <v/>
      </c>
      <c r="L330" s="15">
        <f>Catalog!AD303</f>
        <v/>
      </c>
      <c r="M330" s="15">
        <f>Catalog!V303</f>
        <v/>
      </c>
      <c r="N330" s="15">
        <f>Catalog!Q303</f>
        <v/>
      </c>
      <c r="O330" s="15">
        <f>Catalog!AF303</f>
        <v/>
      </c>
    </row>
    <row r="331">
      <c r="A331" s="15">
        <f>Catalog!D304</f>
        <v/>
      </c>
      <c r="B331" s="15">
        <f>Catalog!F304</f>
        <v/>
      </c>
      <c r="C331" s="15">
        <f>IF(Catalog!I304="","",Catalog!I304)&amp;IF(AND(Catalog!I304&lt;&gt;"",Catalog!J304&lt;&gt;""),"; ","")&amp;IF(Catalog!J304="","",Catalog!J304)</f>
        <v/>
      </c>
      <c r="D331" s="15">
        <f>Catalog!P304</f>
        <v/>
      </c>
      <c r="E331" s="15">
        <f>Catalog!R304</f>
        <v/>
      </c>
      <c r="F331" s="15">
        <f>Catalog!M304</f>
        <v/>
      </c>
      <c r="G331" s="15">
        <f>Catalog!K304</f>
        <v/>
      </c>
      <c r="H331" s="15">
        <f>IF(Catalog!S304&lt;&gt;"","ISBN:"&amp;Catalog!S304,IF(Catalog!T304&lt;&gt;"","ISSN:"&amp;Catalog!T304,""))</f>
        <v/>
      </c>
      <c r="I331" s="15">
        <f>Catalog!B304</f>
        <v/>
      </c>
      <c r="J331" s="15">
        <f>Catalog!L304</f>
        <v/>
      </c>
      <c r="K331" s="15">
        <f>IF(Catalog!AG304&lt;&gt;"",Catalog!AG304,Catalog!AE304)</f>
        <v/>
      </c>
      <c r="L331" s="15">
        <f>Catalog!AD304</f>
        <v/>
      </c>
      <c r="M331" s="15">
        <f>Catalog!V304</f>
        <v/>
      </c>
      <c r="N331" s="15">
        <f>Catalog!Q304</f>
        <v/>
      </c>
      <c r="O331" s="15">
        <f>Catalog!AF304</f>
        <v/>
      </c>
    </row>
    <row r="332">
      <c r="A332" s="15">
        <f>Catalog!D305</f>
        <v/>
      </c>
      <c r="B332" s="15">
        <f>Catalog!F305</f>
        <v/>
      </c>
      <c r="C332" s="15">
        <f>IF(Catalog!I305="","",Catalog!I305)&amp;IF(AND(Catalog!I305&lt;&gt;"",Catalog!J305&lt;&gt;""),"; ","")&amp;IF(Catalog!J305="","",Catalog!J305)</f>
        <v/>
      </c>
      <c r="D332" s="15">
        <f>Catalog!P305</f>
        <v/>
      </c>
      <c r="E332" s="15">
        <f>Catalog!R305</f>
        <v/>
      </c>
      <c r="F332" s="15">
        <f>Catalog!M305</f>
        <v/>
      </c>
      <c r="G332" s="15">
        <f>Catalog!K305</f>
        <v/>
      </c>
      <c r="H332" s="15">
        <f>IF(Catalog!S305&lt;&gt;"","ISBN:"&amp;Catalog!S305,IF(Catalog!T305&lt;&gt;"","ISSN:"&amp;Catalog!T305,""))</f>
        <v/>
      </c>
      <c r="I332" s="15">
        <f>Catalog!B305</f>
        <v/>
      </c>
      <c r="J332" s="15">
        <f>Catalog!L305</f>
        <v/>
      </c>
      <c r="K332" s="15">
        <f>IF(Catalog!AG305&lt;&gt;"",Catalog!AG305,Catalog!AE305)</f>
        <v/>
      </c>
      <c r="L332" s="15">
        <f>Catalog!AD305</f>
        <v/>
      </c>
      <c r="M332" s="15">
        <f>Catalog!V305</f>
        <v/>
      </c>
      <c r="N332" s="15">
        <f>Catalog!Q305</f>
        <v/>
      </c>
      <c r="O332" s="15">
        <f>Catalog!AF305</f>
        <v/>
      </c>
    </row>
    <row r="333">
      <c r="A333" s="15">
        <f>Catalog!D306</f>
        <v/>
      </c>
      <c r="B333" s="15">
        <f>Catalog!F306</f>
        <v/>
      </c>
      <c r="C333" s="15">
        <f>IF(Catalog!I306="","",Catalog!I306)&amp;IF(AND(Catalog!I306&lt;&gt;"",Catalog!J306&lt;&gt;""),"; ","")&amp;IF(Catalog!J306="","",Catalog!J306)</f>
        <v/>
      </c>
      <c r="D333" s="15">
        <f>Catalog!P306</f>
        <v/>
      </c>
      <c r="E333" s="15">
        <f>Catalog!R306</f>
        <v/>
      </c>
      <c r="F333" s="15">
        <f>Catalog!M306</f>
        <v/>
      </c>
      <c r="G333" s="15">
        <f>Catalog!K306</f>
        <v/>
      </c>
      <c r="H333" s="15">
        <f>IF(Catalog!S306&lt;&gt;"","ISBN:"&amp;Catalog!S306,IF(Catalog!T306&lt;&gt;"","ISSN:"&amp;Catalog!T306,""))</f>
        <v/>
      </c>
      <c r="I333" s="15">
        <f>Catalog!B306</f>
        <v/>
      </c>
      <c r="J333" s="15">
        <f>Catalog!L306</f>
        <v/>
      </c>
      <c r="K333" s="15">
        <f>IF(Catalog!AG306&lt;&gt;"",Catalog!AG306,Catalog!AE306)</f>
        <v/>
      </c>
      <c r="L333" s="15">
        <f>Catalog!AD306</f>
        <v/>
      </c>
      <c r="M333" s="15">
        <f>Catalog!V306</f>
        <v/>
      </c>
      <c r="N333" s="15">
        <f>Catalog!Q306</f>
        <v/>
      </c>
      <c r="O333" s="15">
        <f>Catalog!AF306</f>
        <v/>
      </c>
    </row>
    <row r="334">
      <c r="A334" s="15">
        <f>Catalog!D307</f>
        <v/>
      </c>
      <c r="B334" s="15">
        <f>Catalog!F307</f>
        <v/>
      </c>
      <c r="C334" s="15">
        <f>IF(Catalog!I307="","",Catalog!I307)&amp;IF(AND(Catalog!I307&lt;&gt;"",Catalog!J307&lt;&gt;""),"; ","")&amp;IF(Catalog!J307="","",Catalog!J307)</f>
        <v/>
      </c>
      <c r="D334" s="15">
        <f>Catalog!P307</f>
        <v/>
      </c>
      <c r="E334" s="15">
        <f>Catalog!R307</f>
        <v/>
      </c>
      <c r="F334" s="15">
        <f>Catalog!M307</f>
        <v/>
      </c>
      <c r="G334" s="15">
        <f>Catalog!K307</f>
        <v/>
      </c>
      <c r="H334" s="15">
        <f>IF(Catalog!S307&lt;&gt;"","ISBN:"&amp;Catalog!S307,IF(Catalog!T307&lt;&gt;"","ISSN:"&amp;Catalog!T307,""))</f>
        <v/>
      </c>
      <c r="I334" s="15">
        <f>Catalog!B307</f>
        <v/>
      </c>
      <c r="J334" s="15">
        <f>Catalog!L307</f>
        <v/>
      </c>
      <c r="K334" s="15">
        <f>IF(Catalog!AG307&lt;&gt;"",Catalog!AG307,Catalog!AE307)</f>
        <v/>
      </c>
      <c r="L334" s="15">
        <f>Catalog!AD307</f>
        <v/>
      </c>
      <c r="M334" s="15">
        <f>Catalog!V307</f>
        <v/>
      </c>
      <c r="N334" s="15">
        <f>Catalog!Q307</f>
        <v/>
      </c>
      <c r="O334" s="15">
        <f>Catalog!AF307</f>
        <v/>
      </c>
    </row>
    <row r="335">
      <c r="A335" s="15">
        <f>Catalog!D308</f>
        <v/>
      </c>
      <c r="B335" s="15">
        <f>Catalog!F308</f>
        <v/>
      </c>
      <c r="C335" s="15">
        <f>IF(Catalog!I308="","",Catalog!I308)&amp;IF(AND(Catalog!I308&lt;&gt;"",Catalog!J308&lt;&gt;""),"; ","")&amp;IF(Catalog!J308="","",Catalog!J308)</f>
        <v/>
      </c>
      <c r="D335" s="15">
        <f>Catalog!P308</f>
        <v/>
      </c>
      <c r="E335" s="15">
        <f>Catalog!R308</f>
        <v/>
      </c>
      <c r="F335" s="15">
        <f>Catalog!M308</f>
        <v/>
      </c>
      <c r="G335" s="15">
        <f>Catalog!K308</f>
        <v/>
      </c>
      <c r="H335" s="15">
        <f>IF(Catalog!S308&lt;&gt;"","ISBN:"&amp;Catalog!S308,IF(Catalog!T308&lt;&gt;"","ISSN:"&amp;Catalog!T308,""))</f>
        <v/>
      </c>
      <c r="I335" s="15">
        <f>Catalog!B308</f>
        <v/>
      </c>
      <c r="J335" s="15">
        <f>Catalog!L308</f>
        <v/>
      </c>
      <c r="K335" s="15">
        <f>IF(Catalog!AG308&lt;&gt;"",Catalog!AG308,Catalog!AE308)</f>
        <v/>
      </c>
      <c r="L335" s="15">
        <f>Catalog!AD308</f>
        <v/>
      </c>
      <c r="M335" s="15">
        <f>Catalog!V308</f>
        <v/>
      </c>
      <c r="N335" s="15">
        <f>Catalog!Q308</f>
        <v/>
      </c>
      <c r="O335" s="15">
        <f>Catalog!AF308</f>
        <v/>
      </c>
    </row>
    <row r="336">
      <c r="A336" s="15">
        <f>Catalog!D309</f>
        <v/>
      </c>
      <c r="B336" s="15">
        <f>Catalog!F309</f>
        <v/>
      </c>
      <c r="C336" s="15">
        <f>IF(Catalog!I309="","",Catalog!I309)&amp;IF(AND(Catalog!I309&lt;&gt;"",Catalog!J309&lt;&gt;""),"; ","")&amp;IF(Catalog!J309="","",Catalog!J309)</f>
        <v/>
      </c>
      <c r="D336" s="15">
        <f>Catalog!P309</f>
        <v/>
      </c>
      <c r="E336" s="15">
        <f>Catalog!R309</f>
        <v/>
      </c>
      <c r="F336" s="15">
        <f>Catalog!M309</f>
        <v/>
      </c>
      <c r="G336" s="15">
        <f>Catalog!K309</f>
        <v/>
      </c>
      <c r="H336" s="15">
        <f>IF(Catalog!S309&lt;&gt;"","ISBN:"&amp;Catalog!S309,IF(Catalog!T309&lt;&gt;"","ISSN:"&amp;Catalog!T309,""))</f>
        <v/>
      </c>
      <c r="I336" s="15">
        <f>Catalog!B309</f>
        <v/>
      </c>
      <c r="J336" s="15">
        <f>Catalog!L309</f>
        <v/>
      </c>
      <c r="K336" s="15">
        <f>IF(Catalog!AG309&lt;&gt;"",Catalog!AG309,Catalog!AE309)</f>
        <v/>
      </c>
      <c r="L336" s="15">
        <f>Catalog!AD309</f>
        <v/>
      </c>
      <c r="M336" s="15">
        <f>Catalog!V309</f>
        <v/>
      </c>
      <c r="N336" s="15">
        <f>Catalog!Q309</f>
        <v/>
      </c>
      <c r="O336" s="15">
        <f>Catalog!AF309</f>
        <v/>
      </c>
    </row>
    <row r="337">
      <c r="A337" s="15">
        <f>Catalog!D310</f>
        <v/>
      </c>
      <c r="B337" s="15">
        <f>Catalog!F310</f>
        <v/>
      </c>
      <c r="C337" s="15">
        <f>IF(Catalog!I310="","",Catalog!I310)&amp;IF(AND(Catalog!I310&lt;&gt;"",Catalog!J310&lt;&gt;""),"; ","")&amp;IF(Catalog!J310="","",Catalog!J310)</f>
        <v/>
      </c>
      <c r="D337" s="15">
        <f>Catalog!P310</f>
        <v/>
      </c>
      <c r="E337" s="15">
        <f>Catalog!R310</f>
        <v/>
      </c>
      <c r="F337" s="15">
        <f>Catalog!M310</f>
        <v/>
      </c>
      <c r="G337" s="15">
        <f>Catalog!K310</f>
        <v/>
      </c>
      <c r="H337" s="15">
        <f>IF(Catalog!S310&lt;&gt;"","ISBN:"&amp;Catalog!S310,IF(Catalog!T310&lt;&gt;"","ISSN:"&amp;Catalog!T310,""))</f>
        <v/>
      </c>
      <c r="I337" s="15">
        <f>Catalog!B310</f>
        <v/>
      </c>
      <c r="J337" s="15">
        <f>Catalog!L310</f>
        <v/>
      </c>
      <c r="K337" s="15">
        <f>IF(Catalog!AG310&lt;&gt;"",Catalog!AG310,Catalog!AE310)</f>
        <v/>
      </c>
      <c r="L337" s="15">
        <f>Catalog!AD310</f>
        <v/>
      </c>
      <c r="M337" s="15">
        <f>Catalog!V310</f>
        <v/>
      </c>
      <c r="N337" s="15">
        <f>Catalog!Q310</f>
        <v/>
      </c>
      <c r="O337" s="15">
        <f>Catalog!AF310</f>
        <v/>
      </c>
    </row>
    <row r="338">
      <c r="A338" s="15">
        <f>Catalog!D311</f>
        <v/>
      </c>
      <c r="B338" s="15">
        <f>Catalog!F311</f>
        <v/>
      </c>
      <c r="C338" s="15">
        <f>IF(Catalog!I311="","",Catalog!I311)&amp;IF(AND(Catalog!I311&lt;&gt;"",Catalog!J311&lt;&gt;""),"; ","")&amp;IF(Catalog!J311="","",Catalog!J311)</f>
        <v/>
      </c>
      <c r="D338" s="15">
        <f>Catalog!P311</f>
        <v/>
      </c>
      <c r="E338" s="15">
        <f>Catalog!R311</f>
        <v/>
      </c>
      <c r="F338" s="15">
        <f>Catalog!M311</f>
        <v/>
      </c>
      <c r="G338" s="15">
        <f>Catalog!K311</f>
        <v/>
      </c>
      <c r="H338" s="15">
        <f>IF(Catalog!S311&lt;&gt;"","ISBN:"&amp;Catalog!S311,IF(Catalog!T311&lt;&gt;"","ISSN:"&amp;Catalog!T311,""))</f>
        <v/>
      </c>
      <c r="I338" s="15">
        <f>Catalog!B311</f>
        <v/>
      </c>
      <c r="J338" s="15">
        <f>Catalog!L311</f>
        <v/>
      </c>
      <c r="K338" s="15">
        <f>IF(Catalog!AG311&lt;&gt;"",Catalog!AG311,Catalog!AE311)</f>
        <v/>
      </c>
      <c r="L338" s="15">
        <f>Catalog!AD311</f>
        <v/>
      </c>
      <c r="M338" s="15">
        <f>Catalog!V311</f>
        <v/>
      </c>
      <c r="N338" s="15">
        <f>Catalog!Q311</f>
        <v/>
      </c>
      <c r="O338" s="15">
        <f>Catalog!AF311</f>
        <v/>
      </c>
    </row>
    <row r="339">
      <c r="A339" s="15">
        <f>Catalog!D312</f>
        <v/>
      </c>
      <c r="B339" s="15">
        <f>Catalog!F312</f>
        <v/>
      </c>
      <c r="C339" s="15">
        <f>IF(Catalog!I312="","",Catalog!I312)&amp;IF(AND(Catalog!I312&lt;&gt;"",Catalog!J312&lt;&gt;""),"; ","")&amp;IF(Catalog!J312="","",Catalog!J312)</f>
        <v/>
      </c>
      <c r="D339" s="15">
        <f>Catalog!P312</f>
        <v/>
      </c>
      <c r="E339" s="15">
        <f>Catalog!R312</f>
        <v/>
      </c>
      <c r="F339" s="15">
        <f>Catalog!M312</f>
        <v/>
      </c>
      <c r="G339" s="15">
        <f>Catalog!K312</f>
        <v/>
      </c>
      <c r="H339" s="15">
        <f>IF(Catalog!S312&lt;&gt;"","ISBN:"&amp;Catalog!S312,IF(Catalog!T312&lt;&gt;"","ISSN:"&amp;Catalog!T312,""))</f>
        <v/>
      </c>
      <c r="I339" s="15">
        <f>Catalog!B312</f>
        <v/>
      </c>
      <c r="J339" s="15">
        <f>Catalog!L312</f>
        <v/>
      </c>
      <c r="K339" s="15">
        <f>IF(Catalog!AG312&lt;&gt;"",Catalog!AG312,Catalog!AE312)</f>
        <v/>
      </c>
      <c r="L339" s="15">
        <f>Catalog!AD312</f>
        <v/>
      </c>
      <c r="M339" s="15">
        <f>Catalog!V312</f>
        <v/>
      </c>
      <c r="N339" s="15">
        <f>Catalog!Q312</f>
        <v/>
      </c>
      <c r="O339" s="15">
        <f>Catalog!AF312</f>
        <v/>
      </c>
    </row>
    <row r="340">
      <c r="A340" s="15">
        <f>Catalog!D313</f>
        <v/>
      </c>
      <c r="B340" s="15">
        <f>Catalog!F313</f>
        <v/>
      </c>
      <c r="C340" s="15">
        <f>IF(Catalog!I313="","",Catalog!I313)&amp;IF(AND(Catalog!I313&lt;&gt;"",Catalog!J313&lt;&gt;""),"; ","")&amp;IF(Catalog!J313="","",Catalog!J313)</f>
        <v/>
      </c>
      <c r="D340" s="15">
        <f>Catalog!P313</f>
        <v/>
      </c>
      <c r="E340" s="15">
        <f>Catalog!R313</f>
        <v/>
      </c>
      <c r="F340" s="15">
        <f>Catalog!M313</f>
        <v/>
      </c>
      <c r="G340" s="15">
        <f>Catalog!K313</f>
        <v/>
      </c>
      <c r="H340" s="15">
        <f>IF(Catalog!S313&lt;&gt;"","ISBN:"&amp;Catalog!S313,IF(Catalog!T313&lt;&gt;"","ISSN:"&amp;Catalog!T313,""))</f>
        <v/>
      </c>
      <c r="I340" s="15">
        <f>Catalog!B313</f>
        <v/>
      </c>
      <c r="J340" s="15">
        <f>Catalog!L313</f>
        <v/>
      </c>
      <c r="K340" s="15">
        <f>IF(Catalog!AG313&lt;&gt;"",Catalog!AG313,Catalog!AE313)</f>
        <v/>
      </c>
      <c r="L340" s="15">
        <f>Catalog!AD313</f>
        <v/>
      </c>
      <c r="M340" s="15">
        <f>Catalog!V313</f>
        <v/>
      </c>
      <c r="N340" s="15">
        <f>Catalog!Q313</f>
        <v/>
      </c>
      <c r="O340" s="15">
        <f>Catalog!AF313</f>
        <v/>
      </c>
    </row>
    <row r="341">
      <c r="A341" s="15">
        <f>Catalog!D314</f>
        <v/>
      </c>
      <c r="B341" s="15">
        <f>Catalog!F314</f>
        <v/>
      </c>
      <c r="C341" s="15">
        <f>IF(Catalog!I314="","",Catalog!I314)&amp;IF(AND(Catalog!I314&lt;&gt;"",Catalog!J314&lt;&gt;""),"; ","")&amp;IF(Catalog!J314="","",Catalog!J314)</f>
        <v/>
      </c>
      <c r="D341" s="15">
        <f>Catalog!P314</f>
        <v/>
      </c>
      <c r="E341" s="15">
        <f>Catalog!R314</f>
        <v/>
      </c>
      <c r="F341" s="15">
        <f>Catalog!M314</f>
        <v/>
      </c>
      <c r="G341" s="15">
        <f>Catalog!K314</f>
        <v/>
      </c>
      <c r="H341" s="15">
        <f>IF(Catalog!S314&lt;&gt;"","ISBN:"&amp;Catalog!S314,IF(Catalog!T314&lt;&gt;"","ISSN:"&amp;Catalog!T314,""))</f>
        <v/>
      </c>
      <c r="I341" s="15">
        <f>Catalog!B314</f>
        <v/>
      </c>
      <c r="J341" s="15">
        <f>Catalog!L314</f>
        <v/>
      </c>
      <c r="K341" s="15">
        <f>IF(Catalog!AG314&lt;&gt;"",Catalog!AG314,Catalog!AE314)</f>
        <v/>
      </c>
      <c r="L341" s="15">
        <f>Catalog!AD314</f>
        <v/>
      </c>
      <c r="M341" s="15">
        <f>Catalog!V314</f>
        <v/>
      </c>
      <c r="N341" s="15">
        <f>Catalog!Q314</f>
        <v/>
      </c>
      <c r="O341" s="15">
        <f>Catalog!AF314</f>
        <v/>
      </c>
    </row>
    <row r="342">
      <c r="A342" s="15">
        <f>Catalog!D315</f>
        <v/>
      </c>
      <c r="B342" s="15">
        <f>Catalog!F315</f>
        <v/>
      </c>
      <c r="C342" s="15">
        <f>IF(Catalog!I315="","",Catalog!I315)&amp;IF(AND(Catalog!I315&lt;&gt;"",Catalog!J315&lt;&gt;""),"; ","")&amp;IF(Catalog!J315="","",Catalog!J315)</f>
        <v/>
      </c>
      <c r="D342" s="15">
        <f>Catalog!P315</f>
        <v/>
      </c>
      <c r="E342" s="15">
        <f>Catalog!R315</f>
        <v/>
      </c>
      <c r="F342" s="15">
        <f>Catalog!M315</f>
        <v/>
      </c>
      <c r="G342" s="15">
        <f>Catalog!K315</f>
        <v/>
      </c>
      <c r="H342" s="15">
        <f>IF(Catalog!S315&lt;&gt;"","ISBN:"&amp;Catalog!S315,IF(Catalog!T315&lt;&gt;"","ISSN:"&amp;Catalog!T315,""))</f>
        <v/>
      </c>
      <c r="I342" s="15">
        <f>Catalog!B315</f>
        <v/>
      </c>
      <c r="J342" s="15">
        <f>Catalog!L315</f>
        <v/>
      </c>
      <c r="K342" s="15">
        <f>IF(Catalog!AG315&lt;&gt;"",Catalog!AG315,Catalog!AE315)</f>
        <v/>
      </c>
      <c r="L342" s="15">
        <f>Catalog!AD315</f>
        <v/>
      </c>
      <c r="M342" s="15">
        <f>Catalog!V315</f>
        <v/>
      </c>
      <c r="N342" s="15">
        <f>Catalog!Q315</f>
        <v/>
      </c>
      <c r="O342" s="15">
        <f>Catalog!AF315</f>
        <v/>
      </c>
    </row>
    <row r="343">
      <c r="A343" s="15">
        <f>Catalog!D316</f>
        <v/>
      </c>
      <c r="B343" s="15">
        <f>Catalog!F316</f>
        <v/>
      </c>
      <c r="C343" s="15">
        <f>IF(Catalog!I316="","",Catalog!I316)&amp;IF(AND(Catalog!I316&lt;&gt;"",Catalog!J316&lt;&gt;""),"; ","")&amp;IF(Catalog!J316="","",Catalog!J316)</f>
        <v/>
      </c>
      <c r="D343" s="15">
        <f>Catalog!P316</f>
        <v/>
      </c>
      <c r="E343" s="15">
        <f>Catalog!R316</f>
        <v/>
      </c>
      <c r="F343" s="15">
        <f>Catalog!M316</f>
        <v/>
      </c>
      <c r="G343" s="15">
        <f>Catalog!K316</f>
        <v/>
      </c>
      <c r="H343" s="15">
        <f>IF(Catalog!S316&lt;&gt;"","ISBN:"&amp;Catalog!S316,IF(Catalog!T316&lt;&gt;"","ISSN:"&amp;Catalog!T316,""))</f>
        <v/>
      </c>
      <c r="I343" s="15">
        <f>Catalog!B316</f>
        <v/>
      </c>
      <c r="J343" s="15">
        <f>Catalog!L316</f>
        <v/>
      </c>
      <c r="K343" s="15">
        <f>IF(Catalog!AG316&lt;&gt;"",Catalog!AG316,Catalog!AE316)</f>
        <v/>
      </c>
      <c r="L343" s="15">
        <f>Catalog!AD316</f>
        <v/>
      </c>
      <c r="M343" s="15">
        <f>Catalog!V316</f>
        <v/>
      </c>
      <c r="N343" s="15">
        <f>Catalog!Q316</f>
        <v/>
      </c>
      <c r="O343" s="15">
        <f>Catalog!AF316</f>
        <v/>
      </c>
    </row>
    <row r="344">
      <c r="A344" s="15">
        <f>Catalog!D317</f>
        <v/>
      </c>
      <c r="B344" s="15">
        <f>Catalog!F317</f>
        <v/>
      </c>
      <c r="C344" s="15">
        <f>IF(Catalog!I317="","",Catalog!I317)&amp;IF(AND(Catalog!I317&lt;&gt;"",Catalog!J317&lt;&gt;""),"; ","")&amp;IF(Catalog!J317="","",Catalog!J317)</f>
        <v/>
      </c>
      <c r="D344" s="15">
        <f>Catalog!P317</f>
        <v/>
      </c>
      <c r="E344" s="15">
        <f>Catalog!R317</f>
        <v/>
      </c>
      <c r="F344" s="15">
        <f>Catalog!M317</f>
        <v/>
      </c>
      <c r="G344" s="15">
        <f>Catalog!K317</f>
        <v/>
      </c>
      <c r="H344" s="15">
        <f>IF(Catalog!S317&lt;&gt;"","ISBN:"&amp;Catalog!S317,IF(Catalog!T317&lt;&gt;"","ISSN:"&amp;Catalog!T317,""))</f>
        <v/>
      </c>
      <c r="I344" s="15">
        <f>Catalog!B317</f>
        <v/>
      </c>
      <c r="J344" s="15">
        <f>Catalog!L317</f>
        <v/>
      </c>
      <c r="K344" s="15">
        <f>IF(Catalog!AG317&lt;&gt;"",Catalog!AG317,Catalog!AE317)</f>
        <v/>
      </c>
      <c r="L344" s="15">
        <f>Catalog!AD317</f>
        <v/>
      </c>
      <c r="M344" s="15">
        <f>Catalog!V317</f>
        <v/>
      </c>
      <c r="N344" s="15">
        <f>Catalog!Q317</f>
        <v/>
      </c>
      <c r="O344" s="15">
        <f>Catalog!AF317</f>
        <v/>
      </c>
    </row>
    <row r="345">
      <c r="A345" s="15">
        <f>Catalog!D318</f>
        <v/>
      </c>
      <c r="B345" s="15">
        <f>Catalog!F318</f>
        <v/>
      </c>
      <c r="C345" s="15">
        <f>IF(Catalog!I318="","",Catalog!I318)&amp;IF(AND(Catalog!I318&lt;&gt;"",Catalog!J318&lt;&gt;""),"; ","")&amp;IF(Catalog!J318="","",Catalog!J318)</f>
        <v/>
      </c>
      <c r="D345" s="15">
        <f>Catalog!P318</f>
        <v/>
      </c>
      <c r="E345" s="15">
        <f>Catalog!R318</f>
        <v/>
      </c>
      <c r="F345" s="15">
        <f>Catalog!M318</f>
        <v/>
      </c>
      <c r="G345" s="15">
        <f>Catalog!K318</f>
        <v/>
      </c>
      <c r="H345" s="15">
        <f>IF(Catalog!S318&lt;&gt;"","ISBN:"&amp;Catalog!S318,IF(Catalog!T318&lt;&gt;"","ISSN:"&amp;Catalog!T318,""))</f>
        <v/>
      </c>
      <c r="I345" s="15">
        <f>Catalog!B318</f>
        <v/>
      </c>
      <c r="J345" s="15">
        <f>Catalog!L318</f>
        <v/>
      </c>
      <c r="K345" s="15">
        <f>IF(Catalog!AG318&lt;&gt;"",Catalog!AG318,Catalog!AE318)</f>
        <v/>
      </c>
      <c r="L345" s="15">
        <f>Catalog!AD318</f>
        <v/>
      </c>
      <c r="M345" s="15">
        <f>Catalog!V318</f>
        <v/>
      </c>
      <c r="N345" s="15">
        <f>Catalog!Q318</f>
        <v/>
      </c>
      <c r="O345" s="15">
        <f>Catalog!AF318</f>
        <v/>
      </c>
    </row>
    <row r="346">
      <c r="A346" s="15">
        <f>Catalog!D319</f>
        <v/>
      </c>
      <c r="B346" s="15">
        <f>Catalog!F319</f>
        <v/>
      </c>
      <c r="C346" s="15">
        <f>IF(Catalog!I319="","",Catalog!I319)&amp;IF(AND(Catalog!I319&lt;&gt;"",Catalog!J319&lt;&gt;""),"; ","")&amp;IF(Catalog!J319="","",Catalog!J319)</f>
        <v/>
      </c>
      <c r="D346" s="15">
        <f>Catalog!P319</f>
        <v/>
      </c>
      <c r="E346" s="15">
        <f>Catalog!R319</f>
        <v/>
      </c>
      <c r="F346" s="15">
        <f>Catalog!M319</f>
        <v/>
      </c>
      <c r="G346" s="15">
        <f>Catalog!K319</f>
        <v/>
      </c>
      <c r="H346" s="15">
        <f>IF(Catalog!S319&lt;&gt;"","ISBN:"&amp;Catalog!S319,IF(Catalog!T319&lt;&gt;"","ISSN:"&amp;Catalog!T319,""))</f>
        <v/>
      </c>
      <c r="I346" s="15">
        <f>Catalog!B319</f>
        <v/>
      </c>
      <c r="J346" s="15">
        <f>Catalog!L319</f>
        <v/>
      </c>
      <c r="K346" s="15">
        <f>IF(Catalog!AG319&lt;&gt;"",Catalog!AG319,Catalog!AE319)</f>
        <v/>
      </c>
      <c r="L346" s="15">
        <f>Catalog!AD319</f>
        <v/>
      </c>
      <c r="M346" s="15">
        <f>Catalog!V319</f>
        <v/>
      </c>
      <c r="N346" s="15">
        <f>Catalog!Q319</f>
        <v/>
      </c>
      <c r="O346" s="15">
        <f>Catalog!AF319</f>
        <v/>
      </c>
    </row>
    <row r="347">
      <c r="A347" s="15">
        <f>Catalog!D320</f>
        <v/>
      </c>
      <c r="B347" s="15">
        <f>Catalog!F320</f>
        <v/>
      </c>
      <c r="C347" s="15">
        <f>IF(Catalog!I320="","",Catalog!I320)&amp;IF(AND(Catalog!I320&lt;&gt;"",Catalog!J320&lt;&gt;""),"; ","")&amp;IF(Catalog!J320="","",Catalog!J320)</f>
        <v/>
      </c>
      <c r="D347" s="15">
        <f>Catalog!P320</f>
        <v/>
      </c>
      <c r="E347" s="15">
        <f>Catalog!R320</f>
        <v/>
      </c>
      <c r="F347" s="15">
        <f>Catalog!M320</f>
        <v/>
      </c>
      <c r="G347" s="15">
        <f>Catalog!K320</f>
        <v/>
      </c>
      <c r="H347" s="15">
        <f>IF(Catalog!S320&lt;&gt;"","ISBN:"&amp;Catalog!S320,IF(Catalog!T320&lt;&gt;"","ISSN:"&amp;Catalog!T320,""))</f>
        <v/>
      </c>
      <c r="I347" s="15">
        <f>Catalog!B320</f>
        <v/>
      </c>
      <c r="J347" s="15">
        <f>Catalog!L320</f>
        <v/>
      </c>
      <c r="K347" s="15">
        <f>IF(Catalog!AG320&lt;&gt;"",Catalog!AG320,Catalog!AE320)</f>
        <v/>
      </c>
      <c r="L347" s="15">
        <f>Catalog!AD320</f>
        <v/>
      </c>
      <c r="M347" s="15">
        <f>Catalog!V320</f>
        <v/>
      </c>
      <c r="N347" s="15">
        <f>Catalog!Q320</f>
        <v/>
      </c>
      <c r="O347" s="15">
        <f>Catalog!AF320</f>
        <v/>
      </c>
    </row>
    <row r="348">
      <c r="A348" s="15">
        <f>Catalog!D321</f>
        <v/>
      </c>
      <c r="B348" s="15">
        <f>Catalog!F321</f>
        <v/>
      </c>
      <c r="C348" s="15">
        <f>IF(Catalog!I321="","",Catalog!I321)&amp;IF(AND(Catalog!I321&lt;&gt;"",Catalog!J321&lt;&gt;""),"; ","")&amp;IF(Catalog!J321="","",Catalog!J321)</f>
        <v/>
      </c>
      <c r="D348" s="15">
        <f>Catalog!P321</f>
        <v/>
      </c>
      <c r="E348" s="15">
        <f>Catalog!R321</f>
        <v/>
      </c>
      <c r="F348" s="15">
        <f>Catalog!M321</f>
        <v/>
      </c>
      <c r="G348" s="15">
        <f>Catalog!K321</f>
        <v/>
      </c>
      <c r="H348" s="15">
        <f>IF(Catalog!S321&lt;&gt;"","ISBN:"&amp;Catalog!S321,IF(Catalog!T321&lt;&gt;"","ISSN:"&amp;Catalog!T321,""))</f>
        <v/>
      </c>
      <c r="I348" s="15">
        <f>Catalog!B321</f>
        <v/>
      </c>
      <c r="J348" s="15">
        <f>Catalog!L321</f>
        <v/>
      </c>
      <c r="K348" s="15">
        <f>IF(Catalog!AG321&lt;&gt;"",Catalog!AG321,Catalog!AE321)</f>
        <v/>
      </c>
      <c r="L348" s="15">
        <f>Catalog!AD321</f>
        <v/>
      </c>
      <c r="M348" s="15">
        <f>Catalog!V321</f>
        <v/>
      </c>
      <c r="N348" s="15">
        <f>Catalog!Q321</f>
        <v/>
      </c>
      <c r="O348" s="15">
        <f>Catalog!AF321</f>
        <v/>
      </c>
    </row>
    <row r="349">
      <c r="A349" s="15">
        <f>Catalog!D322</f>
        <v/>
      </c>
      <c r="B349" s="15">
        <f>Catalog!F322</f>
        <v/>
      </c>
      <c r="C349" s="15">
        <f>IF(Catalog!I322="","",Catalog!I322)&amp;IF(AND(Catalog!I322&lt;&gt;"",Catalog!J322&lt;&gt;""),"; ","")&amp;IF(Catalog!J322="","",Catalog!J322)</f>
        <v/>
      </c>
      <c r="D349" s="15">
        <f>Catalog!P322</f>
        <v/>
      </c>
      <c r="E349" s="15">
        <f>Catalog!R322</f>
        <v/>
      </c>
      <c r="F349" s="15">
        <f>Catalog!M322</f>
        <v/>
      </c>
      <c r="G349" s="15">
        <f>Catalog!K322</f>
        <v/>
      </c>
      <c r="H349" s="15">
        <f>IF(Catalog!S322&lt;&gt;"","ISBN:"&amp;Catalog!S322,IF(Catalog!T322&lt;&gt;"","ISSN:"&amp;Catalog!T322,""))</f>
        <v/>
      </c>
      <c r="I349" s="15">
        <f>Catalog!B322</f>
        <v/>
      </c>
      <c r="J349" s="15">
        <f>Catalog!L322</f>
        <v/>
      </c>
      <c r="K349" s="15">
        <f>IF(Catalog!AG322&lt;&gt;"",Catalog!AG322,Catalog!AE322)</f>
        <v/>
      </c>
      <c r="L349" s="15">
        <f>Catalog!AD322</f>
        <v/>
      </c>
      <c r="M349" s="15">
        <f>Catalog!V322</f>
        <v/>
      </c>
      <c r="N349" s="15">
        <f>Catalog!Q322</f>
        <v/>
      </c>
      <c r="O349" s="15">
        <f>Catalog!AF322</f>
        <v/>
      </c>
    </row>
    <row r="350">
      <c r="A350" s="15">
        <f>Catalog!D323</f>
        <v/>
      </c>
      <c r="B350" s="15">
        <f>Catalog!F323</f>
        <v/>
      </c>
      <c r="C350" s="15">
        <f>IF(Catalog!I323="","",Catalog!I323)&amp;IF(AND(Catalog!I323&lt;&gt;"",Catalog!J323&lt;&gt;""),"; ","")&amp;IF(Catalog!J323="","",Catalog!J323)</f>
        <v/>
      </c>
      <c r="D350" s="15">
        <f>Catalog!P323</f>
        <v/>
      </c>
      <c r="E350" s="15">
        <f>Catalog!R323</f>
        <v/>
      </c>
      <c r="F350" s="15">
        <f>Catalog!M323</f>
        <v/>
      </c>
      <c r="G350" s="15">
        <f>Catalog!K323</f>
        <v/>
      </c>
      <c r="H350" s="15">
        <f>IF(Catalog!S323&lt;&gt;"","ISBN:"&amp;Catalog!S323,IF(Catalog!T323&lt;&gt;"","ISSN:"&amp;Catalog!T323,""))</f>
        <v/>
      </c>
      <c r="I350" s="15">
        <f>Catalog!B323</f>
        <v/>
      </c>
      <c r="J350" s="15">
        <f>Catalog!L323</f>
        <v/>
      </c>
      <c r="K350" s="15">
        <f>IF(Catalog!AG323&lt;&gt;"",Catalog!AG323,Catalog!AE323)</f>
        <v/>
      </c>
      <c r="L350" s="15">
        <f>Catalog!AD323</f>
        <v/>
      </c>
      <c r="M350" s="15">
        <f>Catalog!V323</f>
        <v/>
      </c>
      <c r="N350" s="15">
        <f>Catalog!Q323</f>
        <v/>
      </c>
      <c r="O350" s="15">
        <f>Catalog!AF323</f>
        <v/>
      </c>
    </row>
    <row r="351">
      <c r="A351" s="15">
        <f>Catalog!D324</f>
        <v/>
      </c>
      <c r="B351" s="15">
        <f>Catalog!F324</f>
        <v/>
      </c>
      <c r="C351" s="15">
        <f>IF(Catalog!I324="","",Catalog!I324)&amp;IF(AND(Catalog!I324&lt;&gt;"",Catalog!J324&lt;&gt;""),"; ","")&amp;IF(Catalog!J324="","",Catalog!J324)</f>
        <v/>
      </c>
      <c r="D351" s="15">
        <f>Catalog!P324</f>
        <v/>
      </c>
      <c r="E351" s="15">
        <f>Catalog!R324</f>
        <v/>
      </c>
      <c r="F351" s="15">
        <f>Catalog!M324</f>
        <v/>
      </c>
      <c r="G351" s="15">
        <f>Catalog!K324</f>
        <v/>
      </c>
      <c r="H351" s="15">
        <f>IF(Catalog!S324&lt;&gt;"","ISBN:"&amp;Catalog!S324,IF(Catalog!T324&lt;&gt;"","ISSN:"&amp;Catalog!T324,""))</f>
        <v/>
      </c>
      <c r="I351" s="15">
        <f>Catalog!B324</f>
        <v/>
      </c>
      <c r="J351" s="15">
        <f>Catalog!L324</f>
        <v/>
      </c>
      <c r="K351" s="15">
        <f>IF(Catalog!AG324&lt;&gt;"",Catalog!AG324,Catalog!AE324)</f>
        <v/>
      </c>
      <c r="L351" s="15">
        <f>Catalog!AD324</f>
        <v/>
      </c>
      <c r="M351" s="15">
        <f>Catalog!V324</f>
        <v/>
      </c>
      <c r="N351" s="15">
        <f>Catalog!Q324</f>
        <v/>
      </c>
      <c r="O351" s="15">
        <f>Catalog!AF324</f>
        <v/>
      </c>
    </row>
    <row r="352">
      <c r="A352" s="15">
        <f>Catalog!D325</f>
        <v/>
      </c>
      <c r="B352" s="15">
        <f>Catalog!F325</f>
        <v/>
      </c>
      <c r="C352" s="15">
        <f>IF(Catalog!I325="","",Catalog!I325)&amp;IF(AND(Catalog!I325&lt;&gt;"",Catalog!J325&lt;&gt;""),"; ","")&amp;IF(Catalog!J325="","",Catalog!J325)</f>
        <v/>
      </c>
      <c r="D352" s="15">
        <f>Catalog!P325</f>
        <v/>
      </c>
      <c r="E352" s="15">
        <f>Catalog!R325</f>
        <v/>
      </c>
      <c r="F352" s="15">
        <f>Catalog!M325</f>
        <v/>
      </c>
      <c r="G352" s="15">
        <f>Catalog!K325</f>
        <v/>
      </c>
      <c r="H352" s="15">
        <f>IF(Catalog!S325&lt;&gt;"","ISBN:"&amp;Catalog!S325,IF(Catalog!T325&lt;&gt;"","ISSN:"&amp;Catalog!T325,""))</f>
        <v/>
      </c>
      <c r="I352" s="15">
        <f>Catalog!B325</f>
        <v/>
      </c>
      <c r="J352" s="15">
        <f>Catalog!L325</f>
        <v/>
      </c>
      <c r="K352" s="15">
        <f>IF(Catalog!AG325&lt;&gt;"",Catalog!AG325,Catalog!AE325)</f>
        <v/>
      </c>
      <c r="L352" s="15">
        <f>Catalog!AD325</f>
        <v/>
      </c>
      <c r="M352" s="15">
        <f>Catalog!V325</f>
        <v/>
      </c>
      <c r="N352" s="15">
        <f>Catalog!Q325</f>
        <v/>
      </c>
      <c r="O352" s="15">
        <f>Catalog!AF325</f>
        <v/>
      </c>
    </row>
    <row r="353">
      <c r="A353" s="15">
        <f>Catalog!D326</f>
        <v/>
      </c>
      <c r="B353" s="15">
        <f>Catalog!F326</f>
        <v/>
      </c>
      <c r="C353" s="15">
        <f>IF(Catalog!I326="","",Catalog!I326)&amp;IF(AND(Catalog!I326&lt;&gt;"",Catalog!J326&lt;&gt;""),"; ","")&amp;IF(Catalog!J326="","",Catalog!J326)</f>
        <v/>
      </c>
      <c r="D353" s="15">
        <f>Catalog!P326</f>
        <v/>
      </c>
      <c r="E353" s="15">
        <f>Catalog!R326</f>
        <v/>
      </c>
      <c r="F353" s="15">
        <f>Catalog!M326</f>
        <v/>
      </c>
      <c r="G353" s="15">
        <f>Catalog!K326</f>
        <v/>
      </c>
      <c r="H353" s="15">
        <f>IF(Catalog!S326&lt;&gt;"","ISBN:"&amp;Catalog!S326,IF(Catalog!T326&lt;&gt;"","ISSN:"&amp;Catalog!T326,""))</f>
        <v/>
      </c>
      <c r="I353" s="15">
        <f>Catalog!B326</f>
        <v/>
      </c>
      <c r="J353" s="15">
        <f>Catalog!L326</f>
        <v/>
      </c>
      <c r="K353" s="15">
        <f>IF(Catalog!AG326&lt;&gt;"",Catalog!AG326,Catalog!AE326)</f>
        <v/>
      </c>
      <c r="L353" s="15">
        <f>Catalog!AD326</f>
        <v/>
      </c>
      <c r="M353" s="15">
        <f>Catalog!V326</f>
        <v/>
      </c>
      <c r="N353" s="15">
        <f>Catalog!Q326</f>
        <v/>
      </c>
      <c r="O353" s="15">
        <f>Catalog!AF326</f>
        <v/>
      </c>
    </row>
    <row r="354">
      <c r="A354" s="15">
        <f>Catalog!D327</f>
        <v/>
      </c>
      <c r="B354" s="15">
        <f>Catalog!F327</f>
        <v/>
      </c>
      <c r="C354" s="15">
        <f>IF(Catalog!I327="","",Catalog!I327)&amp;IF(AND(Catalog!I327&lt;&gt;"",Catalog!J327&lt;&gt;""),"; ","")&amp;IF(Catalog!J327="","",Catalog!J327)</f>
        <v/>
      </c>
      <c r="D354" s="15">
        <f>Catalog!P327</f>
        <v/>
      </c>
      <c r="E354" s="15">
        <f>Catalog!R327</f>
        <v/>
      </c>
      <c r="F354" s="15">
        <f>Catalog!M327</f>
        <v/>
      </c>
      <c r="G354" s="15">
        <f>Catalog!K327</f>
        <v/>
      </c>
      <c r="H354" s="15">
        <f>IF(Catalog!S327&lt;&gt;"","ISBN:"&amp;Catalog!S327,IF(Catalog!T327&lt;&gt;"","ISSN:"&amp;Catalog!T327,""))</f>
        <v/>
      </c>
      <c r="I354" s="15">
        <f>Catalog!B327</f>
        <v/>
      </c>
      <c r="J354" s="15">
        <f>Catalog!L327</f>
        <v/>
      </c>
      <c r="K354" s="15">
        <f>IF(Catalog!AG327&lt;&gt;"",Catalog!AG327,Catalog!AE327)</f>
        <v/>
      </c>
      <c r="L354" s="15">
        <f>Catalog!AD327</f>
        <v/>
      </c>
      <c r="M354" s="15">
        <f>Catalog!V327</f>
        <v/>
      </c>
      <c r="N354" s="15">
        <f>Catalog!Q327</f>
        <v/>
      </c>
      <c r="O354" s="15">
        <f>Catalog!AF327</f>
        <v/>
      </c>
    </row>
    <row r="355">
      <c r="A355" s="15">
        <f>Catalog!D328</f>
        <v/>
      </c>
      <c r="B355" s="15">
        <f>Catalog!F328</f>
        <v/>
      </c>
      <c r="C355" s="15">
        <f>IF(Catalog!I328="","",Catalog!I328)&amp;IF(AND(Catalog!I328&lt;&gt;"",Catalog!J328&lt;&gt;""),"; ","")&amp;IF(Catalog!J328="","",Catalog!J328)</f>
        <v/>
      </c>
      <c r="D355" s="15">
        <f>Catalog!P328</f>
        <v/>
      </c>
      <c r="E355" s="15">
        <f>Catalog!R328</f>
        <v/>
      </c>
      <c r="F355" s="15">
        <f>Catalog!M328</f>
        <v/>
      </c>
      <c r="G355" s="15">
        <f>Catalog!K328</f>
        <v/>
      </c>
      <c r="H355" s="15">
        <f>IF(Catalog!S328&lt;&gt;"","ISBN:"&amp;Catalog!S328,IF(Catalog!T328&lt;&gt;"","ISSN:"&amp;Catalog!T328,""))</f>
        <v/>
      </c>
      <c r="I355" s="15">
        <f>Catalog!B328</f>
        <v/>
      </c>
      <c r="J355" s="15">
        <f>Catalog!L328</f>
        <v/>
      </c>
      <c r="K355" s="15">
        <f>IF(Catalog!AG328&lt;&gt;"",Catalog!AG328,Catalog!AE328)</f>
        <v/>
      </c>
      <c r="L355" s="15">
        <f>Catalog!AD328</f>
        <v/>
      </c>
      <c r="M355" s="15">
        <f>Catalog!V328</f>
        <v/>
      </c>
      <c r="N355" s="15">
        <f>Catalog!Q328</f>
        <v/>
      </c>
      <c r="O355" s="15">
        <f>Catalog!AF328</f>
        <v/>
      </c>
    </row>
    <row r="356">
      <c r="A356" s="15">
        <f>Catalog!D329</f>
        <v/>
      </c>
      <c r="B356" s="15">
        <f>Catalog!F329</f>
        <v/>
      </c>
      <c r="C356" s="15">
        <f>IF(Catalog!I329="","",Catalog!I329)&amp;IF(AND(Catalog!I329&lt;&gt;"",Catalog!J329&lt;&gt;""),"; ","")&amp;IF(Catalog!J329="","",Catalog!J329)</f>
        <v/>
      </c>
      <c r="D356" s="15">
        <f>Catalog!P329</f>
        <v/>
      </c>
      <c r="E356" s="15">
        <f>Catalog!R329</f>
        <v/>
      </c>
      <c r="F356" s="15">
        <f>Catalog!M329</f>
        <v/>
      </c>
      <c r="G356" s="15">
        <f>Catalog!K329</f>
        <v/>
      </c>
      <c r="H356" s="15">
        <f>IF(Catalog!S329&lt;&gt;"","ISBN:"&amp;Catalog!S329,IF(Catalog!T329&lt;&gt;"","ISSN:"&amp;Catalog!T329,""))</f>
        <v/>
      </c>
      <c r="I356" s="15">
        <f>Catalog!B329</f>
        <v/>
      </c>
      <c r="J356" s="15">
        <f>Catalog!L329</f>
        <v/>
      </c>
      <c r="K356" s="15">
        <f>IF(Catalog!AG329&lt;&gt;"",Catalog!AG329,Catalog!AE329)</f>
        <v/>
      </c>
      <c r="L356" s="15">
        <f>Catalog!AD329</f>
        <v/>
      </c>
      <c r="M356" s="15">
        <f>Catalog!V329</f>
        <v/>
      </c>
      <c r="N356" s="15">
        <f>Catalog!Q329</f>
        <v/>
      </c>
      <c r="O356" s="15">
        <f>Catalog!AF329</f>
        <v/>
      </c>
    </row>
    <row r="357">
      <c r="A357" s="15">
        <f>Catalog!D330</f>
        <v/>
      </c>
      <c r="B357" s="15">
        <f>Catalog!F330</f>
        <v/>
      </c>
      <c r="C357" s="15">
        <f>IF(Catalog!I330="","",Catalog!I330)&amp;IF(AND(Catalog!I330&lt;&gt;"",Catalog!J330&lt;&gt;""),"; ","")&amp;IF(Catalog!J330="","",Catalog!J330)</f>
        <v/>
      </c>
      <c r="D357" s="15">
        <f>Catalog!P330</f>
        <v/>
      </c>
      <c r="E357" s="15">
        <f>Catalog!R330</f>
        <v/>
      </c>
      <c r="F357" s="15">
        <f>Catalog!M330</f>
        <v/>
      </c>
      <c r="G357" s="15">
        <f>Catalog!K330</f>
        <v/>
      </c>
      <c r="H357" s="15">
        <f>IF(Catalog!S330&lt;&gt;"","ISBN:"&amp;Catalog!S330,IF(Catalog!T330&lt;&gt;"","ISSN:"&amp;Catalog!T330,""))</f>
        <v/>
      </c>
      <c r="I357" s="15">
        <f>Catalog!B330</f>
        <v/>
      </c>
      <c r="J357" s="15">
        <f>Catalog!L330</f>
        <v/>
      </c>
      <c r="K357" s="15">
        <f>IF(Catalog!AG330&lt;&gt;"",Catalog!AG330,Catalog!AE330)</f>
        <v/>
      </c>
      <c r="L357" s="15">
        <f>Catalog!AD330</f>
        <v/>
      </c>
      <c r="M357" s="15">
        <f>Catalog!V330</f>
        <v/>
      </c>
      <c r="N357" s="15">
        <f>Catalog!Q330</f>
        <v/>
      </c>
      <c r="O357" s="15">
        <f>Catalog!AF330</f>
        <v/>
      </c>
    </row>
    <row r="358">
      <c r="A358" s="15">
        <f>Catalog!D331</f>
        <v/>
      </c>
      <c r="B358" s="15">
        <f>Catalog!F331</f>
        <v/>
      </c>
      <c r="C358" s="15">
        <f>IF(Catalog!I331="","",Catalog!I331)&amp;IF(AND(Catalog!I331&lt;&gt;"",Catalog!J331&lt;&gt;""),"; ","")&amp;IF(Catalog!J331="","",Catalog!J331)</f>
        <v/>
      </c>
      <c r="D358" s="15">
        <f>Catalog!P331</f>
        <v/>
      </c>
      <c r="E358" s="15">
        <f>Catalog!R331</f>
        <v/>
      </c>
      <c r="F358" s="15">
        <f>Catalog!M331</f>
        <v/>
      </c>
      <c r="G358" s="15">
        <f>Catalog!K331</f>
        <v/>
      </c>
      <c r="H358" s="15">
        <f>IF(Catalog!S331&lt;&gt;"","ISBN:"&amp;Catalog!S331,IF(Catalog!T331&lt;&gt;"","ISSN:"&amp;Catalog!T331,""))</f>
        <v/>
      </c>
      <c r="I358" s="15">
        <f>Catalog!B331</f>
        <v/>
      </c>
      <c r="J358" s="15">
        <f>Catalog!L331</f>
        <v/>
      </c>
      <c r="K358" s="15">
        <f>IF(Catalog!AG331&lt;&gt;"",Catalog!AG331,Catalog!AE331)</f>
        <v/>
      </c>
      <c r="L358" s="15">
        <f>Catalog!AD331</f>
        <v/>
      </c>
      <c r="M358" s="15">
        <f>Catalog!V331</f>
        <v/>
      </c>
      <c r="N358" s="15">
        <f>Catalog!Q331</f>
        <v/>
      </c>
      <c r="O358" s="15">
        <f>Catalog!AF331</f>
        <v/>
      </c>
    </row>
    <row r="359">
      <c r="A359" s="15">
        <f>Catalog!D332</f>
        <v/>
      </c>
      <c r="B359" s="15">
        <f>Catalog!F332</f>
        <v/>
      </c>
      <c r="C359" s="15">
        <f>IF(Catalog!I332="","",Catalog!I332)&amp;IF(AND(Catalog!I332&lt;&gt;"",Catalog!J332&lt;&gt;""),"; ","")&amp;IF(Catalog!J332="","",Catalog!J332)</f>
        <v/>
      </c>
      <c r="D359" s="15">
        <f>Catalog!P332</f>
        <v/>
      </c>
      <c r="E359" s="15">
        <f>Catalog!R332</f>
        <v/>
      </c>
      <c r="F359" s="15">
        <f>Catalog!M332</f>
        <v/>
      </c>
      <c r="G359" s="15">
        <f>Catalog!K332</f>
        <v/>
      </c>
      <c r="H359" s="15">
        <f>IF(Catalog!S332&lt;&gt;"","ISBN:"&amp;Catalog!S332,IF(Catalog!T332&lt;&gt;"","ISSN:"&amp;Catalog!T332,""))</f>
        <v/>
      </c>
      <c r="I359" s="15">
        <f>Catalog!B332</f>
        <v/>
      </c>
      <c r="J359" s="15">
        <f>Catalog!L332</f>
        <v/>
      </c>
      <c r="K359" s="15">
        <f>IF(Catalog!AG332&lt;&gt;"",Catalog!AG332,Catalog!AE332)</f>
        <v/>
      </c>
      <c r="L359" s="15">
        <f>Catalog!AD332</f>
        <v/>
      </c>
      <c r="M359" s="15">
        <f>Catalog!V332</f>
        <v/>
      </c>
      <c r="N359" s="15">
        <f>Catalog!Q332</f>
        <v/>
      </c>
      <c r="O359" s="15">
        <f>Catalog!AF332</f>
        <v/>
      </c>
    </row>
    <row r="360">
      <c r="A360" s="15">
        <f>Catalog!D333</f>
        <v/>
      </c>
      <c r="B360" s="15">
        <f>Catalog!F333</f>
        <v/>
      </c>
      <c r="C360" s="15">
        <f>IF(Catalog!I333="","",Catalog!I333)&amp;IF(AND(Catalog!I333&lt;&gt;"",Catalog!J333&lt;&gt;""),"; ","")&amp;IF(Catalog!J333="","",Catalog!J333)</f>
        <v/>
      </c>
      <c r="D360" s="15">
        <f>Catalog!P333</f>
        <v/>
      </c>
      <c r="E360" s="15">
        <f>Catalog!R333</f>
        <v/>
      </c>
      <c r="F360" s="15">
        <f>Catalog!M333</f>
        <v/>
      </c>
      <c r="G360" s="15">
        <f>Catalog!K333</f>
        <v/>
      </c>
      <c r="H360" s="15">
        <f>IF(Catalog!S333&lt;&gt;"","ISBN:"&amp;Catalog!S333,IF(Catalog!T333&lt;&gt;"","ISSN:"&amp;Catalog!T333,""))</f>
        <v/>
      </c>
      <c r="I360" s="15">
        <f>Catalog!B333</f>
        <v/>
      </c>
      <c r="J360" s="15">
        <f>Catalog!L333</f>
        <v/>
      </c>
      <c r="K360" s="15">
        <f>IF(Catalog!AG333&lt;&gt;"",Catalog!AG333,Catalog!AE333)</f>
        <v/>
      </c>
      <c r="L360" s="15">
        <f>Catalog!AD333</f>
        <v/>
      </c>
      <c r="M360" s="15">
        <f>Catalog!V333</f>
        <v/>
      </c>
      <c r="N360" s="15">
        <f>Catalog!Q333</f>
        <v/>
      </c>
      <c r="O360" s="15">
        <f>Catalog!AF333</f>
        <v/>
      </c>
    </row>
    <row r="361">
      <c r="A361" s="15">
        <f>Catalog!D334</f>
        <v/>
      </c>
      <c r="B361" s="15">
        <f>Catalog!F334</f>
        <v/>
      </c>
      <c r="C361" s="15">
        <f>IF(Catalog!I334="","",Catalog!I334)&amp;IF(AND(Catalog!I334&lt;&gt;"",Catalog!J334&lt;&gt;""),"; ","")&amp;IF(Catalog!J334="","",Catalog!J334)</f>
        <v/>
      </c>
      <c r="D361" s="15">
        <f>Catalog!P334</f>
        <v/>
      </c>
      <c r="E361" s="15">
        <f>Catalog!R334</f>
        <v/>
      </c>
      <c r="F361" s="15">
        <f>Catalog!M334</f>
        <v/>
      </c>
      <c r="G361" s="15">
        <f>Catalog!K334</f>
        <v/>
      </c>
      <c r="H361" s="15">
        <f>IF(Catalog!S334&lt;&gt;"","ISBN:"&amp;Catalog!S334,IF(Catalog!T334&lt;&gt;"","ISSN:"&amp;Catalog!T334,""))</f>
        <v/>
      </c>
      <c r="I361" s="15">
        <f>Catalog!B334</f>
        <v/>
      </c>
      <c r="J361" s="15">
        <f>Catalog!L334</f>
        <v/>
      </c>
      <c r="K361" s="15">
        <f>IF(Catalog!AG334&lt;&gt;"",Catalog!AG334,Catalog!AE334)</f>
        <v/>
      </c>
      <c r="L361" s="15">
        <f>Catalog!AD334</f>
        <v/>
      </c>
      <c r="M361" s="15">
        <f>Catalog!V334</f>
        <v/>
      </c>
      <c r="N361" s="15">
        <f>Catalog!Q334</f>
        <v/>
      </c>
      <c r="O361" s="15">
        <f>Catalog!AF334</f>
        <v/>
      </c>
    </row>
    <row r="362">
      <c r="A362" s="15">
        <f>Catalog!D335</f>
        <v/>
      </c>
      <c r="B362" s="15">
        <f>Catalog!F335</f>
        <v/>
      </c>
      <c r="C362" s="15">
        <f>IF(Catalog!I335="","",Catalog!I335)&amp;IF(AND(Catalog!I335&lt;&gt;"",Catalog!J335&lt;&gt;""),"; ","")&amp;IF(Catalog!J335="","",Catalog!J335)</f>
        <v/>
      </c>
      <c r="D362" s="15">
        <f>Catalog!P335</f>
        <v/>
      </c>
      <c r="E362" s="15">
        <f>Catalog!R335</f>
        <v/>
      </c>
      <c r="F362" s="15">
        <f>Catalog!M335</f>
        <v/>
      </c>
      <c r="G362" s="15">
        <f>Catalog!K335</f>
        <v/>
      </c>
      <c r="H362" s="15">
        <f>IF(Catalog!S335&lt;&gt;"","ISBN:"&amp;Catalog!S335,IF(Catalog!T335&lt;&gt;"","ISSN:"&amp;Catalog!T335,""))</f>
        <v/>
      </c>
      <c r="I362" s="15">
        <f>Catalog!B335</f>
        <v/>
      </c>
      <c r="J362" s="15">
        <f>Catalog!L335</f>
        <v/>
      </c>
      <c r="K362" s="15">
        <f>IF(Catalog!AG335&lt;&gt;"",Catalog!AG335,Catalog!AE335)</f>
        <v/>
      </c>
      <c r="L362" s="15">
        <f>Catalog!AD335</f>
        <v/>
      </c>
      <c r="M362" s="15">
        <f>Catalog!V335</f>
        <v/>
      </c>
      <c r="N362" s="15">
        <f>Catalog!Q335</f>
        <v/>
      </c>
      <c r="O362" s="15">
        <f>Catalog!AF335</f>
        <v/>
      </c>
    </row>
    <row r="363">
      <c r="A363" s="15">
        <f>Catalog!D336</f>
        <v/>
      </c>
      <c r="B363" s="15">
        <f>Catalog!F336</f>
        <v/>
      </c>
      <c r="C363" s="15">
        <f>IF(Catalog!I336="","",Catalog!I336)&amp;IF(AND(Catalog!I336&lt;&gt;"",Catalog!J336&lt;&gt;""),"; ","")&amp;IF(Catalog!J336="","",Catalog!J336)</f>
        <v/>
      </c>
      <c r="D363" s="15">
        <f>Catalog!P336</f>
        <v/>
      </c>
      <c r="E363" s="15">
        <f>Catalog!R336</f>
        <v/>
      </c>
      <c r="F363" s="15">
        <f>Catalog!M336</f>
        <v/>
      </c>
      <c r="G363" s="15">
        <f>Catalog!K336</f>
        <v/>
      </c>
      <c r="H363" s="15">
        <f>IF(Catalog!S336&lt;&gt;"","ISBN:"&amp;Catalog!S336,IF(Catalog!T336&lt;&gt;"","ISSN:"&amp;Catalog!T336,""))</f>
        <v/>
      </c>
      <c r="I363" s="15">
        <f>Catalog!B336</f>
        <v/>
      </c>
      <c r="J363" s="15">
        <f>Catalog!L336</f>
        <v/>
      </c>
      <c r="K363" s="15">
        <f>IF(Catalog!AG336&lt;&gt;"",Catalog!AG336,Catalog!AE336)</f>
        <v/>
      </c>
      <c r="L363" s="15">
        <f>Catalog!AD336</f>
        <v/>
      </c>
      <c r="M363" s="15">
        <f>Catalog!V336</f>
        <v/>
      </c>
      <c r="N363" s="15">
        <f>Catalog!Q336</f>
        <v/>
      </c>
      <c r="O363" s="15">
        <f>Catalog!AF336</f>
        <v/>
      </c>
    </row>
    <row r="364">
      <c r="A364" s="15">
        <f>Catalog!D337</f>
        <v/>
      </c>
      <c r="B364" s="15">
        <f>Catalog!F337</f>
        <v/>
      </c>
      <c r="C364" s="15">
        <f>IF(Catalog!I337="","",Catalog!I337)&amp;IF(AND(Catalog!I337&lt;&gt;"",Catalog!J337&lt;&gt;""),"; ","")&amp;IF(Catalog!J337="","",Catalog!J337)</f>
        <v/>
      </c>
      <c r="D364" s="15">
        <f>Catalog!P337</f>
        <v/>
      </c>
      <c r="E364" s="15">
        <f>Catalog!R337</f>
        <v/>
      </c>
      <c r="F364" s="15">
        <f>Catalog!M337</f>
        <v/>
      </c>
      <c r="G364" s="15">
        <f>Catalog!K337</f>
        <v/>
      </c>
      <c r="H364" s="15">
        <f>IF(Catalog!S337&lt;&gt;"","ISBN:"&amp;Catalog!S337,IF(Catalog!T337&lt;&gt;"","ISSN:"&amp;Catalog!T337,""))</f>
        <v/>
      </c>
      <c r="I364" s="15">
        <f>Catalog!B337</f>
        <v/>
      </c>
      <c r="J364" s="15">
        <f>Catalog!L337</f>
        <v/>
      </c>
      <c r="K364" s="15">
        <f>IF(Catalog!AG337&lt;&gt;"",Catalog!AG337,Catalog!AE337)</f>
        <v/>
      </c>
      <c r="L364" s="15">
        <f>Catalog!AD337</f>
        <v/>
      </c>
      <c r="M364" s="15">
        <f>Catalog!V337</f>
        <v/>
      </c>
      <c r="N364" s="15">
        <f>Catalog!Q337</f>
        <v/>
      </c>
      <c r="O364" s="15">
        <f>Catalog!AF337</f>
        <v/>
      </c>
    </row>
    <row r="365">
      <c r="A365" s="15">
        <f>Catalog!D338</f>
        <v/>
      </c>
      <c r="B365" s="15">
        <f>Catalog!F338</f>
        <v/>
      </c>
      <c r="C365" s="15">
        <f>IF(Catalog!I338="","",Catalog!I338)&amp;IF(AND(Catalog!I338&lt;&gt;"",Catalog!J338&lt;&gt;""),"; ","")&amp;IF(Catalog!J338="","",Catalog!J338)</f>
        <v/>
      </c>
      <c r="D365" s="15">
        <f>Catalog!P338</f>
        <v/>
      </c>
      <c r="E365" s="15">
        <f>Catalog!R338</f>
        <v/>
      </c>
      <c r="F365" s="15">
        <f>Catalog!M338</f>
        <v/>
      </c>
      <c r="G365" s="15">
        <f>Catalog!K338</f>
        <v/>
      </c>
      <c r="H365" s="15">
        <f>IF(Catalog!S338&lt;&gt;"","ISBN:"&amp;Catalog!S338,IF(Catalog!T338&lt;&gt;"","ISSN:"&amp;Catalog!T338,""))</f>
        <v/>
      </c>
      <c r="I365" s="15">
        <f>Catalog!B338</f>
        <v/>
      </c>
      <c r="J365" s="15">
        <f>Catalog!L338</f>
        <v/>
      </c>
      <c r="K365" s="15">
        <f>IF(Catalog!AG338&lt;&gt;"",Catalog!AG338,Catalog!AE338)</f>
        <v/>
      </c>
      <c r="L365" s="15">
        <f>Catalog!AD338</f>
        <v/>
      </c>
      <c r="M365" s="15">
        <f>Catalog!V338</f>
        <v/>
      </c>
      <c r="N365" s="15">
        <f>Catalog!Q338</f>
        <v/>
      </c>
      <c r="O365" s="15">
        <f>Catalog!AF338</f>
        <v/>
      </c>
    </row>
    <row r="366">
      <c r="A366" s="15">
        <f>Catalog!D339</f>
        <v/>
      </c>
      <c r="B366" s="15">
        <f>Catalog!F339</f>
        <v/>
      </c>
      <c r="C366" s="15">
        <f>IF(Catalog!I339="","",Catalog!I339)&amp;IF(AND(Catalog!I339&lt;&gt;"",Catalog!J339&lt;&gt;""),"; ","")&amp;IF(Catalog!J339="","",Catalog!J339)</f>
        <v/>
      </c>
      <c r="D366" s="15">
        <f>Catalog!P339</f>
        <v/>
      </c>
      <c r="E366" s="15">
        <f>Catalog!R339</f>
        <v/>
      </c>
      <c r="F366" s="15">
        <f>Catalog!M339</f>
        <v/>
      </c>
      <c r="G366" s="15">
        <f>Catalog!K339</f>
        <v/>
      </c>
      <c r="H366" s="15">
        <f>IF(Catalog!S339&lt;&gt;"","ISBN:"&amp;Catalog!S339,IF(Catalog!T339&lt;&gt;"","ISSN:"&amp;Catalog!T339,""))</f>
        <v/>
      </c>
      <c r="I366" s="15">
        <f>Catalog!B339</f>
        <v/>
      </c>
      <c r="J366" s="15">
        <f>Catalog!L339</f>
        <v/>
      </c>
      <c r="K366" s="15">
        <f>IF(Catalog!AG339&lt;&gt;"",Catalog!AG339,Catalog!AE339)</f>
        <v/>
      </c>
      <c r="L366" s="15">
        <f>Catalog!AD339</f>
        <v/>
      </c>
      <c r="M366" s="15">
        <f>Catalog!V339</f>
        <v/>
      </c>
      <c r="N366" s="15">
        <f>Catalog!Q339</f>
        <v/>
      </c>
      <c r="O366" s="15">
        <f>Catalog!AF339</f>
        <v/>
      </c>
    </row>
    <row r="367">
      <c r="A367" s="15">
        <f>Catalog!D340</f>
        <v/>
      </c>
      <c r="B367" s="15">
        <f>Catalog!F340</f>
        <v/>
      </c>
      <c r="C367" s="15">
        <f>IF(Catalog!I340="","",Catalog!I340)&amp;IF(AND(Catalog!I340&lt;&gt;"",Catalog!J340&lt;&gt;""),"; ","")&amp;IF(Catalog!J340="","",Catalog!J340)</f>
        <v/>
      </c>
      <c r="D367" s="15">
        <f>Catalog!P340</f>
        <v/>
      </c>
      <c r="E367" s="15">
        <f>Catalog!R340</f>
        <v/>
      </c>
      <c r="F367" s="15">
        <f>Catalog!M340</f>
        <v/>
      </c>
      <c r="G367" s="15">
        <f>Catalog!K340</f>
        <v/>
      </c>
      <c r="H367" s="15">
        <f>IF(Catalog!S340&lt;&gt;"","ISBN:"&amp;Catalog!S340,IF(Catalog!T340&lt;&gt;"","ISSN:"&amp;Catalog!T340,""))</f>
        <v/>
      </c>
      <c r="I367" s="15">
        <f>Catalog!B340</f>
        <v/>
      </c>
      <c r="J367" s="15">
        <f>Catalog!L340</f>
        <v/>
      </c>
      <c r="K367" s="15">
        <f>IF(Catalog!AG340&lt;&gt;"",Catalog!AG340,Catalog!AE340)</f>
        <v/>
      </c>
      <c r="L367" s="15">
        <f>Catalog!AD340</f>
        <v/>
      </c>
      <c r="M367" s="15">
        <f>Catalog!V340</f>
        <v/>
      </c>
      <c r="N367" s="15">
        <f>Catalog!Q340</f>
        <v/>
      </c>
      <c r="O367" s="15">
        <f>Catalog!AF340</f>
        <v/>
      </c>
    </row>
    <row r="368">
      <c r="A368" s="15">
        <f>Catalog!D341</f>
        <v/>
      </c>
      <c r="B368" s="15">
        <f>Catalog!F341</f>
        <v/>
      </c>
      <c r="C368" s="15">
        <f>IF(Catalog!I341="","",Catalog!I341)&amp;IF(AND(Catalog!I341&lt;&gt;"",Catalog!J341&lt;&gt;""),"; ","")&amp;IF(Catalog!J341="","",Catalog!J341)</f>
        <v/>
      </c>
      <c r="D368" s="15">
        <f>Catalog!P341</f>
        <v/>
      </c>
      <c r="E368" s="15">
        <f>Catalog!R341</f>
        <v/>
      </c>
      <c r="F368" s="15">
        <f>Catalog!M341</f>
        <v/>
      </c>
      <c r="G368" s="15">
        <f>Catalog!K341</f>
        <v/>
      </c>
      <c r="H368" s="15">
        <f>IF(Catalog!S341&lt;&gt;"","ISBN:"&amp;Catalog!S341,IF(Catalog!T341&lt;&gt;"","ISSN:"&amp;Catalog!T341,""))</f>
        <v/>
      </c>
      <c r="I368" s="15">
        <f>Catalog!B341</f>
        <v/>
      </c>
      <c r="J368" s="15">
        <f>Catalog!L341</f>
        <v/>
      </c>
      <c r="K368" s="15">
        <f>IF(Catalog!AG341&lt;&gt;"",Catalog!AG341,Catalog!AE341)</f>
        <v/>
      </c>
      <c r="L368" s="15">
        <f>Catalog!AD341</f>
        <v/>
      </c>
      <c r="M368" s="15">
        <f>Catalog!V341</f>
        <v/>
      </c>
      <c r="N368" s="15">
        <f>Catalog!Q341</f>
        <v/>
      </c>
      <c r="O368" s="15">
        <f>Catalog!AF341</f>
        <v/>
      </c>
    </row>
    <row r="369">
      <c r="A369" s="15">
        <f>Catalog!D342</f>
        <v/>
      </c>
      <c r="B369" s="15">
        <f>Catalog!F342</f>
        <v/>
      </c>
      <c r="C369" s="15">
        <f>IF(Catalog!I342="","",Catalog!I342)&amp;IF(AND(Catalog!I342&lt;&gt;"",Catalog!J342&lt;&gt;""),"; ","")&amp;IF(Catalog!J342="","",Catalog!J342)</f>
        <v/>
      </c>
      <c r="D369" s="15">
        <f>Catalog!P342</f>
        <v/>
      </c>
      <c r="E369" s="15">
        <f>Catalog!R342</f>
        <v/>
      </c>
      <c r="F369" s="15">
        <f>Catalog!M342</f>
        <v/>
      </c>
      <c r="G369" s="15">
        <f>Catalog!K342</f>
        <v/>
      </c>
      <c r="H369" s="15">
        <f>IF(Catalog!S342&lt;&gt;"","ISBN:"&amp;Catalog!S342,IF(Catalog!T342&lt;&gt;"","ISSN:"&amp;Catalog!T342,""))</f>
        <v/>
      </c>
      <c r="I369" s="15">
        <f>Catalog!B342</f>
        <v/>
      </c>
      <c r="J369" s="15">
        <f>Catalog!L342</f>
        <v/>
      </c>
      <c r="K369" s="15">
        <f>IF(Catalog!AG342&lt;&gt;"",Catalog!AG342,Catalog!AE342)</f>
        <v/>
      </c>
      <c r="L369" s="15">
        <f>Catalog!AD342</f>
        <v/>
      </c>
      <c r="M369" s="15">
        <f>Catalog!V342</f>
        <v/>
      </c>
      <c r="N369" s="15">
        <f>Catalog!Q342</f>
        <v/>
      </c>
      <c r="O369" s="15">
        <f>Catalog!AF342</f>
        <v/>
      </c>
    </row>
    <row r="370">
      <c r="A370" s="15">
        <f>Catalog!D343</f>
        <v/>
      </c>
      <c r="B370" s="15">
        <f>Catalog!F343</f>
        <v/>
      </c>
      <c r="C370" s="15">
        <f>IF(Catalog!I343="","",Catalog!I343)&amp;IF(AND(Catalog!I343&lt;&gt;"",Catalog!J343&lt;&gt;""),"; ","")&amp;IF(Catalog!J343="","",Catalog!J343)</f>
        <v/>
      </c>
      <c r="D370" s="15">
        <f>Catalog!P343</f>
        <v/>
      </c>
      <c r="E370" s="15">
        <f>Catalog!R343</f>
        <v/>
      </c>
      <c r="F370" s="15">
        <f>Catalog!M343</f>
        <v/>
      </c>
      <c r="G370" s="15">
        <f>Catalog!K343</f>
        <v/>
      </c>
      <c r="H370" s="15">
        <f>IF(Catalog!S343&lt;&gt;"","ISBN:"&amp;Catalog!S343,IF(Catalog!T343&lt;&gt;"","ISSN:"&amp;Catalog!T343,""))</f>
        <v/>
      </c>
      <c r="I370" s="15">
        <f>Catalog!B343</f>
        <v/>
      </c>
      <c r="J370" s="15">
        <f>Catalog!L343</f>
        <v/>
      </c>
      <c r="K370" s="15">
        <f>IF(Catalog!AG343&lt;&gt;"",Catalog!AG343,Catalog!AE343)</f>
        <v/>
      </c>
      <c r="L370" s="15">
        <f>Catalog!AD343</f>
        <v/>
      </c>
      <c r="M370" s="15">
        <f>Catalog!V343</f>
        <v/>
      </c>
      <c r="N370" s="15">
        <f>Catalog!Q343</f>
        <v/>
      </c>
      <c r="O370" s="15">
        <f>Catalog!AF343</f>
        <v/>
      </c>
    </row>
    <row r="371">
      <c r="A371" s="15">
        <f>Catalog!D344</f>
        <v/>
      </c>
      <c r="B371" s="15">
        <f>Catalog!F344</f>
        <v/>
      </c>
      <c r="C371" s="15">
        <f>IF(Catalog!I344="","",Catalog!I344)&amp;IF(AND(Catalog!I344&lt;&gt;"",Catalog!J344&lt;&gt;""),"; ","")&amp;IF(Catalog!J344="","",Catalog!J344)</f>
        <v/>
      </c>
      <c r="D371" s="15">
        <f>Catalog!P344</f>
        <v/>
      </c>
      <c r="E371" s="15">
        <f>Catalog!R344</f>
        <v/>
      </c>
      <c r="F371" s="15">
        <f>Catalog!M344</f>
        <v/>
      </c>
      <c r="G371" s="15">
        <f>Catalog!K344</f>
        <v/>
      </c>
      <c r="H371" s="15">
        <f>IF(Catalog!S344&lt;&gt;"","ISBN:"&amp;Catalog!S344,IF(Catalog!T344&lt;&gt;"","ISSN:"&amp;Catalog!T344,""))</f>
        <v/>
      </c>
      <c r="I371" s="15">
        <f>Catalog!B344</f>
        <v/>
      </c>
      <c r="J371" s="15">
        <f>Catalog!L344</f>
        <v/>
      </c>
      <c r="K371" s="15">
        <f>IF(Catalog!AG344&lt;&gt;"",Catalog!AG344,Catalog!AE344)</f>
        <v/>
      </c>
      <c r="L371" s="15">
        <f>Catalog!AD344</f>
        <v/>
      </c>
      <c r="M371" s="15">
        <f>Catalog!V344</f>
        <v/>
      </c>
      <c r="N371" s="15">
        <f>Catalog!Q344</f>
        <v/>
      </c>
      <c r="O371" s="15">
        <f>Catalog!AF344</f>
        <v/>
      </c>
    </row>
    <row r="372">
      <c r="A372" s="15">
        <f>Catalog!D345</f>
        <v/>
      </c>
      <c r="B372" s="15">
        <f>Catalog!F345</f>
        <v/>
      </c>
      <c r="C372" s="15">
        <f>IF(Catalog!I345="","",Catalog!I345)&amp;IF(AND(Catalog!I345&lt;&gt;"",Catalog!J345&lt;&gt;""),"; ","")&amp;IF(Catalog!J345="","",Catalog!J345)</f>
        <v/>
      </c>
      <c r="D372" s="15">
        <f>Catalog!P345</f>
        <v/>
      </c>
      <c r="E372" s="15">
        <f>Catalog!R345</f>
        <v/>
      </c>
      <c r="F372" s="15">
        <f>Catalog!M345</f>
        <v/>
      </c>
      <c r="G372" s="15">
        <f>Catalog!K345</f>
        <v/>
      </c>
      <c r="H372" s="15">
        <f>IF(Catalog!S345&lt;&gt;"","ISBN:"&amp;Catalog!S345,IF(Catalog!T345&lt;&gt;"","ISSN:"&amp;Catalog!T345,""))</f>
        <v/>
      </c>
      <c r="I372" s="15">
        <f>Catalog!B345</f>
        <v/>
      </c>
      <c r="J372" s="15">
        <f>Catalog!L345</f>
        <v/>
      </c>
      <c r="K372" s="15">
        <f>IF(Catalog!AG345&lt;&gt;"",Catalog!AG345,Catalog!AE345)</f>
        <v/>
      </c>
      <c r="L372" s="15">
        <f>Catalog!AD345</f>
        <v/>
      </c>
      <c r="M372" s="15">
        <f>Catalog!V345</f>
        <v/>
      </c>
      <c r="N372" s="15">
        <f>Catalog!Q345</f>
        <v/>
      </c>
      <c r="O372" s="15">
        <f>Catalog!AF345</f>
        <v/>
      </c>
    </row>
    <row r="373">
      <c r="A373" s="15">
        <f>Catalog!D346</f>
        <v/>
      </c>
      <c r="B373" s="15">
        <f>Catalog!F346</f>
        <v/>
      </c>
      <c r="C373" s="15">
        <f>IF(Catalog!I346="","",Catalog!I346)&amp;IF(AND(Catalog!I346&lt;&gt;"",Catalog!J346&lt;&gt;""),"; ","")&amp;IF(Catalog!J346="","",Catalog!J346)</f>
        <v/>
      </c>
      <c r="D373" s="15">
        <f>Catalog!P346</f>
        <v/>
      </c>
      <c r="E373" s="15">
        <f>Catalog!R346</f>
        <v/>
      </c>
      <c r="F373" s="15">
        <f>Catalog!M346</f>
        <v/>
      </c>
      <c r="G373" s="15">
        <f>Catalog!K346</f>
        <v/>
      </c>
      <c r="H373" s="15">
        <f>IF(Catalog!S346&lt;&gt;"","ISBN:"&amp;Catalog!S346,IF(Catalog!T346&lt;&gt;"","ISSN:"&amp;Catalog!T346,""))</f>
        <v/>
      </c>
      <c r="I373" s="15">
        <f>Catalog!B346</f>
        <v/>
      </c>
      <c r="J373" s="15">
        <f>Catalog!L346</f>
        <v/>
      </c>
      <c r="K373" s="15">
        <f>IF(Catalog!AG346&lt;&gt;"",Catalog!AG346,Catalog!AE346)</f>
        <v/>
      </c>
      <c r="L373" s="15">
        <f>Catalog!AD346</f>
        <v/>
      </c>
      <c r="M373" s="15">
        <f>Catalog!V346</f>
        <v/>
      </c>
      <c r="N373" s="15">
        <f>Catalog!Q346</f>
        <v/>
      </c>
      <c r="O373" s="15">
        <f>Catalog!AF346</f>
        <v/>
      </c>
    </row>
    <row r="374">
      <c r="A374" s="15">
        <f>Catalog!D347</f>
        <v/>
      </c>
      <c r="B374" s="15">
        <f>Catalog!F347</f>
        <v/>
      </c>
      <c r="C374" s="15">
        <f>IF(Catalog!I347="","",Catalog!I347)&amp;IF(AND(Catalog!I347&lt;&gt;"",Catalog!J347&lt;&gt;""),"; ","")&amp;IF(Catalog!J347="","",Catalog!J347)</f>
        <v/>
      </c>
      <c r="D374" s="15">
        <f>Catalog!P347</f>
        <v/>
      </c>
      <c r="E374" s="15">
        <f>Catalog!R347</f>
        <v/>
      </c>
      <c r="F374" s="15">
        <f>Catalog!M347</f>
        <v/>
      </c>
      <c r="G374" s="15">
        <f>Catalog!K347</f>
        <v/>
      </c>
      <c r="H374" s="15">
        <f>IF(Catalog!S347&lt;&gt;"","ISBN:"&amp;Catalog!S347,IF(Catalog!T347&lt;&gt;"","ISSN:"&amp;Catalog!T347,""))</f>
        <v/>
      </c>
      <c r="I374" s="15">
        <f>Catalog!B347</f>
        <v/>
      </c>
      <c r="J374" s="15">
        <f>Catalog!L347</f>
        <v/>
      </c>
      <c r="K374" s="15">
        <f>IF(Catalog!AG347&lt;&gt;"",Catalog!AG347,Catalog!AE347)</f>
        <v/>
      </c>
      <c r="L374" s="15">
        <f>Catalog!AD347</f>
        <v/>
      </c>
      <c r="M374" s="15">
        <f>Catalog!V347</f>
        <v/>
      </c>
      <c r="N374" s="15">
        <f>Catalog!Q347</f>
        <v/>
      </c>
      <c r="O374" s="15">
        <f>Catalog!AF347</f>
        <v/>
      </c>
    </row>
    <row r="375">
      <c r="A375" s="15">
        <f>Catalog!D348</f>
        <v/>
      </c>
      <c r="B375" s="15">
        <f>Catalog!F348</f>
        <v/>
      </c>
      <c r="C375" s="15">
        <f>IF(Catalog!I348="","",Catalog!I348)&amp;IF(AND(Catalog!I348&lt;&gt;"",Catalog!J348&lt;&gt;""),"; ","")&amp;IF(Catalog!J348="","",Catalog!J348)</f>
        <v/>
      </c>
      <c r="D375" s="15">
        <f>Catalog!P348</f>
        <v/>
      </c>
      <c r="E375" s="15">
        <f>Catalog!R348</f>
        <v/>
      </c>
      <c r="F375" s="15">
        <f>Catalog!M348</f>
        <v/>
      </c>
      <c r="G375" s="15">
        <f>Catalog!K348</f>
        <v/>
      </c>
      <c r="H375" s="15">
        <f>IF(Catalog!S348&lt;&gt;"","ISBN:"&amp;Catalog!S348,IF(Catalog!T348&lt;&gt;"","ISSN:"&amp;Catalog!T348,""))</f>
        <v/>
      </c>
      <c r="I375" s="15">
        <f>Catalog!B348</f>
        <v/>
      </c>
      <c r="J375" s="15">
        <f>Catalog!L348</f>
        <v/>
      </c>
      <c r="K375" s="15">
        <f>IF(Catalog!AG348&lt;&gt;"",Catalog!AG348,Catalog!AE348)</f>
        <v/>
      </c>
      <c r="L375" s="15">
        <f>Catalog!AD348</f>
        <v/>
      </c>
      <c r="M375" s="15">
        <f>Catalog!V348</f>
        <v/>
      </c>
      <c r="N375" s="15">
        <f>Catalog!Q348</f>
        <v/>
      </c>
      <c r="O375" s="15">
        <f>Catalog!AF348</f>
        <v/>
      </c>
    </row>
    <row r="376">
      <c r="A376" s="15">
        <f>Catalog!D349</f>
        <v/>
      </c>
      <c r="B376" s="15">
        <f>Catalog!F349</f>
        <v/>
      </c>
      <c r="C376" s="15">
        <f>IF(Catalog!I349="","",Catalog!I349)&amp;IF(AND(Catalog!I349&lt;&gt;"",Catalog!J349&lt;&gt;""),"; ","")&amp;IF(Catalog!J349="","",Catalog!J349)</f>
        <v/>
      </c>
      <c r="D376" s="15">
        <f>Catalog!P349</f>
        <v/>
      </c>
      <c r="E376" s="15">
        <f>Catalog!R349</f>
        <v/>
      </c>
      <c r="F376" s="15">
        <f>Catalog!M349</f>
        <v/>
      </c>
      <c r="G376" s="15">
        <f>Catalog!K349</f>
        <v/>
      </c>
      <c r="H376" s="15">
        <f>IF(Catalog!S349&lt;&gt;"","ISBN:"&amp;Catalog!S349,IF(Catalog!T349&lt;&gt;"","ISSN:"&amp;Catalog!T349,""))</f>
        <v/>
      </c>
      <c r="I376" s="15">
        <f>Catalog!B349</f>
        <v/>
      </c>
      <c r="J376" s="15">
        <f>Catalog!L349</f>
        <v/>
      </c>
      <c r="K376" s="15">
        <f>IF(Catalog!AG349&lt;&gt;"",Catalog!AG349,Catalog!AE349)</f>
        <v/>
      </c>
      <c r="L376" s="15">
        <f>Catalog!AD349</f>
        <v/>
      </c>
      <c r="M376" s="15">
        <f>Catalog!V349</f>
        <v/>
      </c>
      <c r="N376" s="15">
        <f>Catalog!Q349</f>
        <v/>
      </c>
      <c r="O376" s="15">
        <f>Catalog!AF349</f>
        <v/>
      </c>
    </row>
    <row r="377">
      <c r="A377" s="15">
        <f>Catalog!D350</f>
        <v/>
      </c>
      <c r="B377" s="15">
        <f>Catalog!F350</f>
        <v/>
      </c>
      <c r="C377" s="15">
        <f>IF(Catalog!I350="","",Catalog!I350)&amp;IF(AND(Catalog!I350&lt;&gt;"",Catalog!J350&lt;&gt;""),"; ","")&amp;IF(Catalog!J350="","",Catalog!J350)</f>
        <v/>
      </c>
      <c r="D377" s="15">
        <f>Catalog!P350</f>
        <v/>
      </c>
      <c r="E377" s="15">
        <f>Catalog!R350</f>
        <v/>
      </c>
      <c r="F377" s="15">
        <f>Catalog!M350</f>
        <v/>
      </c>
      <c r="G377" s="15">
        <f>Catalog!K350</f>
        <v/>
      </c>
      <c r="H377" s="15">
        <f>IF(Catalog!S350&lt;&gt;"","ISBN:"&amp;Catalog!S350,IF(Catalog!T350&lt;&gt;"","ISSN:"&amp;Catalog!T350,""))</f>
        <v/>
      </c>
      <c r="I377" s="15">
        <f>Catalog!B350</f>
        <v/>
      </c>
      <c r="J377" s="15">
        <f>Catalog!L350</f>
        <v/>
      </c>
      <c r="K377" s="15">
        <f>IF(Catalog!AG350&lt;&gt;"",Catalog!AG350,Catalog!AE350)</f>
        <v/>
      </c>
      <c r="L377" s="15">
        <f>Catalog!AD350</f>
        <v/>
      </c>
      <c r="M377" s="15">
        <f>Catalog!V350</f>
        <v/>
      </c>
      <c r="N377" s="15">
        <f>Catalog!Q350</f>
        <v/>
      </c>
      <c r="O377" s="15">
        <f>Catalog!AF350</f>
        <v/>
      </c>
    </row>
    <row r="378">
      <c r="A378" s="15">
        <f>Catalog!D351</f>
        <v/>
      </c>
      <c r="B378" s="15">
        <f>Catalog!F351</f>
        <v/>
      </c>
      <c r="C378" s="15">
        <f>IF(Catalog!I351="","",Catalog!I351)&amp;IF(AND(Catalog!I351&lt;&gt;"",Catalog!J351&lt;&gt;""),"; ","")&amp;IF(Catalog!J351="","",Catalog!J351)</f>
        <v/>
      </c>
      <c r="D378" s="15">
        <f>Catalog!P351</f>
        <v/>
      </c>
      <c r="E378" s="15">
        <f>Catalog!R351</f>
        <v/>
      </c>
      <c r="F378" s="15">
        <f>Catalog!M351</f>
        <v/>
      </c>
      <c r="G378" s="15">
        <f>Catalog!K351</f>
        <v/>
      </c>
      <c r="H378" s="15">
        <f>IF(Catalog!S351&lt;&gt;"","ISBN:"&amp;Catalog!S351,IF(Catalog!T351&lt;&gt;"","ISSN:"&amp;Catalog!T351,""))</f>
        <v/>
      </c>
      <c r="I378" s="15">
        <f>Catalog!B351</f>
        <v/>
      </c>
      <c r="J378" s="15">
        <f>Catalog!L351</f>
        <v/>
      </c>
      <c r="K378" s="15">
        <f>IF(Catalog!AG351&lt;&gt;"",Catalog!AG351,Catalog!AE351)</f>
        <v/>
      </c>
      <c r="L378" s="15">
        <f>Catalog!AD351</f>
        <v/>
      </c>
      <c r="M378" s="15">
        <f>Catalog!V351</f>
        <v/>
      </c>
      <c r="N378" s="15">
        <f>Catalog!Q351</f>
        <v/>
      </c>
      <c r="O378" s="15">
        <f>Catalog!AF351</f>
        <v/>
      </c>
    </row>
    <row r="379">
      <c r="A379" s="15">
        <f>Catalog!D352</f>
        <v/>
      </c>
      <c r="B379" s="15">
        <f>Catalog!F352</f>
        <v/>
      </c>
      <c r="C379" s="15">
        <f>IF(Catalog!I352="","",Catalog!I352)&amp;IF(AND(Catalog!I352&lt;&gt;"",Catalog!J352&lt;&gt;""),"; ","")&amp;IF(Catalog!J352="","",Catalog!J352)</f>
        <v/>
      </c>
      <c r="D379" s="15">
        <f>Catalog!P352</f>
        <v/>
      </c>
      <c r="E379" s="15">
        <f>Catalog!R352</f>
        <v/>
      </c>
      <c r="F379" s="15">
        <f>Catalog!M352</f>
        <v/>
      </c>
      <c r="G379" s="15">
        <f>Catalog!K352</f>
        <v/>
      </c>
      <c r="H379" s="15">
        <f>IF(Catalog!S352&lt;&gt;"","ISBN:"&amp;Catalog!S352,IF(Catalog!T352&lt;&gt;"","ISSN:"&amp;Catalog!T352,""))</f>
        <v/>
      </c>
      <c r="I379" s="15">
        <f>Catalog!B352</f>
        <v/>
      </c>
      <c r="J379" s="15">
        <f>Catalog!L352</f>
        <v/>
      </c>
      <c r="K379" s="15">
        <f>IF(Catalog!AG352&lt;&gt;"",Catalog!AG352,Catalog!AE352)</f>
        <v/>
      </c>
      <c r="L379" s="15">
        <f>Catalog!AD352</f>
        <v/>
      </c>
      <c r="M379" s="15">
        <f>Catalog!V352</f>
        <v/>
      </c>
      <c r="N379" s="15">
        <f>Catalog!Q352</f>
        <v/>
      </c>
      <c r="O379" s="15">
        <f>Catalog!AF352</f>
        <v/>
      </c>
    </row>
    <row r="380">
      <c r="A380" s="15">
        <f>Catalog!D353</f>
        <v/>
      </c>
      <c r="B380" s="15">
        <f>Catalog!F353</f>
        <v/>
      </c>
      <c r="C380" s="15">
        <f>IF(Catalog!I353="","",Catalog!I353)&amp;IF(AND(Catalog!I353&lt;&gt;"",Catalog!J353&lt;&gt;""),"; ","")&amp;IF(Catalog!J353="","",Catalog!J353)</f>
        <v/>
      </c>
      <c r="D380" s="15">
        <f>Catalog!P353</f>
        <v/>
      </c>
      <c r="E380" s="15">
        <f>Catalog!R353</f>
        <v/>
      </c>
      <c r="F380" s="15">
        <f>Catalog!M353</f>
        <v/>
      </c>
      <c r="G380" s="15">
        <f>Catalog!K353</f>
        <v/>
      </c>
      <c r="H380" s="15">
        <f>IF(Catalog!S353&lt;&gt;"","ISBN:"&amp;Catalog!S353,IF(Catalog!T353&lt;&gt;"","ISSN:"&amp;Catalog!T353,""))</f>
        <v/>
      </c>
      <c r="I380" s="15">
        <f>Catalog!B353</f>
        <v/>
      </c>
      <c r="J380" s="15">
        <f>Catalog!L353</f>
        <v/>
      </c>
      <c r="K380" s="15">
        <f>IF(Catalog!AG353&lt;&gt;"",Catalog!AG353,Catalog!AE353)</f>
        <v/>
      </c>
      <c r="L380" s="15">
        <f>Catalog!AD353</f>
        <v/>
      </c>
      <c r="M380" s="15">
        <f>Catalog!V353</f>
        <v/>
      </c>
      <c r="N380" s="15">
        <f>Catalog!Q353</f>
        <v/>
      </c>
      <c r="O380" s="15">
        <f>Catalog!AF353</f>
        <v/>
      </c>
    </row>
    <row r="381">
      <c r="A381" s="15">
        <f>Catalog!D354</f>
        <v/>
      </c>
      <c r="B381" s="15">
        <f>Catalog!F354</f>
        <v/>
      </c>
      <c r="C381" s="15">
        <f>IF(Catalog!I354="","",Catalog!I354)&amp;IF(AND(Catalog!I354&lt;&gt;"",Catalog!J354&lt;&gt;""),"; ","")&amp;IF(Catalog!J354="","",Catalog!J354)</f>
        <v/>
      </c>
      <c r="D381" s="15">
        <f>Catalog!P354</f>
        <v/>
      </c>
      <c r="E381" s="15">
        <f>Catalog!R354</f>
        <v/>
      </c>
      <c r="F381" s="15">
        <f>Catalog!M354</f>
        <v/>
      </c>
      <c r="G381" s="15">
        <f>Catalog!K354</f>
        <v/>
      </c>
      <c r="H381" s="15">
        <f>IF(Catalog!S354&lt;&gt;"","ISBN:"&amp;Catalog!S354,IF(Catalog!T354&lt;&gt;"","ISSN:"&amp;Catalog!T354,""))</f>
        <v/>
      </c>
      <c r="I381" s="15">
        <f>Catalog!B354</f>
        <v/>
      </c>
      <c r="J381" s="15">
        <f>Catalog!L354</f>
        <v/>
      </c>
      <c r="K381" s="15">
        <f>IF(Catalog!AG354&lt;&gt;"",Catalog!AG354,Catalog!AE354)</f>
        <v/>
      </c>
      <c r="L381" s="15">
        <f>Catalog!AD354</f>
        <v/>
      </c>
      <c r="M381" s="15">
        <f>Catalog!V354</f>
        <v/>
      </c>
      <c r="N381" s="15">
        <f>Catalog!Q354</f>
        <v/>
      </c>
      <c r="O381" s="15">
        <f>Catalog!AF354</f>
        <v/>
      </c>
    </row>
    <row r="382">
      <c r="A382" s="15">
        <f>Catalog!D355</f>
        <v/>
      </c>
      <c r="B382" s="15">
        <f>Catalog!F355</f>
        <v/>
      </c>
      <c r="C382" s="15">
        <f>IF(Catalog!I355="","",Catalog!I355)&amp;IF(AND(Catalog!I355&lt;&gt;"",Catalog!J355&lt;&gt;""),"; ","")&amp;IF(Catalog!J355="","",Catalog!J355)</f>
        <v/>
      </c>
      <c r="D382" s="15">
        <f>Catalog!P355</f>
        <v/>
      </c>
      <c r="E382" s="15">
        <f>Catalog!R355</f>
        <v/>
      </c>
      <c r="F382" s="15">
        <f>Catalog!M355</f>
        <v/>
      </c>
      <c r="G382" s="15">
        <f>Catalog!K355</f>
        <v/>
      </c>
      <c r="H382" s="15">
        <f>IF(Catalog!S355&lt;&gt;"","ISBN:"&amp;Catalog!S355,IF(Catalog!T355&lt;&gt;"","ISSN:"&amp;Catalog!T355,""))</f>
        <v/>
      </c>
      <c r="I382" s="15">
        <f>Catalog!B355</f>
        <v/>
      </c>
      <c r="J382" s="15">
        <f>Catalog!L355</f>
        <v/>
      </c>
      <c r="K382" s="15">
        <f>IF(Catalog!AG355&lt;&gt;"",Catalog!AG355,Catalog!AE355)</f>
        <v/>
      </c>
      <c r="L382" s="15">
        <f>Catalog!AD355</f>
        <v/>
      </c>
      <c r="M382" s="15">
        <f>Catalog!V355</f>
        <v/>
      </c>
      <c r="N382" s="15">
        <f>Catalog!Q355</f>
        <v/>
      </c>
      <c r="O382" s="15">
        <f>Catalog!AF355</f>
        <v/>
      </c>
    </row>
    <row r="383">
      <c r="A383" s="15">
        <f>Catalog!D356</f>
        <v/>
      </c>
      <c r="B383" s="15">
        <f>Catalog!F356</f>
        <v/>
      </c>
      <c r="C383" s="15">
        <f>IF(Catalog!I356="","",Catalog!I356)&amp;IF(AND(Catalog!I356&lt;&gt;"",Catalog!J356&lt;&gt;""),"; ","")&amp;IF(Catalog!J356="","",Catalog!J356)</f>
        <v/>
      </c>
      <c r="D383" s="15">
        <f>Catalog!P356</f>
        <v/>
      </c>
      <c r="E383" s="15">
        <f>Catalog!R356</f>
        <v/>
      </c>
      <c r="F383" s="15">
        <f>Catalog!M356</f>
        <v/>
      </c>
      <c r="G383" s="15">
        <f>Catalog!K356</f>
        <v/>
      </c>
      <c r="H383" s="15">
        <f>IF(Catalog!S356&lt;&gt;"","ISBN:"&amp;Catalog!S356,IF(Catalog!T356&lt;&gt;"","ISSN:"&amp;Catalog!T356,""))</f>
        <v/>
      </c>
      <c r="I383" s="15">
        <f>Catalog!B356</f>
        <v/>
      </c>
      <c r="J383" s="15">
        <f>Catalog!L356</f>
        <v/>
      </c>
      <c r="K383" s="15">
        <f>IF(Catalog!AG356&lt;&gt;"",Catalog!AG356,Catalog!AE356)</f>
        <v/>
      </c>
      <c r="L383" s="15">
        <f>Catalog!AD356</f>
        <v/>
      </c>
      <c r="M383" s="15">
        <f>Catalog!V356</f>
        <v/>
      </c>
      <c r="N383" s="15">
        <f>Catalog!Q356</f>
        <v/>
      </c>
      <c r="O383" s="15">
        <f>Catalog!AF356</f>
        <v/>
      </c>
    </row>
    <row r="384">
      <c r="A384" s="15">
        <f>Catalog!D357</f>
        <v/>
      </c>
      <c r="B384" s="15">
        <f>Catalog!F357</f>
        <v/>
      </c>
      <c r="C384" s="15">
        <f>IF(Catalog!I357="","",Catalog!I357)&amp;IF(AND(Catalog!I357&lt;&gt;"",Catalog!J357&lt;&gt;""),"; ","")&amp;IF(Catalog!J357="","",Catalog!J357)</f>
        <v/>
      </c>
      <c r="D384" s="15">
        <f>Catalog!P357</f>
        <v/>
      </c>
      <c r="E384" s="15">
        <f>Catalog!R357</f>
        <v/>
      </c>
      <c r="F384" s="15">
        <f>Catalog!M357</f>
        <v/>
      </c>
      <c r="G384" s="15">
        <f>Catalog!K357</f>
        <v/>
      </c>
      <c r="H384" s="15">
        <f>IF(Catalog!S357&lt;&gt;"","ISBN:"&amp;Catalog!S357,IF(Catalog!T357&lt;&gt;"","ISSN:"&amp;Catalog!T357,""))</f>
        <v/>
      </c>
      <c r="I384" s="15">
        <f>Catalog!B357</f>
        <v/>
      </c>
      <c r="J384" s="15">
        <f>Catalog!L357</f>
        <v/>
      </c>
      <c r="K384" s="15">
        <f>IF(Catalog!AG357&lt;&gt;"",Catalog!AG357,Catalog!AE357)</f>
        <v/>
      </c>
      <c r="L384" s="15">
        <f>Catalog!AD357</f>
        <v/>
      </c>
      <c r="M384" s="15">
        <f>Catalog!V357</f>
        <v/>
      </c>
      <c r="N384" s="15">
        <f>Catalog!Q357</f>
        <v/>
      </c>
      <c r="O384" s="15">
        <f>Catalog!AF357</f>
        <v/>
      </c>
    </row>
    <row r="385">
      <c r="A385" s="15">
        <f>Catalog!D358</f>
        <v/>
      </c>
      <c r="B385" s="15">
        <f>Catalog!F358</f>
        <v/>
      </c>
      <c r="C385" s="15">
        <f>IF(Catalog!I358="","",Catalog!I358)&amp;IF(AND(Catalog!I358&lt;&gt;"",Catalog!J358&lt;&gt;""),"; ","")&amp;IF(Catalog!J358="","",Catalog!J358)</f>
        <v/>
      </c>
      <c r="D385" s="15">
        <f>Catalog!P358</f>
        <v/>
      </c>
      <c r="E385" s="15">
        <f>Catalog!R358</f>
        <v/>
      </c>
      <c r="F385" s="15">
        <f>Catalog!M358</f>
        <v/>
      </c>
      <c r="G385" s="15">
        <f>Catalog!K358</f>
        <v/>
      </c>
      <c r="H385" s="15">
        <f>IF(Catalog!S358&lt;&gt;"","ISBN:"&amp;Catalog!S358,IF(Catalog!T358&lt;&gt;"","ISSN:"&amp;Catalog!T358,""))</f>
        <v/>
      </c>
      <c r="I385" s="15">
        <f>Catalog!B358</f>
        <v/>
      </c>
      <c r="J385" s="15">
        <f>Catalog!L358</f>
        <v/>
      </c>
      <c r="K385" s="15">
        <f>IF(Catalog!AG358&lt;&gt;"",Catalog!AG358,Catalog!AE358)</f>
        <v/>
      </c>
      <c r="L385" s="15">
        <f>Catalog!AD358</f>
        <v/>
      </c>
      <c r="M385" s="15">
        <f>Catalog!V358</f>
        <v/>
      </c>
      <c r="N385" s="15">
        <f>Catalog!Q358</f>
        <v/>
      </c>
      <c r="O385" s="15">
        <f>Catalog!AF358</f>
        <v/>
      </c>
    </row>
    <row r="386">
      <c r="A386" s="15">
        <f>Catalog!D359</f>
        <v/>
      </c>
      <c r="B386" s="15">
        <f>Catalog!F359</f>
        <v/>
      </c>
      <c r="C386" s="15">
        <f>IF(Catalog!I359="","",Catalog!I359)&amp;IF(AND(Catalog!I359&lt;&gt;"",Catalog!J359&lt;&gt;""),"; ","")&amp;IF(Catalog!J359="","",Catalog!J359)</f>
        <v/>
      </c>
      <c r="D386" s="15">
        <f>Catalog!P359</f>
        <v/>
      </c>
      <c r="E386" s="15">
        <f>Catalog!R359</f>
        <v/>
      </c>
      <c r="F386" s="15">
        <f>Catalog!M359</f>
        <v/>
      </c>
      <c r="G386" s="15">
        <f>Catalog!K359</f>
        <v/>
      </c>
      <c r="H386" s="15">
        <f>IF(Catalog!S359&lt;&gt;"","ISBN:"&amp;Catalog!S359,IF(Catalog!T359&lt;&gt;"","ISSN:"&amp;Catalog!T359,""))</f>
        <v/>
      </c>
      <c r="I386" s="15">
        <f>Catalog!B359</f>
        <v/>
      </c>
      <c r="J386" s="15">
        <f>Catalog!L359</f>
        <v/>
      </c>
      <c r="K386" s="15">
        <f>IF(Catalog!AG359&lt;&gt;"",Catalog!AG359,Catalog!AE359)</f>
        <v/>
      </c>
      <c r="L386" s="15">
        <f>Catalog!AD359</f>
        <v/>
      </c>
      <c r="M386" s="15">
        <f>Catalog!V359</f>
        <v/>
      </c>
      <c r="N386" s="15">
        <f>Catalog!Q359</f>
        <v/>
      </c>
      <c r="O386" s="15">
        <f>Catalog!AF359</f>
        <v/>
      </c>
    </row>
    <row r="387">
      <c r="A387" s="15">
        <f>Catalog!D360</f>
        <v/>
      </c>
      <c r="B387" s="15">
        <f>Catalog!F360</f>
        <v/>
      </c>
      <c r="C387" s="15">
        <f>IF(Catalog!I360="","",Catalog!I360)&amp;IF(AND(Catalog!I360&lt;&gt;"",Catalog!J360&lt;&gt;""),"; ","")&amp;IF(Catalog!J360="","",Catalog!J360)</f>
        <v/>
      </c>
      <c r="D387" s="15">
        <f>Catalog!P360</f>
        <v/>
      </c>
      <c r="E387" s="15">
        <f>Catalog!R360</f>
        <v/>
      </c>
      <c r="F387" s="15">
        <f>Catalog!M360</f>
        <v/>
      </c>
      <c r="G387" s="15">
        <f>Catalog!K360</f>
        <v/>
      </c>
      <c r="H387" s="15">
        <f>IF(Catalog!S360&lt;&gt;"","ISBN:"&amp;Catalog!S360,IF(Catalog!T360&lt;&gt;"","ISSN:"&amp;Catalog!T360,""))</f>
        <v/>
      </c>
      <c r="I387" s="15">
        <f>Catalog!B360</f>
        <v/>
      </c>
      <c r="J387" s="15">
        <f>Catalog!L360</f>
        <v/>
      </c>
      <c r="K387" s="15">
        <f>IF(Catalog!AG360&lt;&gt;"",Catalog!AG360,Catalog!AE360)</f>
        <v/>
      </c>
      <c r="L387" s="15">
        <f>Catalog!AD360</f>
        <v/>
      </c>
      <c r="M387" s="15">
        <f>Catalog!V360</f>
        <v/>
      </c>
      <c r="N387" s="15">
        <f>Catalog!Q360</f>
        <v/>
      </c>
      <c r="O387" s="15">
        <f>Catalog!AF360</f>
        <v/>
      </c>
    </row>
    <row r="388">
      <c r="A388" s="15">
        <f>Catalog!D361</f>
        <v/>
      </c>
      <c r="B388" s="15">
        <f>Catalog!F361</f>
        <v/>
      </c>
      <c r="C388" s="15">
        <f>IF(Catalog!I361="","",Catalog!I361)&amp;IF(AND(Catalog!I361&lt;&gt;"",Catalog!J361&lt;&gt;""),"; ","")&amp;IF(Catalog!J361="","",Catalog!J361)</f>
        <v/>
      </c>
      <c r="D388" s="15">
        <f>Catalog!P361</f>
        <v/>
      </c>
      <c r="E388" s="15">
        <f>Catalog!R361</f>
        <v/>
      </c>
      <c r="F388" s="15">
        <f>Catalog!M361</f>
        <v/>
      </c>
      <c r="G388" s="15">
        <f>Catalog!K361</f>
        <v/>
      </c>
      <c r="H388" s="15">
        <f>IF(Catalog!S361&lt;&gt;"","ISBN:"&amp;Catalog!S361,IF(Catalog!T361&lt;&gt;"","ISSN:"&amp;Catalog!T361,""))</f>
        <v/>
      </c>
      <c r="I388" s="15">
        <f>Catalog!B361</f>
        <v/>
      </c>
      <c r="J388" s="15">
        <f>Catalog!L361</f>
        <v/>
      </c>
      <c r="K388" s="15">
        <f>IF(Catalog!AG361&lt;&gt;"",Catalog!AG361,Catalog!AE361)</f>
        <v/>
      </c>
      <c r="L388" s="15">
        <f>Catalog!AD361</f>
        <v/>
      </c>
      <c r="M388" s="15">
        <f>Catalog!V361</f>
        <v/>
      </c>
      <c r="N388" s="15">
        <f>Catalog!Q361</f>
        <v/>
      </c>
      <c r="O388" s="15">
        <f>Catalog!AF361</f>
        <v/>
      </c>
    </row>
    <row r="389">
      <c r="A389" s="15">
        <f>Catalog!D362</f>
        <v/>
      </c>
      <c r="B389" s="15">
        <f>Catalog!F362</f>
        <v/>
      </c>
      <c r="C389" s="15">
        <f>IF(Catalog!I362="","",Catalog!I362)&amp;IF(AND(Catalog!I362&lt;&gt;"",Catalog!J362&lt;&gt;""),"; ","")&amp;IF(Catalog!J362="","",Catalog!J362)</f>
        <v/>
      </c>
      <c r="D389" s="15">
        <f>Catalog!P362</f>
        <v/>
      </c>
      <c r="E389" s="15">
        <f>Catalog!R362</f>
        <v/>
      </c>
      <c r="F389" s="15">
        <f>Catalog!M362</f>
        <v/>
      </c>
      <c r="G389" s="15">
        <f>Catalog!K362</f>
        <v/>
      </c>
      <c r="H389" s="15">
        <f>IF(Catalog!S362&lt;&gt;"","ISBN:"&amp;Catalog!S362,IF(Catalog!T362&lt;&gt;"","ISSN:"&amp;Catalog!T362,""))</f>
        <v/>
      </c>
      <c r="I389" s="15">
        <f>Catalog!B362</f>
        <v/>
      </c>
      <c r="J389" s="15">
        <f>Catalog!L362</f>
        <v/>
      </c>
      <c r="K389" s="15">
        <f>IF(Catalog!AG362&lt;&gt;"",Catalog!AG362,Catalog!AE362)</f>
        <v/>
      </c>
      <c r="L389" s="15">
        <f>Catalog!AD362</f>
        <v/>
      </c>
      <c r="M389" s="15">
        <f>Catalog!V362</f>
        <v/>
      </c>
      <c r="N389" s="15">
        <f>Catalog!Q362</f>
        <v/>
      </c>
      <c r="O389" s="15">
        <f>Catalog!AF362</f>
        <v/>
      </c>
    </row>
    <row r="390">
      <c r="A390" s="15">
        <f>Catalog!D363</f>
        <v/>
      </c>
      <c r="B390" s="15">
        <f>Catalog!F363</f>
        <v/>
      </c>
      <c r="C390" s="15">
        <f>IF(Catalog!I363="","",Catalog!I363)&amp;IF(AND(Catalog!I363&lt;&gt;"",Catalog!J363&lt;&gt;""),"; ","")&amp;IF(Catalog!J363="","",Catalog!J363)</f>
        <v/>
      </c>
      <c r="D390" s="15">
        <f>Catalog!P363</f>
        <v/>
      </c>
      <c r="E390" s="15">
        <f>Catalog!R363</f>
        <v/>
      </c>
      <c r="F390" s="15">
        <f>Catalog!M363</f>
        <v/>
      </c>
      <c r="G390" s="15">
        <f>Catalog!K363</f>
        <v/>
      </c>
      <c r="H390" s="15">
        <f>IF(Catalog!S363&lt;&gt;"","ISBN:"&amp;Catalog!S363,IF(Catalog!T363&lt;&gt;"","ISSN:"&amp;Catalog!T363,""))</f>
        <v/>
      </c>
      <c r="I390" s="15">
        <f>Catalog!B363</f>
        <v/>
      </c>
      <c r="J390" s="15">
        <f>Catalog!L363</f>
        <v/>
      </c>
      <c r="K390" s="15">
        <f>IF(Catalog!AG363&lt;&gt;"",Catalog!AG363,Catalog!AE363)</f>
        <v/>
      </c>
      <c r="L390" s="15">
        <f>Catalog!AD363</f>
        <v/>
      </c>
      <c r="M390" s="15">
        <f>Catalog!V363</f>
        <v/>
      </c>
      <c r="N390" s="15">
        <f>Catalog!Q363</f>
        <v/>
      </c>
      <c r="O390" s="15">
        <f>Catalog!AF363</f>
        <v/>
      </c>
    </row>
    <row r="391">
      <c r="A391" s="15">
        <f>Catalog!D364</f>
        <v/>
      </c>
      <c r="B391" s="15">
        <f>Catalog!F364</f>
        <v/>
      </c>
      <c r="C391" s="15">
        <f>IF(Catalog!I364="","",Catalog!I364)&amp;IF(AND(Catalog!I364&lt;&gt;"",Catalog!J364&lt;&gt;""),"; ","")&amp;IF(Catalog!J364="","",Catalog!J364)</f>
        <v/>
      </c>
      <c r="D391" s="15">
        <f>Catalog!P364</f>
        <v/>
      </c>
      <c r="E391" s="15">
        <f>Catalog!R364</f>
        <v/>
      </c>
      <c r="F391" s="15">
        <f>Catalog!M364</f>
        <v/>
      </c>
      <c r="G391" s="15">
        <f>Catalog!K364</f>
        <v/>
      </c>
      <c r="H391" s="15">
        <f>IF(Catalog!S364&lt;&gt;"","ISBN:"&amp;Catalog!S364,IF(Catalog!T364&lt;&gt;"","ISSN:"&amp;Catalog!T364,""))</f>
        <v/>
      </c>
      <c r="I391" s="15">
        <f>Catalog!B364</f>
        <v/>
      </c>
      <c r="J391" s="15">
        <f>Catalog!L364</f>
        <v/>
      </c>
      <c r="K391" s="15">
        <f>IF(Catalog!AG364&lt;&gt;"",Catalog!AG364,Catalog!AE364)</f>
        <v/>
      </c>
      <c r="L391" s="15">
        <f>Catalog!AD364</f>
        <v/>
      </c>
      <c r="M391" s="15">
        <f>Catalog!V364</f>
        <v/>
      </c>
      <c r="N391" s="15">
        <f>Catalog!Q364</f>
        <v/>
      </c>
      <c r="O391" s="15">
        <f>Catalog!AF364</f>
        <v/>
      </c>
    </row>
    <row r="392">
      <c r="A392" s="15">
        <f>Catalog!D365</f>
        <v/>
      </c>
      <c r="B392" s="15">
        <f>Catalog!F365</f>
        <v/>
      </c>
      <c r="C392" s="15">
        <f>IF(Catalog!I365="","",Catalog!I365)&amp;IF(AND(Catalog!I365&lt;&gt;"",Catalog!J365&lt;&gt;""),"; ","")&amp;IF(Catalog!J365="","",Catalog!J365)</f>
        <v/>
      </c>
      <c r="D392" s="15">
        <f>Catalog!P365</f>
        <v/>
      </c>
      <c r="E392" s="15">
        <f>Catalog!R365</f>
        <v/>
      </c>
      <c r="F392" s="15">
        <f>Catalog!M365</f>
        <v/>
      </c>
      <c r="G392" s="15">
        <f>Catalog!K365</f>
        <v/>
      </c>
      <c r="H392" s="15">
        <f>IF(Catalog!S365&lt;&gt;"","ISBN:"&amp;Catalog!S365,IF(Catalog!T365&lt;&gt;"","ISSN:"&amp;Catalog!T365,""))</f>
        <v/>
      </c>
      <c r="I392" s="15">
        <f>Catalog!B365</f>
        <v/>
      </c>
      <c r="J392" s="15">
        <f>Catalog!L365</f>
        <v/>
      </c>
      <c r="K392" s="15">
        <f>IF(Catalog!AG365&lt;&gt;"",Catalog!AG365,Catalog!AE365)</f>
        <v/>
      </c>
      <c r="L392" s="15">
        <f>Catalog!AD365</f>
        <v/>
      </c>
      <c r="M392" s="15">
        <f>Catalog!V365</f>
        <v/>
      </c>
      <c r="N392" s="15">
        <f>Catalog!Q365</f>
        <v/>
      </c>
      <c r="O392" s="15">
        <f>Catalog!AF365</f>
        <v/>
      </c>
    </row>
    <row r="393">
      <c r="A393" s="15">
        <f>Catalog!D366</f>
        <v/>
      </c>
      <c r="B393" s="15">
        <f>Catalog!F366</f>
        <v/>
      </c>
      <c r="C393" s="15">
        <f>IF(Catalog!I366="","",Catalog!I366)&amp;IF(AND(Catalog!I366&lt;&gt;"",Catalog!J366&lt;&gt;""),"; ","")&amp;IF(Catalog!J366="","",Catalog!J366)</f>
        <v/>
      </c>
      <c r="D393" s="15">
        <f>Catalog!P366</f>
        <v/>
      </c>
      <c r="E393" s="15">
        <f>Catalog!R366</f>
        <v/>
      </c>
      <c r="F393" s="15">
        <f>Catalog!M366</f>
        <v/>
      </c>
      <c r="G393" s="15">
        <f>Catalog!K366</f>
        <v/>
      </c>
      <c r="H393" s="15">
        <f>IF(Catalog!S366&lt;&gt;"","ISBN:"&amp;Catalog!S366,IF(Catalog!T366&lt;&gt;"","ISSN:"&amp;Catalog!T366,""))</f>
        <v/>
      </c>
      <c r="I393" s="15">
        <f>Catalog!B366</f>
        <v/>
      </c>
      <c r="J393" s="15">
        <f>Catalog!L366</f>
        <v/>
      </c>
      <c r="K393" s="15">
        <f>IF(Catalog!AG366&lt;&gt;"",Catalog!AG366,Catalog!AE366)</f>
        <v/>
      </c>
      <c r="L393" s="15">
        <f>Catalog!AD366</f>
        <v/>
      </c>
      <c r="M393" s="15">
        <f>Catalog!V366</f>
        <v/>
      </c>
      <c r="N393" s="15">
        <f>Catalog!Q366</f>
        <v/>
      </c>
      <c r="O393" s="15">
        <f>Catalog!AF366</f>
        <v/>
      </c>
    </row>
    <row r="394">
      <c r="A394" s="15">
        <f>Catalog!D367</f>
        <v/>
      </c>
      <c r="B394" s="15">
        <f>Catalog!F367</f>
        <v/>
      </c>
      <c r="C394" s="15">
        <f>IF(Catalog!I367="","",Catalog!I367)&amp;IF(AND(Catalog!I367&lt;&gt;"",Catalog!J367&lt;&gt;""),"; ","")&amp;IF(Catalog!J367="","",Catalog!J367)</f>
        <v/>
      </c>
      <c r="D394" s="15">
        <f>Catalog!P367</f>
        <v/>
      </c>
      <c r="E394" s="15">
        <f>Catalog!R367</f>
        <v/>
      </c>
      <c r="F394" s="15">
        <f>Catalog!M367</f>
        <v/>
      </c>
      <c r="G394" s="15">
        <f>Catalog!K367</f>
        <v/>
      </c>
      <c r="H394" s="15">
        <f>IF(Catalog!S367&lt;&gt;"","ISBN:"&amp;Catalog!S367,IF(Catalog!T367&lt;&gt;"","ISSN:"&amp;Catalog!T367,""))</f>
        <v/>
      </c>
      <c r="I394" s="15">
        <f>Catalog!B367</f>
        <v/>
      </c>
      <c r="J394" s="15">
        <f>Catalog!L367</f>
        <v/>
      </c>
      <c r="K394" s="15">
        <f>IF(Catalog!AG367&lt;&gt;"",Catalog!AG367,Catalog!AE367)</f>
        <v/>
      </c>
      <c r="L394" s="15">
        <f>Catalog!AD367</f>
        <v/>
      </c>
      <c r="M394" s="15">
        <f>Catalog!V367</f>
        <v/>
      </c>
      <c r="N394" s="15">
        <f>Catalog!Q367</f>
        <v/>
      </c>
      <c r="O394" s="15">
        <f>Catalog!AF367</f>
        <v/>
      </c>
    </row>
    <row r="395">
      <c r="A395" s="15">
        <f>Catalog!D368</f>
        <v/>
      </c>
      <c r="B395" s="15">
        <f>Catalog!F368</f>
        <v/>
      </c>
      <c r="C395" s="15">
        <f>IF(Catalog!I368="","",Catalog!I368)&amp;IF(AND(Catalog!I368&lt;&gt;"",Catalog!J368&lt;&gt;""),"; ","")&amp;IF(Catalog!J368="","",Catalog!J368)</f>
        <v/>
      </c>
      <c r="D395" s="15">
        <f>Catalog!P368</f>
        <v/>
      </c>
      <c r="E395" s="15">
        <f>Catalog!R368</f>
        <v/>
      </c>
      <c r="F395" s="15">
        <f>Catalog!M368</f>
        <v/>
      </c>
      <c r="G395" s="15">
        <f>Catalog!K368</f>
        <v/>
      </c>
      <c r="H395" s="15">
        <f>IF(Catalog!S368&lt;&gt;"","ISBN:"&amp;Catalog!S368,IF(Catalog!T368&lt;&gt;"","ISSN:"&amp;Catalog!T368,""))</f>
        <v/>
      </c>
      <c r="I395" s="15">
        <f>Catalog!B368</f>
        <v/>
      </c>
      <c r="J395" s="15">
        <f>Catalog!L368</f>
        <v/>
      </c>
      <c r="K395" s="15">
        <f>IF(Catalog!AG368&lt;&gt;"",Catalog!AG368,Catalog!AE368)</f>
        <v/>
      </c>
      <c r="L395" s="15">
        <f>Catalog!AD368</f>
        <v/>
      </c>
      <c r="M395" s="15">
        <f>Catalog!V368</f>
        <v/>
      </c>
      <c r="N395" s="15">
        <f>Catalog!Q368</f>
        <v/>
      </c>
      <c r="O395" s="15">
        <f>Catalog!AF368</f>
        <v/>
      </c>
    </row>
    <row r="396">
      <c r="A396" s="15">
        <f>Catalog!D369</f>
        <v/>
      </c>
      <c r="B396" s="15">
        <f>Catalog!F369</f>
        <v/>
      </c>
      <c r="C396" s="15">
        <f>IF(Catalog!I369="","",Catalog!I369)&amp;IF(AND(Catalog!I369&lt;&gt;"",Catalog!J369&lt;&gt;""),"; ","")&amp;IF(Catalog!J369="","",Catalog!J369)</f>
        <v/>
      </c>
      <c r="D396" s="15">
        <f>Catalog!P369</f>
        <v/>
      </c>
      <c r="E396" s="15">
        <f>Catalog!R369</f>
        <v/>
      </c>
      <c r="F396" s="15">
        <f>Catalog!M369</f>
        <v/>
      </c>
      <c r="G396" s="15">
        <f>Catalog!K369</f>
        <v/>
      </c>
      <c r="H396" s="15">
        <f>IF(Catalog!S369&lt;&gt;"","ISBN:"&amp;Catalog!S369,IF(Catalog!T369&lt;&gt;"","ISSN:"&amp;Catalog!T369,""))</f>
        <v/>
      </c>
      <c r="I396" s="15">
        <f>Catalog!B369</f>
        <v/>
      </c>
      <c r="J396" s="15">
        <f>Catalog!L369</f>
        <v/>
      </c>
      <c r="K396" s="15">
        <f>IF(Catalog!AG369&lt;&gt;"",Catalog!AG369,Catalog!AE369)</f>
        <v/>
      </c>
      <c r="L396" s="15">
        <f>Catalog!AD369</f>
        <v/>
      </c>
      <c r="M396" s="15">
        <f>Catalog!V369</f>
        <v/>
      </c>
      <c r="N396" s="15">
        <f>Catalog!Q369</f>
        <v/>
      </c>
      <c r="O396" s="15">
        <f>Catalog!AF369</f>
        <v/>
      </c>
    </row>
    <row r="397">
      <c r="A397" s="15">
        <f>Catalog!D370</f>
        <v/>
      </c>
      <c r="B397" s="15">
        <f>Catalog!F370</f>
        <v/>
      </c>
      <c r="C397" s="15">
        <f>IF(Catalog!I370="","",Catalog!I370)&amp;IF(AND(Catalog!I370&lt;&gt;"",Catalog!J370&lt;&gt;""),"; ","")&amp;IF(Catalog!J370="","",Catalog!J370)</f>
        <v/>
      </c>
      <c r="D397" s="15">
        <f>Catalog!P370</f>
        <v/>
      </c>
      <c r="E397" s="15">
        <f>Catalog!R370</f>
        <v/>
      </c>
      <c r="F397" s="15">
        <f>Catalog!M370</f>
        <v/>
      </c>
      <c r="G397" s="15">
        <f>Catalog!K370</f>
        <v/>
      </c>
      <c r="H397" s="15">
        <f>IF(Catalog!S370&lt;&gt;"","ISBN:"&amp;Catalog!S370,IF(Catalog!T370&lt;&gt;"","ISSN:"&amp;Catalog!T370,""))</f>
        <v/>
      </c>
      <c r="I397" s="15">
        <f>Catalog!B370</f>
        <v/>
      </c>
      <c r="J397" s="15">
        <f>Catalog!L370</f>
        <v/>
      </c>
      <c r="K397" s="15">
        <f>IF(Catalog!AG370&lt;&gt;"",Catalog!AG370,Catalog!AE370)</f>
        <v/>
      </c>
      <c r="L397" s="15">
        <f>Catalog!AD370</f>
        <v/>
      </c>
      <c r="M397" s="15">
        <f>Catalog!V370</f>
        <v/>
      </c>
      <c r="N397" s="15">
        <f>Catalog!Q370</f>
        <v/>
      </c>
      <c r="O397" s="15">
        <f>Catalog!AF370</f>
        <v/>
      </c>
    </row>
    <row r="398">
      <c r="A398" s="15">
        <f>Catalog!D371</f>
        <v/>
      </c>
      <c r="B398" s="15">
        <f>Catalog!F371</f>
        <v/>
      </c>
      <c r="C398" s="15">
        <f>IF(Catalog!I371="","",Catalog!I371)&amp;IF(AND(Catalog!I371&lt;&gt;"",Catalog!J371&lt;&gt;""),"; ","")&amp;IF(Catalog!J371="","",Catalog!J371)</f>
        <v/>
      </c>
      <c r="D398" s="15">
        <f>Catalog!P371</f>
        <v/>
      </c>
      <c r="E398" s="15">
        <f>Catalog!R371</f>
        <v/>
      </c>
      <c r="F398" s="15">
        <f>Catalog!M371</f>
        <v/>
      </c>
      <c r="G398" s="15">
        <f>Catalog!K371</f>
        <v/>
      </c>
      <c r="H398" s="15">
        <f>IF(Catalog!S371&lt;&gt;"","ISBN:"&amp;Catalog!S371,IF(Catalog!T371&lt;&gt;"","ISSN:"&amp;Catalog!T371,""))</f>
        <v/>
      </c>
      <c r="I398" s="15">
        <f>Catalog!B371</f>
        <v/>
      </c>
      <c r="J398" s="15">
        <f>Catalog!L371</f>
        <v/>
      </c>
      <c r="K398" s="15">
        <f>IF(Catalog!AG371&lt;&gt;"",Catalog!AG371,Catalog!AE371)</f>
        <v/>
      </c>
      <c r="L398" s="15">
        <f>Catalog!AD371</f>
        <v/>
      </c>
      <c r="M398" s="15">
        <f>Catalog!V371</f>
        <v/>
      </c>
      <c r="N398" s="15">
        <f>Catalog!Q371</f>
        <v/>
      </c>
      <c r="O398" s="15">
        <f>Catalog!AF371</f>
        <v/>
      </c>
    </row>
    <row r="399">
      <c r="A399" s="15">
        <f>Catalog!D372</f>
        <v/>
      </c>
      <c r="B399" s="15">
        <f>Catalog!F372</f>
        <v/>
      </c>
      <c r="C399" s="15">
        <f>IF(Catalog!I372="","",Catalog!I372)&amp;IF(AND(Catalog!I372&lt;&gt;"",Catalog!J372&lt;&gt;""),"; ","")&amp;IF(Catalog!J372="","",Catalog!J372)</f>
        <v/>
      </c>
      <c r="D399" s="15">
        <f>Catalog!P372</f>
        <v/>
      </c>
      <c r="E399" s="15">
        <f>Catalog!R372</f>
        <v/>
      </c>
      <c r="F399" s="15">
        <f>Catalog!M372</f>
        <v/>
      </c>
      <c r="G399" s="15">
        <f>Catalog!K372</f>
        <v/>
      </c>
      <c r="H399" s="15">
        <f>IF(Catalog!S372&lt;&gt;"","ISBN:"&amp;Catalog!S372,IF(Catalog!T372&lt;&gt;"","ISSN:"&amp;Catalog!T372,""))</f>
        <v/>
      </c>
      <c r="I399" s="15">
        <f>Catalog!B372</f>
        <v/>
      </c>
      <c r="J399" s="15">
        <f>Catalog!L372</f>
        <v/>
      </c>
      <c r="K399" s="15">
        <f>IF(Catalog!AG372&lt;&gt;"",Catalog!AG372,Catalog!AE372)</f>
        <v/>
      </c>
      <c r="L399" s="15">
        <f>Catalog!AD372</f>
        <v/>
      </c>
      <c r="M399" s="15">
        <f>Catalog!V372</f>
        <v/>
      </c>
      <c r="N399" s="15">
        <f>Catalog!Q372</f>
        <v/>
      </c>
      <c r="O399" s="15">
        <f>Catalog!AF372</f>
        <v/>
      </c>
    </row>
    <row r="400">
      <c r="A400" s="15">
        <f>Catalog!D373</f>
        <v/>
      </c>
      <c r="B400" s="15">
        <f>Catalog!F373</f>
        <v/>
      </c>
      <c r="C400" s="15">
        <f>IF(Catalog!I373="","",Catalog!I373)&amp;IF(AND(Catalog!I373&lt;&gt;"",Catalog!J373&lt;&gt;""),"; ","")&amp;IF(Catalog!J373="","",Catalog!J373)</f>
        <v/>
      </c>
      <c r="D400" s="15">
        <f>Catalog!P373</f>
        <v/>
      </c>
      <c r="E400" s="15">
        <f>Catalog!R373</f>
        <v/>
      </c>
      <c r="F400" s="15">
        <f>Catalog!M373</f>
        <v/>
      </c>
      <c r="G400" s="15">
        <f>Catalog!K373</f>
        <v/>
      </c>
      <c r="H400" s="15">
        <f>IF(Catalog!S373&lt;&gt;"","ISBN:"&amp;Catalog!S373,IF(Catalog!T373&lt;&gt;"","ISSN:"&amp;Catalog!T373,""))</f>
        <v/>
      </c>
      <c r="I400" s="15">
        <f>Catalog!B373</f>
        <v/>
      </c>
      <c r="J400" s="15">
        <f>Catalog!L373</f>
        <v/>
      </c>
      <c r="K400" s="15">
        <f>IF(Catalog!AG373&lt;&gt;"",Catalog!AG373,Catalog!AE373)</f>
        <v/>
      </c>
      <c r="L400" s="15">
        <f>Catalog!AD373</f>
        <v/>
      </c>
      <c r="M400" s="15">
        <f>Catalog!V373</f>
        <v/>
      </c>
      <c r="N400" s="15">
        <f>Catalog!Q373</f>
        <v/>
      </c>
      <c r="O400" s="15">
        <f>Catalog!AF373</f>
        <v/>
      </c>
    </row>
    <row r="401">
      <c r="A401" s="15">
        <f>Catalog!D374</f>
        <v/>
      </c>
      <c r="B401" s="15">
        <f>Catalog!F374</f>
        <v/>
      </c>
      <c r="C401" s="15">
        <f>IF(Catalog!I374="","",Catalog!I374)&amp;IF(AND(Catalog!I374&lt;&gt;"",Catalog!J374&lt;&gt;""),"; ","")&amp;IF(Catalog!J374="","",Catalog!J374)</f>
        <v/>
      </c>
      <c r="D401" s="15">
        <f>Catalog!P374</f>
        <v/>
      </c>
      <c r="E401" s="15">
        <f>Catalog!R374</f>
        <v/>
      </c>
      <c r="F401" s="15">
        <f>Catalog!M374</f>
        <v/>
      </c>
      <c r="G401" s="15">
        <f>Catalog!K374</f>
        <v/>
      </c>
      <c r="H401" s="15">
        <f>IF(Catalog!S374&lt;&gt;"","ISBN:"&amp;Catalog!S374,IF(Catalog!T374&lt;&gt;"","ISSN:"&amp;Catalog!T374,""))</f>
        <v/>
      </c>
      <c r="I401" s="15">
        <f>Catalog!B374</f>
        <v/>
      </c>
      <c r="J401" s="15">
        <f>Catalog!L374</f>
        <v/>
      </c>
      <c r="K401" s="15">
        <f>IF(Catalog!AG374&lt;&gt;"",Catalog!AG374,Catalog!AE374)</f>
        <v/>
      </c>
      <c r="L401" s="15">
        <f>Catalog!AD374</f>
        <v/>
      </c>
      <c r="M401" s="15">
        <f>Catalog!V374</f>
        <v/>
      </c>
      <c r="N401" s="15">
        <f>Catalog!Q374</f>
        <v/>
      </c>
      <c r="O401" s="15">
        <f>Catalog!AF374</f>
        <v/>
      </c>
    </row>
    <row r="402">
      <c r="A402" s="15">
        <f>Catalog!D375</f>
        <v/>
      </c>
      <c r="B402" s="15">
        <f>Catalog!F375</f>
        <v/>
      </c>
      <c r="C402" s="15">
        <f>IF(Catalog!I375="","",Catalog!I375)&amp;IF(AND(Catalog!I375&lt;&gt;"",Catalog!J375&lt;&gt;""),"; ","")&amp;IF(Catalog!J375="","",Catalog!J375)</f>
        <v/>
      </c>
      <c r="D402" s="15">
        <f>Catalog!P375</f>
        <v/>
      </c>
      <c r="E402" s="15">
        <f>Catalog!R375</f>
        <v/>
      </c>
      <c r="F402" s="15">
        <f>Catalog!M375</f>
        <v/>
      </c>
      <c r="G402" s="15">
        <f>Catalog!K375</f>
        <v/>
      </c>
      <c r="H402" s="15">
        <f>IF(Catalog!S375&lt;&gt;"","ISBN:"&amp;Catalog!S375,IF(Catalog!T375&lt;&gt;"","ISSN:"&amp;Catalog!T375,""))</f>
        <v/>
      </c>
      <c r="I402" s="15">
        <f>Catalog!B375</f>
        <v/>
      </c>
      <c r="J402" s="15">
        <f>Catalog!L375</f>
        <v/>
      </c>
      <c r="K402" s="15">
        <f>IF(Catalog!AG375&lt;&gt;"",Catalog!AG375,Catalog!AE375)</f>
        <v/>
      </c>
      <c r="L402" s="15">
        <f>Catalog!AD375</f>
        <v/>
      </c>
      <c r="M402" s="15">
        <f>Catalog!V375</f>
        <v/>
      </c>
      <c r="N402" s="15">
        <f>Catalog!Q375</f>
        <v/>
      </c>
      <c r="O402" s="15">
        <f>Catalog!AF375</f>
        <v/>
      </c>
    </row>
    <row r="403">
      <c r="A403" s="15">
        <f>Catalog!D376</f>
        <v/>
      </c>
      <c r="B403" s="15">
        <f>Catalog!F376</f>
        <v/>
      </c>
      <c r="C403" s="15">
        <f>IF(Catalog!I376="","",Catalog!I376)&amp;IF(AND(Catalog!I376&lt;&gt;"",Catalog!J376&lt;&gt;""),"; ","")&amp;IF(Catalog!J376="","",Catalog!J376)</f>
        <v/>
      </c>
      <c r="D403" s="15">
        <f>Catalog!P376</f>
        <v/>
      </c>
      <c r="E403" s="15">
        <f>Catalog!R376</f>
        <v/>
      </c>
      <c r="F403" s="15">
        <f>Catalog!M376</f>
        <v/>
      </c>
      <c r="G403" s="15">
        <f>Catalog!K376</f>
        <v/>
      </c>
      <c r="H403" s="15">
        <f>IF(Catalog!S376&lt;&gt;"","ISBN:"&amp;Catalog!S376,IF(Catalog!T376&lt;&gt;"","ISSN:"&amp;Catalog!T376,""))</f>
        <v/>
      </c>
      <c r="I403" s="15">
        <f>Catalog!B376</f>
        <v/>
      </c>
      <c r="J403" s="15">
        <f>Catalog!L376</f>
        <v/>
      </c>
      <c r="K403" s="15">
        <f>IF(Catalog!AG376&lt;&gt;"",Catalog!AG376,Catalog!AE376)</f>
        <v/>
      </c>
      <c r="L403" s="15">
        <f>Catalog!AD376</f>
        <v/>
      </c>
      <c r="M403" s="15">
        <f>Catalog!V376</f>
        <v/>
      </c>
      <c r="N403" s="15">
        <f>Catalog!Q376</f>
        <v/>
      </c>
      <c r="O403" s="15">
        <f>Catalog!AF376</f>
        <v/>
      </c>
    </row>
    <row r="404">
      <c r="A404" s="15">
        <f>Catalog!D377</f>
        <v/>
      </c>
      <c r="B404" s="15">
        <f>Catalog!F377</f>
        <v/>
      </c>
      <c r="C404" s="15">
        <f>IF(Catalog!I377="","",Catalog!I377)&amp;IF(AND(Catalog!I377&lt;&gt;"",Catalog!J377&lt;&gt;""),"; ","")&amp;IF(Catalog!J377="","",Catalog!J377)</f>
        <v/>
      </c>
      <c r="D404" s="15">
        <f>Catalog!P377</f>
        <v/>
      </c>
      <c r="E404" s="15">
        <f>Catalog!R377</f>
        <v/>
      </c>
      <c r="F404" s="15">
        <f>Catalog!M377</f>
        <v/>
      </c>
      <c r="G404" s="15">
        <f>Catalog!K377</f>
        <v/>
      </c>
      <c r="H404" s="15">
        <f>IF(Catalog!S377&lt;&gt;"","ISBN:"&amp;Catalog!S377,IF(Catalog!T377&lt;&gt;"","ISSN:"&amp;Catalog!T377,""))</f>
        <v/>
      </c>
      <c r="I404" s="15">
        <f>Catalog!B377</f>
        <v/>
      </c>
      <c r="J404" s="15">
        <f>Catalog!L377</f>
        <v/>
      </c>
      <c r="K404" s="15">
        <f>IF(Catalog!AG377&lt;&gt;"",Catalog!AG377,Catalog!AE377)</f>
        <v/>
      </c>
      <c r="L404" s="15">
        <f>Catalog!AD377</f>
        <v/>
      </c>
      <c r="M404" s="15">
        <f>Catalog!V377</f>
        <v/>
      </c>
      <c r="N404" s="15">
        <f>Catalog!Q377</f>
        <v/>
      </c>
      <c r="O404" s="15">
        <f>Catalog!AF377</f>
        <v/>
      </c>
    </row>
    <row r="405">
      <c r="A405" s="15">
        <f>Catalog!D378</f>
        <v/>
      </c>
      <c r="B405" s="15">
        <f>Catalog!F378</f>
        <v/>
      </c>
      <c r="C405" s="15">
        <f>IF(Catalog!I378="","",Catalog!I378)&amp;IF(AND(Catalog!I378&lt;&gt;"",Catalog!J378&lt;&gt;""),"; ","")&amp;IF(Catalog!J378="","",Catalog!J378)</f>
        <v/>
      </c>
      <c r="D405" s="15">
        <f>Catalog!P378</f>
        <v/>
      </c>
      <c r="E405" s="15">
        <f>Catalog!R378</f>
        <v/>
      </c>
      <c r="F405" s="15">
        <f>Catalog!M378</f>
        <v/>
      </c>
      <c r="G405" s="15">
        <f>Catalog!K378</f>
        <v/>
      </c>
      <c r="H405" s="15">
        <f>IF(Catalog!S378&lt;&gt;"","ISBN:"&amp;Catalog!S378,IF(Catalog!T378&lt;&gt;"","ISSN:"&amp;Catalog!T378,""))</f>
        <v/>
      </c>
      <c r="I405" s="15">
        <f>Catalog!B378</f>
        <v/>
      </c>
      <c r="J405" s="15">
        <f>Catalog!L378</f>
        <v/>
      </c>
      <c r="K405" s="15">
        <f>IF(Catalog!AG378&lt;&gt;"",Catalog!AG378,Catalog!AE378)</f>
        <v/>
      </c>
      <c r="L405" s="15">
        <f>Catalog!AD378</f>
        <v/>
      </c>
      <c r="M405" s="15">
        <f>Catalog!V378</f>
        <v/>
      </c>
      <c r="N405" s="15">
        <f>Catalog!Q378</f>
        <v/>
      </c>
      <c r="O405" s="15">
        <f>Catalog!AF378</f>
        <v/>
      </c>
    </row>
    <row r="406">
      <c r="A406" s="15">
        <f>Catalog!D379</f>
        <v/>
      </c>
      <c r="B406" s="15">
        <f>Catalog!F379</f>
        <v/>
      </c>
      <c r="C406" s="15">
        <f>IF(Catalog!I379="","",Catalog!I379)&amp;IF(AND(Catalog!I379&lt;&gt;"",Catalog!J379&lt;&gt;""),"; ","")&amp;IF(Catalog!J379="","",Catalog!J379)</f>
        <v/>
      </c>
      <c r="D406" s="15">
        <f>Catalog!P379</f>
        <v/>
      </c>
      <c r="E406" s="15">
        <f>Catalog!R379</f>
        <v/>
      </c>
      <c r="F406" s="15">
        <f>Catalog!M379</f>
        <v/>
      </c>
      <c r="G406" s="15">
        <f>Catalog!K379</f>
        <v/>
      </c>
      <c r="H406" s="15">
        <f>IF(Catalog!S379&lt;&gt;"","ISBN:"&amp;Catalog!S379,IF(Catalog!T379&lt;&gt;"","ISSN:"&amp;Catalog!T379,""))</f>
        <v/>
      </c>
      <c r="I406" s="15">
        <f>Catalog!B379</f>
        <v/>
      </c>
      <c r="J406" s="15">
        <f>Catalog!L379</f>
        <v/>
      </c>
      <c r="K406" s="15">
        <f>IF(Catalog!AG379&lt;&gt;"",Catalog!AG379,Catalog!AE379)</f>
        <v/>
      </c>
      <c r="L406" s="15">
        <f>Catalog!AD379</f>
        <v/>
      </c>
      <c r="M406" s="15">
        <f>Catalog!V379</f>
        <v/>
      </c>
      <c r="N406" s="15">
        <f>Catalog!Q379</f>
        <v/>
      </c>
      <c r="O406" s="15">
        <f>Catalog!AF379</f>
        <v/>
      </c>
    </row>
    <row r="407">
      <c r="A407" s="15">
        <f>Catalog!D380</f>
        <v/>
      </c>
      <c r="B407" s="15">
        <f>Catalog!F380</f>
        <v/>
      </c>
      <c r="C407" s="15">
        <f>IF(Catalog!I380="","",Catalog!I380)&amp;IF(AND(Catalog!I380&lt;&gt;"",Catalog!J380&lt;&gt;""),"; ","")&amp;IF(Catalog!J380="","",Catalog!J380)</f>
        <v/>
      </c>
      <c r="D407" s="15">
        <f>Catalog!P380</f>
        <v/>
      </c>
      <c r="E407" s="15">
        <f>Catalog!R380</f>
        <v/>
      </c>
      <c r="F407" s="15">
        <f>Catalog!M380</f>
        <v/>
      </c>
      <c r="G407" s="15">
        <f>Catalog!K380</f>
        <v/>
      </c>
      <c r="H407" s="15">
        <f>IF(Catalog!S380&lt;&gt;"","ISBN:"&amp;Catalog!S380,IF(Catalog!T380&lt;&gt;"","ISSN:"&amp;Catalog!T380,""))</f>
        <v/>
      </c>
      <c r="I407" s="15">
        <f>Catalog!B380</f>
        <v/>
      </c>
      <c r="J407" s="15">
        <f>Catalog!L380</f>
        <v/>
      </c>
      <c r="K407" s="15">
        <f>IF(Catalog!AG380&lt;&gt;"",Catalog!AG380,Catalog!AE380)</f>
        <v/>
      </c>
      <c r="L407" s="15">
        <f>Catalog!AD380</f>
        <v/>
      </c>
      <c r="M407" s="15">
        <f>Catalog!V380</f>
        <v/>
      </c>
      <c r="N407" s="15">
        <f>Catalog!Q380</f>
        <v/>
      </c>
      <c r="O407" s="15">
        <f>Catalog!AF380</f>
        <v/>
      </c>
    </row>
    <row r="408">
      <c r="A408" s="15">
        <f>Catalog!D381</f>
        <v/>
      </c>
      <c r="B408" s="15">
        <f>Catalog!F381</f>
        <v/>
      </c>
      <c r="C408" s="15">
        <f>IF(Catalog!I381="","",Catalog!I381)&amp;IF(AND(Catalog!I381&lt;&gt;"",Catalog!J381&lt;&gt;""),"; ","")&amp;IF(Catalog!J381="","",Catalog!J381)</f>
        <v/>
      </c>
      <c r="D408" s="15">
        <f>Catalog!P381</f>
        <v/>
      </c>
      <c r="E408" s="15">
        <f>Catalog!R381</f>
        <v/>
      </c>
      <c r="F408" s="15">
        <f>Catalog!M381</f>
        <v/>
      </c>
      <c r="G408" s="15">
        <f>Catalog!K381</f>
        <v/>
      </c>
      <c r="H408" s="15">
        <f>IF(Catalog!S381&lt;&gt;"","ISBN:"&amp;Catalog!S381,IF(Catalog!T381&lt;&gt;"","ISSN:"&amp;Catalog!T381,""))</f>
        <v/>
      </c>
      <c r="I408" s="15">
        <f>Catalog!B381</f>
        <v/>
      </c>
      <c r="J408" s="15">
        <f>Catalog!L381</f>
        <v/>
      </c>
      <c r="K408" s="15">
        <f>IF(Catalog!AG381&lt;&gt;"",Catalog!AG381,Catalog!AE381)</f>
        <v/>
      </c>
      <c r="L408" s="15">
        <f>Catalog!AD381</f>
        <v/>
      </c>
      <c r="M408" s="15">
        <f>Catalog!V381</f>
        <v/>
      </c>
      <c r="N408" s="15">
        <f>Catalog!Q381</f>
        <v/>
      </c>
      <c r="O408" s="15">
        <f>Catalog!AF381</f>
        <v/>
      </c>
    </row>
    <row r="409">
      <c r="A409" s="15">
        <f>Catalog!D382</f>
        <v/>
      </c>
      <c r="B409" s="15">
        <f>Catalog!F382</f>
        <v/>
      </c>
      <c r="C409" s="15">
        <f>IF(Catalog!I382="","",Catalog!I382)&amp;IF(AND(Catalog!I382&lt;&gt;"",Catalog!J382&lt;&gt;""),"; ","")&amp;IF(Catalog!J382="","",Catalog!J382)</f>
        <v/>
      </c>
      <c r="D409" s="15">
        <f>Catalog!P382</f>
        <v/>
      </c>
      <c r="E409" s="15">
        <f>Catalog!R382</f>
        <v/>
      </c>
      <c r="F409" s="15">
        <f>Catalog!M382</f>
        <v/>
      </c>
      <c r="G409" s="15">
        <f>Catalog!K382</f>
        <v/>
      </c>
      <c r="H409" s="15">
        <f>IF(Catalog!S382&lt;&gt;"","ISBN:"&amp;Catalog!S382,IF(Catalog!T382&lt;&gt;"","ISSN:"&amp;Catalog!T382,""))</f>
        <v/>
      </c>
      <c r="I409" s="15">
        <f>Catalog!B382</f>
        <v/>
      </c>
      <c r="J409" s="15">
        <f>Catalog!L382</f>
        <v/>
      </c>
      <c r="K409" s="15">
        <f>IF(Catalog!AG382&lt;&gt;"",Catalog!AG382,Catalog!AE382)</f>
        <v/>
      </c>
      <c r="L409" s="15">
        <f>Catalog!AD382</f>
        <v/>
      </c>
      <c r="M409" s="15">
        <f>Catalog!V382</f>
        <v/>
      </c>
      <c r="N409" s="15">
        <f>Catalog!Q382</f>
        <v/>
      </c>
      <c r="O409" s="15">
        <f>Catalog!AF382</f>
        <v/>
      </c>
    </row>
    <row r="410">
      <c r="A410" s="15">
        <f>Catalog!D383</f>
        <v/>
      </c>
      <c r="B410" s="15">
        <f>Catalog!F383</f>
        <v/>
      </c>
      <c r="C410" s="15">
        <f>IF(Catalog!I383="","",Catalog!I383)&amp;IF(AND(Catalog!I383&lt;&gt;"",Catalog!J383&lt;&gt;""),"; ","")&amp;IF(Catalog!J383="","",Catalog!J383)</f>
        <v/>
      </c>
      <c r="D410" s="15">
        <f>Catalog!P383</f>
        <v/>
      </c>
      <c r="E410" s="15">
        <f>Catalog!R383</f>
        <v/>
      </c>
      <c r="F410" s="15">
        <f>Catalog!M383</f>
        <v/>
      </c>
      <c r="G410" s="15">
        <f>Catalog!K383</f>
        <v/>
      </c>
      <c r="H410" s="15">
        <f>IF(Catalog!S383&lt;&gt;"","ISBN:"&amp;Catalog!S383,IF(Catalog!T383&lt;&gt;"","ISSN:"&amp;Catalog!T383,""))</f>
        <v/>
      </c>
      <c r="I410" s="15">
        <f>Catalog!B383</f>
        <v/>
      </c>
      <c r="J410" s="15">
        <f>Catalog!L383</f>
        <v/>
      </c>
      <c r="K410" s="15">
        <f>IF(Catalog!AG383&lt;&gt;"",Catalog!AG383,Catalog!AE383)</f>
        <v/>
      </c>
      <c r="L410" s="15">
        <f>Catalog!AD383</f>
        <v/>
      </c>
      <c r="M410" s="15">
        <f>Catalog!V383</f>
        <v/>
      </c>
      <c r="N410" s="15">
        <f>Catalog!Q383</f>
        <v/>
      </c>
      <c r="O410" s="15">
        <f>Catalog!AF383</f>
        <v/>
      </c>
    </row>
    <row r="411">
      <c r="A411" s="15">
        <f>Catalog!D384</f>
        <v/>
      </c>
      <c r="B411" s="15">
        <f>Catalog!F384</f>
        <v/>
      </c>
      <c r="C411" s="15">
        <f>IF(Catalog!I384="","",Catalog!I384)&amp;IF(AND(Catalog!I384&lt;&gt;"",Catalog!J384&lt;&gt;""),"; ","")&amp;IF(Catalog!J384="","",Catalog!J384)</f>
        <v/>
      </c>
      <c r="D411" s="15">
        <f>Catalog!P384</f>
        <v/>
      </c>
      <c r="E411" s="15">
        <f>Catalog!R384</f>
        <v/>
      </c>
      <c r="F411" s="15">
        <f>Catalog!M384</f>
        <v/>
      </c>
      <c r="G411" s="15">
        <f>Catalog!K384</f>
        <v/>
      </c>
      <c r="H411" s="15">
        <f>IF(Catalog!S384&lt;&gt;"","ISBN:"&amp;Catalog!S384,IF(Catalog!T384&lt;&gt;"","ISSN:"&amp;Catalog!T384,""))</f>
        <v/>
      </c>
      <c r="I411" s="15">
        <f>Catalog!B384</f>
        <v/>
      </c>
      <c r="J411" s="15">
        <f>Catalog!L384</f>
        <v/>
      </c>
      <c r="K411" s="15">
        <f>IF(Catalog!AG384&lt;&gt;"",Catalog!AG384,Catalog!AE384)</f>
        <v/>
      </c>
      <c r="L411" s="15">
        <f>Catalog!AD384</f>
        <v/>
      </c>
      <c r="M411" s="15">
        <f>Catalog!V384</f>
        <v/>
      </c>
      <c r="N411" s="15">
        <f>Catalog!Q384</f>
        <v/>
      </c>
      <c r="O411" s="15">
        <f>Catalog!AF384</f>
        <v/>
      </c>
    </row>
    <row r="412">
      <c r="A412" s="15">
        <f>Catalog!D385</f>
        <v/>
      </c>
      <c r="B412" s="15">
        <f>Catalog!F385</f>
        <v/>
      </c>
      <c r="C412" s="15">
        <f>IF(Catalog!I385="","",Catalog!I385)&amp;IF(AND(Catalog!I385&lt;&gt;"",Catalog!J385&lt;&gt;""),"; ","")&amp;IF(Catalog!J385="","",Catalog!J385)</f>
        <v/>
      </c>
      <c r="D412" s="15">
        <f>Catalog!P385</f>
        <v/>
      </c>
      <c r="E412" s="15">
        <f>Catalog!R385</f>
        <v/>
      </c>
      <c r="F412" s="15">
        <f>Catalog!M385</f>
        <v/>
      </c>
      <c r="G412" s="15">
        <f>Catalog!K385</f>
        <v/>
      </c>
      <c r="H412" s="15">
        <f>IF(Catalog!S385&lt;&gt;"","ISBN:"&amp;Catalog!S385,IF(Catalog!T385&lt;&gt;"","ISSN:"&amp;Catalog!T385,""))</f>
        <v/>
      </c>
      <c r="I412" s="15">
        <f>Catalog!B385</f>
        <v/>
      </c>
      <c r="J412" s="15">
        <f>Catalog!L385</f>
        <v/>
      </c>
      <c r="K412" s="15">
        <f>IF(Catalog!AG385&lt;&gt;"",Catalog!AG385,Catalog!AE385)</f>
        <v/>
      </c>
      <c r="L412" s="15">
        <f>Catalog!AD385</f>
        <v/>
      </c>
      <c r="M412" s="15">
        <f>Catalog!V385</f>
        <v/>
      </c>
      <c r="N412" s="15">
        <f>Catalog!Q385</f>
        <v/>
      </c>
      <c r="O412" s="15">
        <f>Catalog!AF385</f>
        <v/>
      </c>
    </row>
    <row r="413">
      <c r="A413" s="15">
        <f>Catalog!D386</f>
        <v/>
      </c>
      <c r="B413" s="15">
        <f>Catalog!F386</f>
        <v/>
      </c>
      <c r="C413" s="15">
        <f>IF(Catalog!I386="","",Catalog!I386)&amp;IF(AND(Catalog!I386&lt;&gt;"",Catalog!J386&lt;&gt;""),"; ","")&amp;IF(Catalog!J386="","",Catalog!J386)</f>
        <v/>
      </c>
      <c r="D413" s="15">
        <f>Catalog!P386</f>
        <v/>
      </c>
      <c r="E413" s="15">
        <f>Catalog!R386</f>
        <v/>
      </c>
      <c r="F413" s="15">
        <f>Catalog!M386</f>
        <v/>
      </c>
      <c r="G413" s="15">
        <f>Catalog!K386</f>
        <v/>
      </c>
      <c r="H413" s="15">
        <f>IF(Catalog!S386&lt;&gt;"","ISBN:"&amp;Catalog!S386,IF(Catalog!T386&lt;&gt;"","ISSN:"&amp;Catalog!T386,""))</f>
        <v/>
      </c>
      <c r="I413" s="15">
        <f>Catalog!B386</f>
        <v/>
      </c>
      <c r="J413" s="15">
        <f>Catalog!L386</f>
        <v/>
      </c>
      <c r="K413" s="15">
        <f>IF(Catalog!AG386&lt;&gt;"",Catalog!AG386,Catalog!AE386)</f>
        <v/>
      </c>
      <c r="L413" s="15">
        <f>Catalog!AD386</f>
        <v/>
      </c>
      <c r="M413" s="15">
        <f>Catalog!V386</f>
        <v/>
      </c>
      <c r="N413" s="15">
        <f>Catalog!Q386</f>
        <v/>
      </c>
      <c r="O413" s="15">
        <f>Catalog!AF386</f>
        <v/>
      </c>
    </row>
    <row r="414">
      <c r="A414" s="15">
        <f>Catalog!D387</f>
        <v/>
      </c>
      <c r="B414" s="15">
        <f>Catalog!F387</f>
        <v/>
      </c>
      <c r="C414" s="15">
        <f>IF(Catalog!I387="","",Catalog!I387)&amp;IF(AND(Catalog!I387&lt;&gt;"",Catalog!J387&lt;&gt;""),"; ","")&amp;IF(Catalog!J387="","",Catalog!J387)</f>
        <v/>
      </c>
      <c r="D414" s="15">
        <f>Catalog!P387</f>
        <v/>
      </c>
      <c r="E414" s="15">
        <f>Catalog!R387</f>
        <v/>
      </c>
      <c r="F414" s="15">
        <f>Catalog!M387</f>
        <v/>
      </c>
      <c r="G414" s="15">
        <f>Catalog!K387</f>
        <v/>
      </c>
      <c r="H414" s="15">
        <f>IF(Catalog!S387&lt;&gt;"","ISBN:"&amp;Catalog!S387,IF(Catalog!T387&lt;&gt;"","ISSN:"&amp;Catalog!T387,""))</f>
        <v/>
      </c>
      <c r="I414" s="15">
        <f>Catalog!B387</f>
        <v/>
      </c>
      <c r="J414" s="15">
        <f>Catalog!L387</f>
        <v/>
      </c>
      <c r="K414" s="15">
        <f>IF(Catalog!AG387&lt;&gt;"",Catalog!AG387,Catalog!AE387)</f>
        <v/>
      </c>
      <c r="L414" s="15">
        <f>Catalog!AD387</f>
        <v/>
      </c>
      <c r="M414" s="15">
        <f>Catalog!V387</f>
        <v/>
      </c>
      <c r="N414" s="15">
        <f>Catalog!Q387</f>
        <v/>
      </c>
      <c r="O414" s="15">
        <f>Catalog!AF387</f>
        <v/>
      </c>
    </row>
    <row r="415">
      <c r="A415" s="15">
        <f>Catalog!D388</f>
        <v/>
      </c>
      <c r="B415" s="15">
        <f>Catalog!F388</f>
        <v/>
      </c>
      <c r="C415" s="15">
        <f>IF(Catalog!I388="","",Catalog!I388)&amp;IF(AND(Catalog!I388&lt;&gt;"",Catalog!J388&lt;&gt;""),"; ","")&amp;IF(Catalog!J388="","",Catalog!J388)</f>
        <v/>
      </c>
      <c r="D415" s="15">
        <f>Catalog!P388</f>
        <v/>
      </c>
      <c r="E415" s="15">
        <f>Catalog!R388</f>
        <v/>
      </c>
      <c r="F415" s="15">
        <f>Catalog!M388</f>
        <v/>
      </c>
      <c r="G415" s="15">
        <f>Catalog!K388</f>
        <v/>
      </c>
      <c r="H415" s="15">
        <f>IF(Catalog!S388&lt;&gt;"","ISBN:"&amp;Catalog!S388,IF(Catalog!T388&lt;&gt;"","ISSN:"&amp;Catalog!T388,""))</f>
        <v/>
      </c>
      <c r="I415" s="15">
        <f>Catalog!B388</f>
        <v/>
      </c>
      <c r="J415" s="15">
        <f>Catalog!L388</f>
        <v/>
      </c>
      <c r="K415" s="15">
        <f>IF(Catalog!AG388&lt;&gt;"",Catalog!AG388,Catalog!AE388)</f>
        <v/>
      </c>
      <c r="L415" s="15">
        <f>Catalog!AD388</f>
        <v/>
      </c>
      <c r="M415" s="15">
        <f>Catalog!V388</f>
        <v/>
      </c>
      <c r="N415" s="15">
        <f>Catalog!Q388</f>
        <v/>
      </c>
      <c r="O415" s="15">
        <f>Catalog!AF388</f>
        <v/>
      </c>
    </row>
    <row r="416">
      <c r="A416" s="15">
        <f>Catalog!D389</f>
        <v/>
      </c>
      <c r="B416" s="15">
        <f>Catalog!F389</f>
        <v/>
      </c>
      <c r="C416" s="15">
        <f>IF(Catalog!I389="","",Catalog!I389)&amp;IF(AND(Catalog!I389&lt;&gt;"",Catalog!J389&lt;&gt;""),"; ","")&amp;IF(Catalog!J389="","",Catalog!J389)</f>
        <v/>
      </c>
      <c r="D416" s="15">
        <f>Catalog!P389</f>
        <v/>
      </c>
      <c r="E416" s="15">
        <f>Catalog!R389</f>
        <v/>
      </c>
      <c r="F416" s="15">
        <f>Catalog!M389</f>
        <v/>
      </c>
      <c r="G416" s="15">
        <f>Catalog!K389</f>
        <v/>
      </c>
      <c r="H416" s="15">
        <f>IF(Catalog!S389&lt;&gt;"","ISBN:"&amp;Catalog!S389,IF(Catalog!T389&lt;&gt;"","ISSN:"&amp;Catalog!T389,""))</f>
        <v/>
      </c>
      <c r="I416" s="15">
        <f>Catalog!B389</f>
        <v/>
      </c>
      <c r="J416" s="15">
        <f>Catalog!L389</f>
        <v/>
      </c>
      <c r="K416" s="15">
        <f>IF(Catalog!AG389&lt;&gt;"",Catalog!AG389,Catalog!AE389)</f>
        <v/>
      </c>
      <c r="L416" s="15">
        <f>Catalog!AD389</f>
        <v/>
      </c>
      <c r="M416" s="15">
        <f>Catalog!V389</f>
        <v/>
      </c>
      <c r="N416" s="15">
        <f>Catalog!Q389</f>
        <v/>
      </c>
      <c r="O416" s="15">
        <f>Catalog!AF389</f>
        <v/>
      </c>
    </row>
    <row r="417">
      <c r="A417" s="15">
        <f>Catalog!D390</f>
        <v/>
      </c>
      <c r="B417" s="15">
        <f>Catalog!F390</f>
        <v/>
      </c>
      <c r="C417" s="15">
        <f>IF(Catalog!I390="","",Catalog!I390)&amp;IF(AND(Catalog!I390&lt;&gt;"",Catalog!J390&lt;&gt;""),"; ","")&amp;IF(Catalog!J390="","",Catalog!J390)</f>
        <v/>
      </c>
      <c r="D417" s="15">
        <f>Catalog!P390</f>
        <v/>
      </c>
      <c r="E417" s="15">
        <f>Catalog!R390</f>
        <v/>
      </c>
      <c r="F417" s="15">
        <f>Catalog!M390</f>
        <v/>
      </c>
      <c r="G417" s="15">
        <f>Catalog!K390</f>
        <v/>
      </c>
      <c r="H417" s="15">
        <f>IF(Catalog!S390&lt;&gt;"","ISBN:"&amp;Catalog!S390,IF(Catalog!T390&lt;&gt;"","ISSN:"&amp;Catalog!T390,""))</f>
        <v/>
      </c>
      <c r="I417" s="15">
        <f>Catalog!B390</f>
        <v/>
      </c>
      <c r="J417" s="15">
        <f>Catalog!L390</f>
        <v/>
      </c>
      <c r="K417" s="15">
        <f>IF(Catalog!AG390&lt;&gt;"",Catalog!AG390,Catalog!AE390)</f>
        <v/>
      </c>
      <c r="L417" s="15">
        <f>Catalog!AD390</f>
        <v/>
      </c>
      <c r="M417" s="15">
        <f>Catalog!V390</f>
        <v/>
      </c>
      <c r="N417" s="15">
        <f>Catalog!Q390</f>
        <v/>
      </c>
      <c r="O417" s="15">
        <f>Catalog!AF390</f>
        <v/>
      </c>
    </row>
    <row r="418">
      <c r="A418" s="15">
        <f>Catalog!D391</f>
        <v/>
      </c>
      <c r="B418" s="15">
        <f>Catalog!F391</f>
        <v/>
      </c>
      <c r="C418" s="15">
        <f>IF(Catalog!I391="","",Catalog!I391)&amp;IF(AND(Catalog!I391&lt;&gt;"",Catalog!J391&lt;&gt;""),"; ","")&amp;IF(Catalog!J391="","",Catalog!J391)</f>
        <v/>
      </c>
      <c r="D418" s="15">
        <f>Catalog!P391</f>
        <v/>
      </c>
      <c r="E418" s="15">
        <f>Catalog!R391</f>
        <v/>
      </c>
      <c r="F418" s="15">
        <f>Catalog!M391</f>
        <v/>
      </c>
      <c r="G418" s="15">
        <f>Catalog!K391</f>
        <v/>
      </c>
      <c r="H418" s="15">
        <f>IF(Catalog!S391&lt;&gt;"","ISBN:"&amp;Catalog!S391,IF(Catalog!T391&lt;&gt;"","ISSN:"&amp;Catalog!T391,""))</f>
        <v/>
      </c>
      <c r="I418" s="15">
        <f>Catalog!B391</f>
        <v/>
      </c>
      <c r="J418" s="15">
        <f>Catalog!L391</f>
        <v/>
      </c>
      <c r="K418" s="15">
        <f>IF(Catalog!AG391&lt;&gt;"",Catalog!AG391,Catalog!AE391)</f>
        <v/>
      </c>
      <c r="L418" s="15">
        <f>Catalog!AD391</f>
        <v/>
      </c>
      <c r="M418" s="15">
        <f>Catalog!V391</f>
        <v/>
      </c>
      <c r="N418" s="15">
        <f>Catalog!Q391</f>
        <v/>
      </c>
      <c r="O418" s="15">
        <f>Catalog!AF391</f>
        <v/>
      </c>
    </row>
    <row r="419">
      <c r="A419" s="15">
        <f>Catalog!D392</f>
        <v/>
      </c>
      <c r="B419" s="15">
        <f>Catalog!F392</f>
        <v/>
      </c>
      <c r="C419" s="15">
        <f>IF(Catalog!I392="","",Catalog!I392)&amp;IF(AND(Catalog!I392&lt;&gt;"",Catalog!J392&lt;&gt;""),"; ","")&amp;IF(Catalog!J392="","",Catalog!J392)</f>
        <v/>
      </c>
      <c r="D419" s="15">
        <f>Catalog!P392</f>
        <v/>
      </c>
      <c r="E419" s="15">
        <f>Catalog!R392</f>
        <v/>
      </c>
      <c r="F419" s="15">
        <f>Catalog!M392</f>
        <v/>
      </c>
      <c r="G419" s="15">
        <f>Catalog!K392</f>
        <v/>
      </c>
      <c r="H419" s="15">
        <f>IF(Catalog!S392&lt;&gt;"","ISBN:"&amp;Catalog!S392,IF(Catalog!T392&lt;&gt;"","ISSN:"&amp;Catalog!T392,""))</f>
        <v/>
      </c>
      <c r="I419" s="15">
        <f>Catalog!B392</f>
        <v/>
      </c>
      <c r="J419" s="15">
        <f>Catalog!L392</f>
        <v/>
      </c>
      <c r="K419" s="15">
        <f>IF(Catalog!AG392&lt;&gt;"",Catalog!AG392,Catalog!AE392)</f>
        <v/>
      </c>
      <c r="L419" s="15">
        <f>Catalog!AD392</f>
        <v/>
      </c>
      <c r="M419" s="15">
        <f>Catalog!V392</f>
        <v/>
      </c>
      <c r="N419" s="15">
        <f>Catalog!Q392</f>
        <v/>
      </c>
      <c r="O419" s="15">
        <f>Catalog!AF392</f>
        <v/>
      </c>
    </row>
    <row r="420">
      <c r="A420" s="15">
        <f>Catalog!D393</f>
        <v/>
      </c>
      <c r="B420" s="15">
        <f>Catalog!F393</f>
        <v/>
      </c>
      <c r="C420" s="15">
        <f>IF(Catalog!I393="","",Catalog!I393)&amp;IF(AND(Catalog!I393&lt;&gt;"",Catalog!J393&lt;&gt;""),"; ","")&amp;IF(Catalog!J393="","",Catalog!J393)</f>
        <v/>
      </c>
      <c r="D420" s="15">
        <f>Catalog!P393</f>
        <v/>
      </c>
      <c r="E420" s="15">
        <f>Catalog!R393</f>
        <v/>
      </c>
      <c r="F420" s="15">
        <f>Catalog!M393</f>
        <v/>
      </c>
      <c r="G420" s="15">
        <f>Catalog!K393</f>
        <v/>
      </c>
      <c r="H420" s="15">
        <f>IF(Catalog!S393&lt;&gt;"","ISBN:"&amp;Catalog!S393,IF(Catalog!T393&lt;&gt;"","ISSN:"&amp;Catalog!T393,""))</f>
        <v/>
      </c>
      <c r="I420" s="15">
        <f>Catalog!B393</f>
        <v/>
      </c>
      <c r="J420" s="15">
        <f>Catalog!L393</f>
        <v/>
      </c>
      <c r="K420" s="15">
        <f>IF(Catalog!AG393&lt;&gt;"",Catalog!AG393,Catalog!AE393)</f>
        <v/>
      </c>
      <c r="L420" s="15">
        <f>Catalog!AD393</f>
        <v/>
      </c>
      <c r="M420" s="15">
        <f>Catalog!V393</f>
        <v/>
      </c>
      <c r="N420" s="15">
        <f>Catalog!Q393</f>
        <v/>
      </c>
      <c r="O420" s="15">
        <f>Catalog!AF393</f>
        <v/>
      </c>
    </row>
    <row r="421">
      <c r="A421" s="15">
        <f>Catalog!D394</f>
        <v/>
      </c>
      <c r="B421" s="15">
        <f>Catalog!F394</f>
        <v/>
      </c>
      <c r="C421" s="15">
        <f>IF(Catalog!I394="","",Catalog!I394)&amp;IF(AND(Catalog!I394&lt;&gt;"",Catalog!J394&lt;&gt;""),"; ","")&amp;IF(Catalog!J394="","",Catalog!J394)</f>
        <v/>
      </c>
      <c r="D421" s="15">
        <f>Catalog!P394</f>
        <v/>
      </c>
      <c r="E421" s="15">
        <f>Catalog!R394</f>
        <v/>
      </c>
      <c r="F421" s="15">
        <f>Catalog!M394</f>
        <v/>
      </c>
      <c r="G421" s="15">
        <f>Catalog!K394</f>
        <v/>
      </c>
      <c r="H421" s="15">
        <f>IF(Catalog!S394&lt;&gt;"","ISBN:"&amp;Catalog!S394,IF(Catalog!T394&lt;&gt;"","ISSN:"&amp;Catalog!T394,""))</f>
        <v/>
      </c>
      <c r="I421" s="15">
        <f>Catalog!B394</f>
        <v/>
      </c>
      <c r="J421" s="15">
        <f>Catalog!L394</f>
        <v/>
      </c>
      <c r="K421" s="15">
        <f>IF(Catalog!AG394&lt;&gt;"",Catalog!AG394,Catalog!AE394)</f>
        <v/>
      </c>
      <c r="L421" s="15">
        <f>Catalog!AD394</f>
        <v/>
      </c>
      <c r="M421" s="15">
        <f>Catalog!V394</f>
        <v/>
      </c>
      <c r="N421" s="15">
        <f>Catalog!Q394</f>
        <v/>
      </c>
      <c r="O421" s="15">
        <f>Catalog!AF394</f>
        <v/>
      </c>
    </row>
    <row r="422">
      <c r="A422" s="15">
        <f>Catalog!D395</f>
        <v/>
      </c>
      <c r="B422" s="15">
        <f>Catalog!F395</f>
        <v/>
      </c>
      <c r="C422" s="15">
        <f>IF(Catalog!I395="","",Catalog!I395)&amp;IF(AND(Catalog!I395&lt;&gt;"",Catalog!J395&lt;&gt;""),"; ","")&amp;IF(Catalog!J395="","",Catalog!J395)</f>
        <v/>
      </c>
      <c r="D422" s="15">
        <f>Catalog!P395</f>
        <v/>
      </c>
      <c r="E422" s="15">
        <f>Catalog!R395</f>
        <v/>
      </c>
      <c r="F422" s="15">
        <f>Catalog!M395</f>
        <v/>
      </c>
      <c r="G422" s="15">
        <f>Catalog!K395</f>
        <v/>
      </c>
      <c r="H422" s="15">
        <f>IF(Catalog!S395&lt;&gt;"","ISBN:"&amp;Catalog!S395,IF(Catalog!T395&lt;&gt;"","ISSN:"&amp;Catalog!T395,""))</f>
        <v/>
      </c>
      <c r="I422" s="15">
        <f>Catalog!B395</f>
        <v/>
      </c>
      <c r="J422" s="15">
        <f>Catalog!L395</f>
        <v/>
      </c>
      <c r="K422" s="15">
        <f>IF(Catalog!AG395&lt;&gt;"",Catalog!AG395,Catalog!AE395)</f>
        <v/>
      </c>
      <c r="L422" s="15">
        <f>Catalog!AD395</f>
        <v/>
      </c>
      <c r="M422" s="15">
        <f>Catalog!V395</f>
        <v/>
      </c>
      <c r="N422" s="15">
        <f>Catalog!Q395</f>
        <v/>
      </c>
      <c r="O422" s="15">
        <f>Catalog!AF395</f>
        <v/>
      </c>
    </row>
    <row r="423">
      <c r="A423" s="15">
        <f>Catalog!D396</f>
        <v/>
      </c>
      <c r="B423" s="15">
        <f>Catalog!F396</f>
        <v/>
      </c>
      <c r="C423" s="15">
        <f>IF(Catalog!I396="","",Catalog!I396)&amp;IF(AND(Catalog!I396&lt;&gt;"",Catalog!J396&lt;&gt;""),"; ","")&amp;IF(Catalog!J396="","",Catalog!J396)</f>
        <v/>
      </c>
      <c r="D423" s="15">
        <f>Catalog!P396</f>
        <v/>
      </c>
      <c r="E423" s="15">
        <f>Catalog!R396</f>
        <v/>
      </c>
      <c r="F423" s="15">
        <f>Catalog!M396</f>
        <v/>
      </c>
      <c r="G423" s="15">
        <f>Catalog!K396</f>
        <v/>
      </c>
      <c r="H423" s="15">
        <f>IF(Catalog!S396&lt;&gt;"","ISBN:"&amp;Catalog!S396,IF(Catalog!T396&lt;&gt;"","ISSN:"&amp;Catalog!T396,""))</f>
        <v/>
      </c>
      <c r="I423" s="15">
        <f>Catalog!B396</f>
        <v/>
      </c>
      <c r="J423" s="15">
        <f>Catalog!L396</f>
        <v/>
      </c>
      <c r="K423" s="15">
        <f>IF(Catalog!AG396&lt;&gt;"",Catalog!AG396,Catalog!AE396)</f>
        <v/>
      </c>
      <c r="L423" s="15">
        <f>Catalog!AD396</f>
        <v/>
      </c>
      <c r="M423" s="15">
        <f>Catalog!V396</f>
        <v/>
      </c>
      <c r="N423" s="15">
        <f>Catalog!Q396</f>
        <v/>
      </c>
      <c r="O423" s="15">
        <f>Catalog!AF396</f>
        <v/>
      </c>
    </row>
    <row r="424">
      <c r="A424" s="15">
        <f>Catalog!D397</f>
        <v/>
      </c>
      <c r="B424" s="15">
        <f>Catalog!F397</f>
        <v/>
      </c>
      <c r="C424" s="15">
        <f>IF(Catalog!I397="","",Catalog!I397)&amp;IF(AND(Catalog!I397&lt;&gt;"",Catalog!J397&lt;&gt;""),"; ","")&amp;IF(Catalog!J397="","",Catalog!J397)</f>
        <v/>
      </c>
      <c r="D424" s="15">
        <f>Catalog!P397</f>
        <v/>
      </c>
      <c r="E424" s="15">
        <f>Catalog!R397</f>
        <v/>
      </c>
      <c r="F424" s="15">
        <f>Catalog!M397</f>
        <v/>
      </c>
      <c r="G424" s="15">
        <f>Catalog!K397</f>
        <v/>
      </c>
      <c r="H424" s="15">
        <f>IF(Catalog!S397&lt;&gt;"","ISBN:"&amp;Catalog!S397,IF(Catalog!T397&lt;&gt;"","ISSN:"&amp;Catalog!T397,""))</f>
        <v/>
      </c>
      <c r="I424" s="15">
        <f>Catalog!B397</f>
        <v/>
      </c>
      <c r="J424" s="15">
        <f>Catalog!L397</f>
        <v/>
      </c>
      <c r="K424" s="15">
        <f>IF(Catalog!AG397&lt;&gt;"",Catalog!AG397,Catalog!AE397)</f>
        <v/>
      </c>
      <c r="L424" s="15">
        <f>Catalog!AD397</f>
        <v/>
      </c>
      <c r="M424" s="15">
        <f>Catalog!V397</f>
        <v/>
      </c>
      <c r="N424" s="15">
        <f>Catalog!Q397</f>
        <v/>
      </c>
      <c r="O424" s="15">
        <f>Catalog!AF397</f>
        <v/>
      </c>
    </row>
    <row r="425">
      <c r="A425" s="15">
        <f>Catalog!D398</f>
        <v/>
      </c>
      <c r="B425" s="15">
        <f>Catalog!F398</f>
        <v/>
      </c>
      <c r="C425" s="15">
        <f>IF(Catalog!I398="","",Catalog!I398)&amp;IF(AND(Catalog!I398&lt;&gt;"",Catalog!J398&lt;&gt;""),"; ","")&amp;IF(Catalog!J398="","",Catalog!J398)</f>
        <v/>
      </c>
      <c r="D425" s="15">
        <f>Catalog!P398</f>
        <v/>
      </c>
      <c r="E425" s="15">
        <f>Catalog!R398</f>
        <v/>
      </c>
      <c r="F425" s="15">
        <f>Catalog!M398</f>
        <v/>
      </c>
      <c r="G425" s="15">
        <f>Catalog!K398</f>
        <v/>
      </c>
      <c r="H425" s="15">
        <f>IF(Catalog!S398&lt;&gt;"","ISBN:"&amp;Catalog!S398,IF(Catalog!T398&lt;&gt;"","ISSN:"&amp;Catalog!T398,""))</f>
        <v/>
      </c>
      <c r="I425" s="15">
        <f>Catalog!B398</f>
        <v/>
      </c>
      <c r="J425" s="15">
        <f>Catalog!L398</f>
        <v/>
      </c>
      <c r="K425" s="15">
        <f>IF(Catalog!AG398&lt;&gt;"",Catalog!AG398,Catalog!AE398)</f>
        <v/>
      </c>
      <c r="L425" s="15">
        <f>Catalog!AD398</f>
        <v/>
      </c>
      <c r="M425" s="15">
        <f>Catalog!V398</f>
        <v/>
      </c>
      <c r="N425" s="15">
        <f>Catalog!Q398</f>
        <v/>
      </c>
      <c r="O425" s="15">
        <f>Catalog!AF398</f>
        <v/>
      </c>
    </row>
    <row r="426">
      <c r="A426" s="15">
        <f>Catalog!D399</f>
        <v/>
      </c>
      <c r="B426" s="15">
        <f>Catalog!F399</f>
        <v/>
      </c>
      <c r="C426" s="15">
        <f>IF(Catalog!I399="","",Catalog!I399)&amp;IF(AND(Catalog!I399&lt;&gt;"",Catalog!J399&lt;&gt;""),"; ","")&amp;IF(Catalog!J399="","",Catalog!J399)</f>
        <v/>
      </c>
      <c r="D426" s="15">
        <f>Catalog!P399</f>
        <v/>
      </c>
      <c r="E426" s="15">
        <f>Catalog!R399</f>
        <v/>
      </c>
      <c r="F426" s="15">
        <f>Catalog!M399</f>
        <v/>
      </c>
      <c r="G426" s="15">
        <f>Catalog!K399</f>
        <v/>
      </c>
      <c r="H426" s="15">
        <f>IF(Catalog!S399&lt;&gt;"","ISBN:"&amp;Catalog!S399,IF(Catalog!T399&lt;&gt;"","ISSN:"&amp;Catalog!T399,""))</f>
        <v/>
      </c>
      <c r="I426" s="15">
        <f>Catalog!B399</f>
        <v/>
      </c>
      <c r="J426" s="15">
        <f>Catalog!L399</f>
        <v/>
      </c>
      <c r="K426" s="15">
        <f>IF(Catalog!AG399&lt;&gt;"",Catalog!AG399,Catalog!AE399)</f>
        <v/>
      </c>
      <c r="L426" s="15">
        <f>Catalog!AD399</f>
        <v/>
      </c>
      <c r="M426" s="15">
        <f>Catalog!V399</f>
        <v/>
      </c>
      <c r="N426" s="15">
        <f>Catalog!Q399</f>
        <v/>
      </c>
      <c r="O426" s="15">
        <f>Catalog!AF399</f>
        <v/>
      </c>
    </row>
    <row r="427">
      <c r="A427" s="15">
        <f>Catalog!D400</f>
        <v/>
      </c>
      <c r="B427" s="15">
        <f>Catalog!F400</f>
        <v/>
      </c>
      <c r="C427" s="15">
        <f>IF(Catalog!I400="","",Catalog!I400)&amp;IF(AND(Catalog!I400&lt;&gt;"",Catalog!J400&lt;&gt;""),"; ","")&amp;IF(Catalog!J400="","",Catalog!J400)</f>
        <v/>
      </c>
      <c r="D427" s="15">
        <f>Catalog!P400</f>
        <v/>
      </c>
      <c r="E427" s="15">
        <f>Catalog!R400</f>
        <v/>
      </c>
      <c r="F427" s="15">
        <f>Catalog!M400</f>
        <v/>
      </c>
      <c r="G427" s="15">
        <f>Catalog!K400</f>
        <v/>
      </c>
      <c r="H427" s="15">
        <f>IF(Catalog!S400&lt;&gt;"","ISBN:"&amp;Catalog!S400,IF(Catalog!T400&lt;&gt;"","ISSN:"&amp;Catalog!T400,""))</f>
        <v/>
      </c>
      <c r="I427" s="15">
        <f>Catalog!B400</f>
        <v/>
      </c>
      <c r="J427" s="15">
        <f>Catalog!L400</f>
        <v/>
      </c>
      <c r="K427" s="15">
        <f>IF(Catalog!AG400&lt;&gt;"",Catalog!AG400,Catalog!AE400)</f>
        <v/>
      </c>
      <c r="L427" s="15">
        <f>Catalog!AD400</f>
        <v/>
      </c>
      <c r="M427" s="15">
        <f>Catalog!V400</f>
        <v/>
      </c>
      <c r="N427" s="15">
        <f>Catalog!Q400</f>
        <v/>
      </c>
      <c r="O427" s="15">
        <f>Catalog!AF400</f>
        <v/>
      </c>
    </row>
    <row r="428">
      <c r="A428" s="15">
        <f>Catalog!D401</f>
        <v/>
      </c>
      <c r="B428" s="15">
        <f>Catalog!F401</f>
        <v/>
      </c>
      <c r="C428" s="15">
        <f>IF(Catalog!I401="","",Catalog!I401)&amp;IF(AND(Catalog!I401&lt;&gt;"",Catalog!J401&lt;&gt;""),"; ","")&amp;IF(Catalog!J401="","",Catalog!J401)</f>
        <v/>
      </c>
      <c r="D428" s="15">
        <f>Catalog!P401</f>
        <v/>
      </c>
      <c r="E428" s="15">
        <f>Catalog!R401</f>
        <v/>
      </c>
      <c r="F428" s="15">
        <f>Catalog!M401</f>
        <v/>
      </c>
      <c r="G428" s="15">
        <f>Catalog!K401</f>
        <v/>
      </c>
      <c r="H428" s="15">
        <f>IF(Catalog!S401&lt;&gt;"","ISBN:"&amp;Catalog!S401,IF(Catalog!T401&lt;&gt;"","ISSN:"&amp;Catalog!T401,""))</f>
        <v/>
      </c>
      <c r="I428" s="15">
        <f>Catalog!B401</f>
        <v/>
      </c>
      <c r="J428" s="15">
        <f>Catalog!L401</f>
        <v/>
      </c>
      <c r="K428" s="15">
        <f>IF(Catalog!AG401&lt;&gt;"",Catalog!AG401,Catalog!AE401)</f>
        <v/>
      </c>
      <c r="L428" s="15">
        <f>Catalog!AD401</f>
        <v/>
      </c>
      <c r="M428" s="15">
        <f>Catalog!V401</f>
        <v/>
      </c>
      <c r="N428" s="15">
        <f>Catalog!Q401</f>
        <v/>
      </c>
      <c r="O428" s="15">
        <f>Catalog!AF401</f>
        <v/>
      </c>
    </row>
    <row r="429">
      <c r="A429" s="15">
        <f>Catalog!D402</f>
        <v/>
      </c>
      <c r="B429" s="15">
        <f>Catalog!F402</f>
        <v/>
      </c>
      <c r="C429" s="15">
        <f>IF(Catalog!I402="","",Catalog!I402)&amp;IF(AND(Catalog!I402&lt;&gt;"",Catalog!J402&lt;&gt;""),"; ","")&amp;IF(Catalog!J402="","",Catalog!J402)</f>
        <v/>
      </c>
      <c r="D429" s="15">
        <f>Catalog!P402</f>
        <v/>
      </c>
      <c r="E429" s="15">
        <f>Catalog!R402</f>
        <v/>
      </c>
      <c r="F429" s="15">
        <f>Catalog!M402</f>
        <v/>
      </c>
      <c r="G429" s="15">
        <f>Catalog!K402</f>
        <v/>
      </c>
      <c r="H429" s="15">
        <f>IF(Catalog!S402&lt;&gt;"","ISBN:"&amp;Catalog!S402,IF(Catalog!T402&lt;&gt;"","ISSN:"&amp;Catalog!T402,""))</f>
        <v/>
      </c>
      <c r="I429" s="15">
        <f>Catalog!B402</f>
        <v/>
      </c>
      <c r="J429" s="15">
        <f>Catalog!L402</f>
        <v/>
      </c>
      <c r="K429" s="15">
        <f>IF(Catalog!AG402&lt;&gt;"",Catalog!AG402,Catalog!AE402)</f>
        <v/>
      </c>
      <c r="L429" s="15">
        <f>Catalog!AD402</f>
        <v/>
      </c>
      <c r="M429" s="15">
        <f>Catalog!V402</f>
        <v/>
      </c>
      <c r="N429" s="15">
        <f>Catalog!Q402</f>
        <v/>
      </c>
      <c r="O429" s="15">
        <f>Catalog!AF402</f>
        <v/>
      </c>
    </row>
    <row r="430">
      <c r="A430" s="15">
        <f>Catalog!D403</f>
        <v/>
      </c>
      <c r="B430" s="15">
        <f>Catalog!F403</f>
        <v/>
      </c>
      <c r="C430" s="15">
        <f>IF(Catalog!I403="","",Catalog!I403)&amp;IF(AND(Catalog!I403&lt;&gt;"",Catalog!J403&lt;&gt;""),"; ","")&amp;IF(Catalog!J403="","",Catalog!J403)</f>
        <v/>
      </c>
      <c r="D430" s="15">
        <f>Catalog!P403</f>
        <v/>
      </c>
      <c r="E430" s="15">
        <f>Catalog!R403</f>
        <v/>
      </c>
      <c r="F430" s="15">
        <f>Catalog!M403</f>
        <v/>
      </c>
      <c r="G430" s="15">
        <f>Catalog!K403</f>
        <v/>
      </c>
      <c r="H430" s="15">
        <f>IF(Catalog!S403&lt;&gt;"","ISBN:"&amp;Catalog!S403,IF(Catalog!T403&lt;&gt;"","ISSN:"&amp;Catalog!T403,""))</f>
        <v/>
      </c>
      <c r="I430" s="15">
        <f>Catalog!B403</f>
        <v/>
      </c>
      <c r="J430" s="15">
        <f>Catalog!L403</f>
        <v/>
      </c>
      <c r="K430" s="15">
        <f>IF(Catalog!AG403&lt;&gt;"",Catalog!AG403,Catalog!AE403)</f>
        <v/>
      </c>
      <c r="L430" s="15">
        <f>Catalog!AD403</f>
        <v/>
      </c>
      <c r="M430" s="15">
        <f>Catalog!V403</f>
        <v/>
      </c>
      <c r="N430" s="15">
        <f>Catalog!Q403</f>
        <v/>
      </c>
      <c r="O430" s="15">
        <f>Catalog!AF403</f>
        <v/>
      </c>
    </row>
    <row r="431">
      <c r="A431" s="15">
        <f>Catalog!D404</f>
        <v/>
      </c>
      <c r="B431" s="15">
        <f>Catalog!F404</f>
        <v/>
      </c>
      <c r="C431" s="15">
        <f>IF(Catalog!I404="","",Catalog!I404)&amp;IF(AND(Catalog!I404&lt;&gt;"",Catalog!J404&lt;&gt;""),"; ","")&amp;IF(Catalog!J404="","",Catalog!J404)</f>
        <v/>
      </c>
      <c r="D431" s="15">
        <f>Catalog!P404</f>
        <v/>
      </c>
      <c r="E431" s="15">
        <f>Catalog!R404</f>
        <v/>
      </c>
      <c r="F431" s="15">
        <f>Catalog!M404</f>
        <v/>
      </c>
      <c r="G431" s="15">
        <f>Catalog!K404</f>
        <v/>
      </c>
      <c r="H431" s="15">
        <f>IF(Catalog!S404&lt;&gt;"","ISBN:"&amp;Catalog!S404,IF(Catalog!T404&lt;&gt;"","ISSN:"&amp;Catalog!T404,""))</f>
        <v/>
      </c>
      <c r="I431" s="15">
        <f>Catalog!B404</f>
        <v/>
      </c>
      <c r="J431" s="15">
        <f>Catalog!L404</f>
        <v/>
      </c>
      <c r="K431" s="15">
        <f>IF(Catalog!AG404&lt;&gt;"",Catalog!AG404,Catalog!AE404)</f>
        <v/>
      </c>
      <c r="L431" s="15">
        <f>Catalog!AD404</f>
        <v/>
      </c>
      <c r="M431" s="15">
        <f>Catalog!V404</f>
        <v/>
      </c>
      <c r="N431" s="15">
        <f>Catalog!Q404</f>
        <v/>
      </c>
      <c r="O431" s="15">
        <f>Catalog!AF404</f>
        <v/>
      </c>
    </row>
    <row r="432">
      <c r="A432" s="15">
        <f>Catalog!D405</f>
        <v/>
      </c>
      <c r="B432" s="15">
        <f>Catalog!F405</f>
        <v/>
      </c>
      <c r="C432" s="15">
        <f>IF(Catalog!I405="","",Catalog!I405)&amp;IF(AND(Catalog!I405&lt;&gt;"",Catalog!J405&lt;&gt;""),"; ","")&amp;IF(Catalog!J405="","",Catalog!J405)</f>
        <v/>
      </c>
      <c r="D432" s="15">
        <f>Catalog!P405</f>
        <v/>
      </c>
      <c r="E432" s="15">
        <f>Catalog!R405</f>
        <v/>
      </c>
      <c r="F432" s="15">
        <f>Catalog!M405</f>
        <v/>
      </c>
      <c r="G432" s="15">
        <f>Catalog!K405</f>
        <v/>
      </c>
      <c r="H432" s="15">
        <f>IF(Catalog!S405&lt;&gt;"","ISBN:"&amp;Catalog!S405,IF(Catalog!T405&lt;&gt;"","ISSN:"&amp;Catalog!T405,""))</f>
        <v/>
      </c>
      <c r="I432" s="15">
        <f>Catalog!B405</f>
        <v/>
      </c>
      <c r="J432" s="15">
        <f>Catalog!L405</f>
        <v/>
      </c>
      <c r="K432" s="15">
        <f>IF(Catalog!AG405&lt;&gt;"",Catalog!AG405,Catalog!AE405)</f>
        <v/>
      </c>
      <c r="L432" s="15">
        <f>Catalog!AD405</f>
        <v/>
      </c>
      <c r="M432" s="15">
        <f>Catalog!V405</f>
        <v/>
      </c>
      <c r="N432" s="15">
        <f>Catalog!Q405</f>
        <v/>
      </c>
      <c r="O432" s="15">
        <f>Catalog!AF405</f>
        <v/>
      </c>
    </row>
    <row r="433">
      <c r="A433" s="15">
        <f>Catalog!D406</f>
        <v/>
      </c>
      <c r="B433" s="15">
        <f>Catalog!F406</f>
        <v/>
      </c>
      <c r="C433" s="15">
        <f>IF(Catalog!I406="","",Catalog!I406)&amp;IF(AND(Catalog!I406&lt;&gt;"",Catalog!J406&lt;&gt;""),"; ","")&amp;IF(Catalog!J406="","",Catalog!J406)</f>
        <v/>
      </c>
      <c r="D433" s="15">
        <f>Catalog!P406</f>
        <v/>
      </c>
      <c r="E433" s="15">
        <f>Catalog!R406</f>
        <v/>
      </c>
      <c r="F433" s="15">
        <f>Catalog!M406</f>
        <v/>
      </c>
      <c r="G433" s="15">
        <f>Catalog!K406</f>
        <v/>
      </c>
      <c r="H433" s="15">
        <f>IF(Catalog!S406&lt;&gt;"","ISBN:"&amp;Catalog!S406,IF(Catalog!T406&lt;&gt;"","ISSN:"&amp;Catalog!T406,""))</f>
        <v/>
      </c>
      <c r="I433" s="15">
        <f>Catalog!B406</f>
        <v/>
      </c>
      <c r="J433" s="15">
        <f>Catalog!L406</f>
        <v/>
      </c>
      <c r="K433" s="15">
        <f>IF(Catalog!AG406&lt;&gt;"",Catalog!AG406,Catalog!AE406)</f>
        <v/>
      </c>
      <c r="L433" s="15">
        <f>Catalog!AD406</f>
        <v/>
      </c>
      <c r="M433" s="15">
        <f>Catalog!V406</f>
        <v/>
      </c>
      <c r="N433" s="15">
        <f>Catalog!Q406</f>
        <v/>
      </c>
      <c r="O433" s="15">
        <f>Catalog!AF406</f>
        <v/>
      </c>
    </row>
    <row r="434">
      <c r="A434" s="15">
        <f>Catalog!D407</f>
        <v/>
      </c>
      <c r="B434" s="15">
        <f>Catalog!F407</f>
        <v/>
      </c>
      <c r="C434" s="15">
        <f>IF(Catalog!I407="","",Catalog!I407)&amp;IF(AND(Catalog!I407&lt;&gt;"",Catalog!J407&lt;&gt;""),"; ","")&amp;IF(Catalog!J407="","",Catalog!J407)</f>
        <v/>
      </c>
      <c r="D434" s="15">
        <f>Catalog!P407</f>
        <v/>
      </c>
      <c r="E434" s="15">
        <f>Catalog!R407</f>
        <v/>
      </c>
      <c r="F434" s="15">
        <f>Catalog!M407</f>
        <v/>
      </c>
      <c r="G434" s="15">
        <f>Catalog!K407</f>
        <v/>
      </c>
      <c r="H434" s="15">
        <f>IF(Catalog!S407&lt;&gt;"","ISBN:"&amp;Catalog!S407,IF(Catalog!T407&lt;&gt;"","ISSN:"&amp;Catalog!T407,""))</f>
        <v/>
      </c>
      <c r="I434" s="15">
        <f>Catalog!B407</f>
        <v/>
      </c>
      <c r="J434" s="15">
        <f>Catalog!L407</f>
        <v/>
      </c>
      <c r="K434" s="15">
        <f>IF(Catalog!AG407&lt;&gt;"",Catalog!AG407,Catalog!AE407)</f>
        <v/>
      </c>
      <c r="L434" s="15">
        <f>Catalog!AD407</f>
        <v/>
      </c>
      <c r="M434" s="15">
        <f>Catalog!V407</f>
        <v/>
      </c>
      <c r="N434" s="15">
        <f>Catalog!Q407</f>
        <v/>
      </c>
      <c r="O434" s="15">
        <f>Catalog!AF407</f>
        <v/>
      </c>
    </row>
    <row r="435">
      <c r="A435" s="15">
        <f>Catalog!D408</f>
        <v/>
      </c>
      <c r="B435" s="15">
        <f>Catalog!F408</f>
        <v/>
      </c>
      <c r="C435" s="15">
        <f>IF(Catalog!I408="","",Catalog!I408)&amp;IF(AND(Catalog!I408&lt;&gt;"",Catalog!J408&lt;&gt;""),"; ","")&amp;IF(Catalog!J408="","",Catalog!J408)</f>
        <v/>
      </c>
      <c r="D435" s="15">
        <f>Catalog!P408</f>
        <v/>
      </c>
      <c r="E435" s="15">
        <f>Catalog!R408</f>
        <v/>
      </c>
      <c r="F435" s="15">
        <f>Catalog!M408</f>
        <v/>
      </c>
      <c r="G435" s="15">
        <f>Catalog!K408</f>
        <v/>
      </c>
      <c r="H435" s="15">
        <f>IF(Catalog!S408&lt;&gt;"","ISBN:"&amp;Catalog!S408,IF(Catalog!T408&lt;&gt;"","ISSN:"&amp;Catalog!T408,""))</f>
        <v/>
      </c>
      <c r="I435" s="15">
        <f>Catalog!B408</f>
        <v/>
      </c>
      <c r="J435" s="15">
        <f>Catalog!L408</f>
        <v/>
      </c>
      <c r="K435" s="15">
        <f>IF(Catalog!AG408&lt;&gt;"",Catalog!AG408,Catalog!AE408)</f>
        <v/>
      </c>
      <c r="L435" s="15">
        <f>Catalog!AD408</f>
        <v/>
      </c>
      <c r="M435" s="15">
        <f>Catalog!V408</f>
        <v/>
      </c>
      <c r="N435" s="15">
        <f>Catalog!Q408</f>
        <v/>
      </c>
      <c r="O435" s="15">
        <f>Catalog!AF408</f>
        <v/>
      </c>
    </row>
    <row r="436">
      <c r="A436" s="15">
        <f>Catalog!D409</f>
        <v/>
      </c>
      <c r="B436" s="15">
        <f>Catalog!F409</f>
        <v/>
      </c>
      <c r="C436" s="15">
        <f>IF(Catalog!I409="","",Catalog!I409)&amp;IF(AND(Catalog!I409&lt;&gt;"",Catalog!J409&lt;&gt;""),"; ","")&amp;IF(Catalog!J409="","",Catalog!J409)</f>
        <v/>
      </c>
      <c r="D436" s="15">
        <f>Catalog!P409</f>
        <v/>
      </c>
      <c r="E436" s="15">
        <f>Catalog!R409</f>
        <v/>
      </c>
      <c r="F436" s="15">
        <f>Catalog!M409</f>
        <v/>
      </c>
      <c r="G436" s="15">
        <f>Catalog!K409</f>
        <v/>
      </c>
      <c r="H436" s="15">
        <f>IF(Catalog!S409&lt;&gt;"","ISBN:"&amp;Catalog!S409,IF(Catalog!T409&lt;&gt;"","ISSN:"&amp;Catalog!T409,""))</f>
        <v/>
      </c>
      <c r="I436" s="15">
        <f>Catalog!B409</f>
        <v/>
      </c>
      <c r="J436" s="15">
        <f>Catalog!L409</f>
        <v/>
      </c>
      <c r="K436" s="15">
        <f>IF(Catalog!AG409&lt;&gt;"",Catalog!AG409,Catalog!AE409)</f>
        <v/>
      </c>
      <c r="L436" s="15">
        <f>Catalog!AD409</f>
        <v/>
      </c>
      <c r="M436" s="15">
        <f>Catalog!V409</f>
        <v/>
      </c>
      <c r="N436" s="15">
        <f>Catalog!Q409</f>
        <v/>
      </c>
      <c r="O436" s="15">
        <f>Catalog!AF409</f>
        <v/>
      </c>
    </row>
    <row r="437">
      <c r="A437" s="15">
        <f>Catalog!D410</f>
        <v/>
      </c>
      <c r="B437" s="15">
        <f>Catalog!F410</f>
        <v/>
      </c>
      <c r="C437" s="15">
        <f>IF(Catalog!I410="","",Catalog!I410)&amp;IF(AND(Catalog!I410&lt;&gt;"",Catalog!J410&lt;&gt;""),"; ","")&amp;IF(Catalog!J410="","",Catalog!J410)</f>
        <v/>
      </c>
      <c r="D437" s="15">
        <f>Catalog!P410</f>
        <v/>
      </c>
      <c r="E437" s="15">
        <f>Catalog!R410</f>
        <v/>
      </c>
      <c r="F437" s="15">
        <f>Catalog!M410</f>
        <v/>
      </c>
      <c r="G437" s="15">
        <f>Catalog!K410</f>
        <v/>
      </c>
      <c r="H437" s="15">
        <f>IF(Catalog!S410&lt;&gt;"","ISBN:"&amp;Catalog!S410,IF(Catalog!T410&lt;&gt;"","ISSN:"&amp;Catalog!T410,""))</f>
        <v/>
      </c>
      <c r="I437" s="15">
        <f>Catalog!B410</f>
        <v/>
      </c>
      <c r="J437" s="15">
        <f>Catalog!L410</f>
        <v/>
      </c>
      <c r="K437" s="15">
        <f>IF(Catalog!AG410&lt;&gt;"",Catalog!AG410,Catalog!AE410)</f>
        <v/>
      </c>
      <c r="L437" s="15">
        <f>Catalog!AD410</f>
        <v/>
      </c>
      <c r="M437" s="15">
        <f>Catalog!V410</f>
        <v/>
      </c>
      <c r="N437" s="15">
        <f>Catalog!Q410</f>
        <v/>
      </c>
      <c r="O437" s="15">
        <f>Catalog!AF410</f>
        <v/>
      </c>
    </row>
    <row r="438">
      <c r="A438" s="15">
        <f>Catalog!D411</f>
        <v/>
      </c>
      <c r="B438" s="15">
        <f>Catalog!F411</f>
        <v/>
      </c>
      <c r="C438" s="15">
        <f>IF(Catalog!I411="","",Catalog!I411)&amp;IF(AND(Catalog!I411&lt;&gt;"",Catalog!J411&lt;&gt;""),"; ","")&amp;IF(Catalog!J411="","",Catalog!J411)</f>
        <v/>
      </c>
      <c r="D438" s="15">
        <f>Catalog!P411</f>
        <v/>
      </c>
      <c r="E438" s="15">
        <f>Catalog!R411</f>
        <v/>
      </c>
      <c r="F438" s="15">
        <f>Catalog!M411</f>
        <v/>
      </c>
      <c r="G438" s="15">
        <f>Catalog!K411</f>
        <v/>
      </c>
      <c r="H438" s="15">
        <f>IF(Catalog!S411&lt;&gt;"","ISBN:"&amp;Catalog!S411,IF(Catalog!T411&lt;&gt;"","ISSN:"&amp;Catalog!T411,""))</f>
        <v/>
      </c>
      <c r="I438" s="15">
        <f>Catalog!B411</f>
        <v/>
      </c>
      <c r="J438" s="15">
        <f>Catalog!L411</f>
        <v/>
      </c>
      <c r="K438" s="15">
        <f>IF(Catalog!AG411&lt;&gt;"",Catalog!AG411,Catalog!AE411)</f>
        <v/>
      </c>
      <c r="L438" s="15">
        <f>Catalog!AD411</f>
        <v/>
      </c>
      <c r="M438" s="15">
        <f>Catalog!V411</f>
        <v/>
      </c>
      <c r="N438" s="15">
        <f>Catalog!Q411</f>
        <v/>
      </c>
      <c r="O438" s="15">
        <f>Catalog!AF411</f>
        <v/>
      </c>
    </row>
    <row r="439">
      <c r="A439" s="15">
        <f>Catalog!D412</f>
        <v/>
      </c>
      <c r="B439" s="15">
        <f>Catalog!F412</f>
        <v/>
      </c>
      <c r="C439" s="15">
        <f>IF(Catalog!I412="","",Catalog!I412)&amp;IF(AND(Catalog!I412&lt;&gt;"",Catalog!J412&lt;&gt;""),"; ","")&amp;IF(Catalog!J412="","",Catalog!J412)</f>
        <v/>
      </c>
      <c r="D439" s="15">
        <f>Catalog!P412</f>
        <v/>
      </c>
      <c r="E439" s="15">
        <f>Catalog!R412</f>
        <v/>
      </c>
      <c r="F439" s="15">
        <f>Catalog!M412</f>
        <v/>
      </c>
      <c r="G439" s="15">
        <f>Catalog!K412</f>
        <v/>
      </c>
      <c r="H439" s="15">
        <f>IF(Catalog!S412&lt;&gt;"","ISBN:"&amp;Catalog!S412,IF(Catalog!T412&lt;&gt;"","ISSN:"&amp;Catalog!T412,""))</f>
        <v/>
      </c>
      <c r="I439" s="15">
        <f>Catalog!B412</f>
        <v/>
      </c>
      <c r="J439" s="15">
        <f>Catalog!L412</f>
        <v/>
      </c>
      <c r="K439" s="15">
        <f>IF(Catalog!AG412&lt;&gt;"",Catalog!AG412,Catalog!AE412)</f>
        <v/>
      </c>
      <c r="L439" s="15">
        <f>Catalog!AD412</f>
        <v/>
      </c>
      <c r="M439" s="15">
        <f>Catalog!V412</f>
        <v/>
      </c>
      <c r="N439" s="15">
        <f>Catalog!Q412</f>
        <v/>
      </c>
      <c r="O439" s="15">
        <f>Catalog!AF412</f>
        <v/>
      </c>
    </row>
    <row r="440">
      <c r="A440" s="15">
        <f>Catalog!D413</f>
        <v/>
      </c>
      <c r="B440" s="15">
        <f>Catalog!F413</f>
        <v/>
      </c>
      <c r="C440" s="15">
        <f>IF(Catalog!I413="","",Catalog!I413)&amp;IF(AND(Catalog!I413&lt;&gt;"",Catalog!J413&lt;&gt;""),"; ","")&amp;IF(Catalog!J413="","",Catalog!J413)</f>
        <v/>
      </c>
      <c r="D440" s="15">
        <f>Catalog!P413</f>
        <v/>
      </c>
      <c r="E440" s="15">
        <f>Catalog!R413</f>
        <v/>
      </c>
      <c r="F440" s="15">
        <f>Catalog!M413</f>
        <v/>
      </c>
      <c r="G440" s="15">
        <f>Catalog!K413</f>
        <v/>
      </c>
      <c r="H440" s="15">
        <f>IF(Catalog!S413&lt;&gt;"","ISBN:"&amp;Catalog!S413,IF(Catalog!T413&lt;&gt;"","ISSN:"&amp;Catalog!T413,""))</f>
        <v/>
      </c>
      <c r="I440" s="15">
        <f>Catalog!B413</f>
        <v/>
      </c>
      <c r="J440" s="15">
        <f>Catalog!L413</f>
        <v/>
      </c>
      <c r="K440" s="15">
        <f>IF(Catalog!AG413&lt;&gt;"",Catalog!AG413,Catalog!AE413)</f>
        <v/>
      </c>
      <c r="L440" s="15">
        <f>Catalog!AD413</f>
        <v/>
      </c>
      <c r="M440" s="15">
        <f>Catalog!V413</f>
        <v/>
      </c>
      <c r="N440" s="15">
        <f>Catalog!Q413</f>
        <v/>
      </c>
      <c r="O440" s="15">
        <f>Catalog!AF413</f>
        <v/>
      </c>
    </row>
    <row r="441">
      <c r="A441" s="15">
        <f>Catalog!D414</f>
        <v/>
      </c>
      <c r="B441" s="15">
        <f>Catalog!F414</f>
        <v/>
      </c>
      <c r="C441" s="15">
        <f>IF(Catalog!I414="","",Catalog!I414)&amp;IF(AND(Catalog!I414&lt;&gt;"",Catalog!J414&lt;&gt;""),"; ","")&amp;IF(Catalog!J414="","",Catalog!J414)</f>
        <v/>
      </c>
      <c r="D441" s="15">
        <f>Catalog!P414</f>
        <v/>
      </c>
      <c r="E441" s="15">
        <f>Catalog!R414</f>
        <v/>
      </c>
      <c r="F441" s="15">
        <f>Catalog!M414</f>
        <v/>
      </c>
      <c r="G441" s="15">
        <f>Catalog!K414</f>
        <v/>
      </c>
      <c r="H441" s="15">
        <f>IF(Catalog!S414&lt;&gt;"","ISBN:"&amp;Catalog!S414,IF(Catalog!T414&lt;&gt;"","ISSN:"&amp;Catalog!T414,""))</f>
        <v/>
      </c>
      <c r="I441" s="15">
        <f>Catalog!B414</f>
        <v/>
      </c>
      <c r="J441" s="15">
        <f>Catalog!L414</f>
        <v/>
      </c>
      <c r="K441" s="15">
        <f>IF(Catalog!AG414&lt;&gt;"",Catalog!AG414,Catalog!AE414)</f>
        <v/>
      </c>
      <c r="L441" s="15">
        <f>Catalog!AD414</f>
        <v/>
      </c>
      <c r="M441" s="15">
        <f>Catalog!V414</f>
        <v/>
      </c>
      <c r="N441" s="15">
        <f>Catalog!Q414</f>
        <v/>
      </c>
      <c r="O441" s="15">
        <f>Catalog!AF414</f>
        <v/>
      </c>
    </row>
    <row r="442">
      <c r="A442" s="15">
        <f>Catalog!D415</f>
        <v/>
      </c>
      <c r="B442" s="15">
        <f>Catalog!F415</f>
        <v/>
      </c>
      <c r="C442" s="15">
        <f>IF(Catalog!I415="","",Catalog!I415)&amp;IF(AND(Catalog!I415&lt;&gt;"",Catalog!J415&lt;&gt;""),"; ","")&amp;IF(Catalog!J415="","",Catalog!J415)</f>
        <v/>
      </c>
      <c r="D442" s="15">
        <f>Catalog!P415</f>
        <v/>
      </c>
      <c r="E442" s="15">
        <f>Catalog!R415</f>
        <v/>
      </c>
      <c r="F442" s="15">
        <f>Catalog!M415</f>
        <v/>
      </c>
      <c r="G442" s="15">
        <f>Catalog!K415</f>
        <v/>
      </c>
      <c r="H442" s="15">
        <f>IF(Catalog!S415&lt;&gt;"","ISBN:"&amp;Catalog!S415,IF(Catalog!T415&lt;&gt;"","ISSN:"&amp;Catalog!T415,""))</f>
        <v/>
      </c>
      <c r="I442" s="15">
        <f>Catalog!B415</f>
        <v/>
      </c>
      <c r="J442" s="15">
        <f>Catalog!L415</f>
        <v/>
      </c>
      <c r="K442" s="15">
        <f>IF(Catalog!AG415&lt;&gt;"",Catalog!AG415,Catalog!AE415)</f>
        <v/>
      </c>
      <c r="L442" s="15">
        <f>Catalog!AD415</f>
        <v/>
      </c>
      <c r="M442" s="15">
        <f>Catalog!V415</f>
        <v/>
      </c>
      <c r="N442" s="15">
        <f>Catalog!Q415</f>
        <v/>
      </c>
      <c r="O442" s="15">
        <f>Catalog!AF415</f>
        <v/>
      </c>
    </row>
    <row r="443">
      <c r="A443" s="15">
        <f>Catalog!D416</f>
        <v/>
      </c>
      <c r="B443" s="15">
        <f>Catalog!F416</f>
        <v/>
      </c>
      <c r="C443" s="15">
        <f>IF(Catalog!I416="","",Catalog!I416)&amp;IF(AND(Catalog!I416&lt;&gt;"",Catalog!J416&lt;&gt;""),"; ","")&amp;IF(Catalog!J416="","",Catalog!J416)</f>
        <v/>
      </c>
      <c r="D443" s="15">
        <f>Catalog!P416</f>
        <v/>
      </c>
      <c r="E443" s="15">
        <f>Catalog!R416</f>
        <v/>
      </c>
      <c r="F443" s="15">
        <f>Catalog!M416</f>
        <v/>
      </c>
      <c r="G443" s="15">
        <f>Catalog!K416</f>
        <v/>
      </c>
      <c r="H443" s="15">
        <f>IF(Catalog!S416&lt;&gt;"","ISBN:"&amp;Catalog!S416,IF(Catalog!T416&lt;&gt;"","ISSN:"&amp;Catalog!T416,""))</f>
        <v/>
      </c>
      <c r="I443" s="15">
        <f>Catalog!B416</f>
        <v/>
      </c>
      <c r="J443" s="15">
        <f>Catalog!L416</f>
        <v/>
      </c>
      <c r="K443" s="15">
        <f>IF(Catalog!AG416&lt;&gt;"",Catalog!AG416,Catalog!AE416)</f>
        <v/>
      </c>
      <c r="L443" s="15">
        <f>Catalog!AD416</f>
        <v/>
      </c>
      <c r="M443" s="15">
        <f>Catalog!V416</f>
        <v/>
      </c>
      <c r="N443" s="15">
        <f>Catalog!Q416</f>
        <v/>
      </c>
      <c r="O443" s="15">
        <f>Catalog!AF416</f>
        <v/>
      </c>
    </row>
    <row r="444">
      <c r="A444" s="15">
        <f>Catalog!D417</f>
        <v/>
      </c>
      <c r="B444" s="15">
        <f>Catalog!F417</f>
        <v/>
      </c>
      <c r="C444" s="15">
        <f>IF(Catalog!I417="","",Catalog!I417)&amp;IF(AND(Catalog!I417&lt;&gt;"",Catalog!J417&lt;&gt;""),"; ","")&amp;IF(Catalog!J417="","",Catalog!J417)</f>
        <v/>
      </c>
      <c r="D444" s="15">
        <f>Catalog!P417</f>
        <v/>
      </c>
      <c r="E444" s="15">
        <f>Catalog!R417</f>
        <v/>
      </c>
      <c r="F444" s="15">
        <f>Catalog!M417</f>
        <v/>
      </c>
      <c r="G444" s="15">
        <f>Catalog!K417</f>
        <v/>
      </c>
      <c r="H444" s="15">
        <f>IF(Catalog!S417&lt;&gt;"","ISBN:"&amp;Catalog!S417,IF(Catalog!T417&lt;&gt;"","ISSN:"&amp;Catalog!T417,""))</f>
        <v/>
      </c>
      <c r="I444" s="15">
        <f>Catalog!B417</f>
        <v/>
      </c>
      <c r="J444" s="15">
        <f>Catalog!L417</f>
        <v/>
      </c>
      <c r="K444" s="15">
        <f>IF(Catalog!AG417&lt;&gt;"",Catalog!AG417,Catalog!AE417)</f>
        <v/>
      </c>
      <c r="L444" s="15">
        <f>Catalog!AD417</f>
        <v/>
      </c>
      <c r="M444" s="15">
        <f>Catalog!V417</f>
        <v/>
      </c>
      <c r="N444" s="15">
        <f>Catalog!Q417</f>
        <v/>
      </c>
      <c r="O444" s="15">
        <f>Catalog!AF417</f>
        <v/>
      </c>
    </row>
    <row r="445">
      <c r="A445" s="15">
        <f>Catalog!D418</f>
        <v/>
      </c>
      <c r="B445" s="15">
        <f>Catalog!F418</f>
        <v/>
      </c>
      <c r="C445" s="15">
        <f>IF(Catalog!I418="","",Catalog!I418)&amp;IF(AND(Catalog!I418&lt;&gt;"",Catalog!J418&lt;&gt;""),"; ","")&amp;IF(Catalog!J418="","",Catalog!J418)</f>
        <v/>
      </c>
      <c r="D445" s="15">
        <f>Catalog!P418</f>
        <v/>
      </c>
      <c r="E445" s="15">
        <f>Catalog!R418</f>
        <v/>
      </c>
      <c r="F445" s="15">
        <f>Catalog!M418</f>
        <v/>
      </c>
      <c r="G445" s="15">
        <f>Catalog!K418</f>
        <v/>
      </c>
      <c r="H445" s="15">
        <f>IF(Catalog!S418&lt;&gt;"","ISBN:"&amp;Catalog!S418,IF(Catalog!T418&lt;&gt;"","ISSN:"&amp;Catalog!T418,""))</f>
        <v/>
      </c>
      <c r="I445" s="15">
        <f>Catalog!B418</f>
        <v/>
      </c>
      <c r="J445" s="15">
        <f>Catalog!L418</f>
        <v/>
      </c>
      <c r="K445" s="15">
        <f>IF(Catalog!AG418&lt;&gt;"",Catalog!AG418,Catalog!AE418)</f>
        <v/>
      </c>
      <c r="L445" s="15">
        <f>Catalog!AD418</f>
        <v/>
      </c>
      <c r="M445" s="15">
        <f>Catalog!V418</f>
        <v/>
      </c>
      <c r="N445" s="15">
        <f>Catalog!Q418</f>
        <v/>
      </c>
      <c r="O445" s="15">
        <f>Catalog!AF418</f>
        <v/>
      </c>
    </row>
    <row r="446">
      <c r="A446" s="15">
        <f>Catalog!D419</f>
        <v/>
      </c>
      <c r="B446" s="15">
        <f>Catalog!F419</f>
        <v/>
      </c>
      <c r="C446" s="15">
        <f>IF(Catalog!I419="","",Catalog!I419)&amp;IF(AND(Catalog!I419&lt;&gt;"",Catalog!J419&lt;&gt;""),"; ","")&amp;IF(Catalog!J419="","",Catalog!J419)</f>
        <v/>
      </c>
      <c r="D446" s="15">
        <f>Catalog!P419</f>
        <v/>
      </c>
      <c r="E446" s="15">
        <f>Catalog!R419</f>
        <v/>
      </c>
      <c r="F446" s="15">
        <f>Catalog!M419</f>
        <v/>
      </c>
      <c r="G446" s="15">
        <f>Catalog!K419</f>
        <v/>
      </c>
      <c r="H446" s="15">
        <f>IF(Catalog!S419&lt;&gt;"","ISBN:"&amp;Catalog!S419,IF(Catalog!T419&lt;&gt;"","ISSN:"&amp;Catalog!T419,""))</f>
        <v/>
      </c>
      <c r="I446" s="15">
        <f>Catalog!B419</f>
        <v/>
      </c>
      <c r="J446" s="15">
        <f>Catalog!L419</f>
        <v/>
      </c>
      <c r="K446" s="15">
        <f>IF(Catalog!AG419&lt;&gt;"",Catalog!AG419,Catalog!AE419)</f>
        <v/>
      </c>
      <c r="L446" s="15">
        <f>Catalog!AD419</f>
        <v/>
      </c>
      <c r="M446" s="15">
        <f>Catalog!V419</f>
        <v/>
      </c>
      <c r="N446" s="15">
        <f>Catalog!Q419</f>
        <v/>
      </c>
      <c r="O446" s="15">
        <f>Catalog!AF419</f>
        <v/>
      </c>
    </row>
    <row r="447">
      <c r="A447" s="15">
        <f>Catalog!D420</f>
        <v/>
      </c>
      <c r="B447" s="15">
        <f>Catalog!F420</f>
        <v/>
      </c>
      <c r="C447" s="15">
        <f>IF(Catalog!I420="","",Catalog!I420)&amp;IF(AND(Catalog!I420&lt;&gt;"",Catalog!J420&lt;&gt;""),"; ","")&amp;IF(Catalog!J420="","",Catalog!J420)</f>
        <v/>
      </c>
      <c r="D447" s="15">
        <f>Catalog!P420</f>
        <v/>
      </c>
      <c r="E447" s="15">
        <f>Catalog!R420</f>
        <v/>
      </c>
      <c r="F447" s="15">
        <f>Catalog!M420</f>
        <v/>
      </c>
      <c r="G447" s="15">
        <f>Catalog!K420</f>
        <v/>
      </c>
      <c r="H447" s="15">
        <f>IF(Catalog!S420&lt;&gt;"","ISBN:"&amp;Catalog!S420,IF(Catalog!T420&lt;&gt;"","ISSN:"&amp;Catalog!T420,""))</f>
        <v/>
      </c>
      <c r="I447" s="15">
        <f>Catalog!B420</f>
        <v/>
      </c>
      <c r="J447" s="15">
        <f>Catalog!L420</f>
        <v/>
      </c>
      <c r="K447" s="15">
        <f>IF(Catalog!AG420&lt;&gt;"",Catalog!AG420,Catalog!AE420)</f>
        <v/>
      </c>
      <c r="L447" s="15">
        <f>Catalog!AD420</f>
        <v/>
      </c>
      <c r="M447" s="15">
        <f>Catalog!V420</f>
        <v/>
      </c>
      <c r="N447" s="15">
        <f>Catalog!Q420</f>
        <v/>
      </c>
      <c r="O447" s="15">
        <f>Catalog!AF420</f>
        <v/>
      </c>
    </row>
    <row r="448">
      <c r="A448" s="15">
        <f>Catalog!D421</f>
        <v/>
      </c>
      <c r="B448" s="15">
        <f>Catalog!F421</f>
        <v/>
      </c>
      <c r="C448" s="15">
        <f>IF(Catalog!I421="","",Catalog!I421)&amp;IF(AND(Catalog!I421&lt;&gt;"",Catalog!J421&lt;&gt;""),"; ","")&amp;IF(Catalog!J421="","",Catalog!J421)</f>
        <v/>
      </c>
      <c r="D448" s="15">
        <f>Catalog!P421</f>
        <v/>
      </c>
      <c r="E448" s="15">
        <f>Catalog!R421</f>
        <v/>
      </c>
      <c r="F448" s="15">
        <f>Catalog!M421</f>
        <v/>
      </c>
      <c r="G448" s="15">
        <f>Catalog!K421</f>
        <v/>
      </c>
      <c r="H448" s="15">
        <f>IF(Catalog!S421&lt;&gt;"","ISBN:"&amp;Catalog!S421,IF(Catalog!T421&lt;&gt;"","ISSN:"&amp;Catalog!T421,""))</f>
        <v/>
      </c>
      <c r="I448" s="15">
        <f>Catalog!B421</f>
        <v/>
      </c>
      <c r="J448" s="15">
        <f>Catalog!L421</f>
        <v/>
      </c>
      <c r="K448" s="15">
        <f>IF(Catalog!AG421&lt;&gt;"",Catalog!AG421,Catalog!AE421)</f>
        <v/>
      </c>
      <c r="L448" s="15">
        <f>Catalog!AD421</f>
        <v/>
      </c>
      <c r="M448" s="15">
        <f>Catalog!V421</f>
        <v/>
      </c>
      <c r="N448" s="15">
        <f>Catalog!Q421</f>
        <v/>
      </c>
      <c r="O448" s="15">
        <f>Catalog!AF421</f>
        <v/>
      </c>
    </row>
    <row r="449">
      <c r="A449" s="15">
        <f>Catalog!D422</f>
        <v/>
      </c>
      <c r="B449" s="15">
        <f>Catalog!F422</f>
        <v/>
      </c>
      <c r="C449" s="15">
        <f>IF(Catalog!I422="","",Catalog!I422)&amp;IF(AND(Catalog!I422&lt;&gt;"",Catalog!J422&lt;&gt;""),"; ","")&amp;IF(Catalog!J422="","",Catalog!J422)</f>
        <v/>
      </c>
      <c r="D449" s="15">
        <f>Catalog!P422</f>
        <v/>
      </c>
      <c r="E449" s="15">
        <f>Catalog!R422</f>
        <v/>
      </c>
      <c r="F449" s="15">
        <f>Catalog!M422</f>
        <v/>
      </c>
      <c r="G449" s="15">
        <f>Catalog!K422</f>
        <v/>
      </c>
      <c r="H449" s="15">
        <f>IF(Catalog!S422&lt;&gt;"","ISBN:"&amp;Catalog!S422,IF(Catalog!T422&lt;&gt;"","ISSN:"&amp;Catalog!T422,""))</f>
        <v/>
      </c>
      <c r="I449" s="15">
        <f>Catalog!B422</f>
        <v/>
      </c>
      <c r="J449" s="15">
        <f>Catalog!L422</f>
        <v/>
      </c>
      <c r="K449" s="15">
        <f>IF(Catalog!AG422&lt;&gt;"",Catalog!AG422,Catalog!AE422)</f>
        <v/>
      </c>
      <c r="L449" s="15">
        <f>Catalog!AD422</f>
        <v/>
      </c>
      <c r="M449" s="15">
        <f>Catalog!V422</f>
        <v/>
      </c>
      <c r="N449" s="15">
        <f>Catalog!Q422</f>
        <v/>
      </c>
      <c r="O449" s="15">
        <f>Catalog!AF422</f>
        <v/>
      </c>
    </row>
    <row r="450">
      <c r="A450" s="15">
        <f>Catalog!D423</f>
        <v/>
      </c>
      <c r="B450" s="15">
        <f>Catalog!F423</f>
        <v/>
      </c>
      <c r="C450" s="15">
        <f>IF(Catalog!I423="","",Catalog!I423)&amp;IF(AND(Catalog!I423&lt;&gt;"",Catalog!J423&lt;&gt;""),"; ","")&amp;IF(Catalog!J423="","",Catalog!J423)</f>
        <v/>
      </c>
      <c r="D450" s="15">
        <f>Catalog!P423</f>
        <v/>
      </c>
      <c r="E450" s="15">
        <f>Catalog!R423</f>
        <v/>
      </c>
      <c r="F450" s="15">
        <f>Catalog!M423</f>
        <v/>
      </c>
      <c r="G450" s="15">
        <f>Catalog!K423</f>
        <v/>
      </c>
      <c r="H450" s="15">
        <f>IF(Catalog!S423&lt;&gt;"","ISBN:"&amp;Catalog!S423,IF(Catalog!T423&lt;&gt;"","ISSN:"&amp;Catalog!T423,""))</f>
        <v/>
      </c>
      <c r="I450" s="15">
        <f>Catalog!B423</f>
        <v/>
      </c>
      <c r="J450" s="15">
        <f>Catalog!L423</f>
        <v/>
      </c>
      <c r="K450" s="15">
        <f>IF(Catalog!AG423&lt;&gt;"",Catalog!AG423,Catalog!AE423)</f>
        <v/>
      </c>
      <c r="L450" s="15">
        <f>Catalog!AD423</f>
        <v/>
      </c>
      <c r="M450" s="15">
        <f>Catalog!V423</f>
        <v/>
      </c>
      <c r="N450" s="15">
        <f>Catalog!Q423</f>
        <v/>
      </c>
      <c r="O450" s="15">
        <f>Catalog!AF423</f>
        <v/>
      </c>
    </row>
    <row r="451">
      <c r="A451" s="15">
        <f>Catalog!D424</f>
        <v/>
      </c>
      <c r="B451" s="15">
        <f>Catalog!F424</f>
        <v/>
      </c>
      <c r="C451" s="15">
        <f>IF(Catalog!I424="","",Catalog!I424)&amp;IF(AND(Catalog!I424&lt;&gt;"",Catalog!J424&lt;&gt;""),"; ","")&amp;IF(Catalog!J424="","",Catalog!J424)</f>
        <v/>
      </c>
      <c r="D451" s="15">
        <f>Catalog!P424</f>
        <v/>
      </c>
      <c r="E451" s="15">
        <f>Catalog!R424</f>
        <v/>
      </c>
      <c r="F451" s="15">
        <f>Catalog!M424</f>
        <v/>
      </c>
      <c r="G451" s="15">
        <f>Catalog!K424</f>
        <v/>
      </c>
      <c r="H451" s="15">
        <f>IF(Catalog!S424&lt;&gt;"","ISBN:"&amp;Catalog!S424,IF(Catalog!T424&lt;&gt;"","ISSN:"&amp;Catalog!T424,""))</f>
        <v/>
      </c>
      <c r="I451" s="15">
        <f>Catalog!B424</f>
        <v/>
      </c>
      <c r="J451" s="15">
        <f>Catalog!L424</f>
        <v/>
      </c>
      <c r="K451" s="15">
        <f>IF(Catalog!AG424&lt;&gt;"",Catalog!AG424,Catalog!AE424)</f>
        <v/>
      </c>
      <c r="L451" s="15">
        <f>Catalog!AD424</f>
        <v/>
      </c>
      <c r="M451" s="15">
        <f>Catalog!V424</f>
        <v/>
      </c>
      <c r="N451" s="15">
        <f>Catalog!Q424</f>
        <v/>
      </c>
      <c r="O451" s="15">
        <f>Catalog!AF424</f>
        <v/>
      </c>
    </row>
    <row r="452">
      <c r="A452" s="15">
        <f>Catalog!D425</f>
        <v/>
      </c>
      <c r="B452" s="15">
        <f>Catalog!F425</f>
        <v/>
      </c>
      <c r="C452" s="15">
        <f>IF(Catalog!I425="","",Catalog!I425)&amp;IF(AND(Catalog!I425&lt;&gt;"",Catalog!J425&lt;&gt;""),"; ","")&amp;IF(Catalog!J425="","",Catalog!J425)</f>
        <v/>
      </c>
      <c r="D452" s="15">
        <f>Catalog!P425</f>
        <v/>
      </c>
      <c r="E452" s="15">
        <f>Catalog!R425</f>
        <v/>
      </c>
      <c r="F452" s="15">
        <f>Catalog!M425</f>
        <v/>
      </c>
      <c r="G452" s="15">
        <f>Catalog!K425</f>
        <v/>
      </c>
      <c r="H452" s="15">
        <f>IF(Catalog!S425&lt;&gt;"","ISBN:"&amp;Catalog!S425,IF(Catalog!T425&lt;&gt;"","ISSN:"&amp;Catalog!T425,""))</f>
        <v/>
      </c>
      <c r="I452" s="15">
        <f>Catalog!B425</f>
        <v/>
      </c>
      <c r="J452" s="15">
        <f>Catalog!L425</f>
        <v/>
      </c>
      <c r="K452" s="15">
        <f>IF(Catalog!AG425&lt;&gt;"",Catalog!AG425,Catalog!AE425)</f>
        <v/>
      </c>
      <c r="L452" s="15">
        <f>Catalog!AD425</f>
        <v/>
      </c>
      <c r="M452" s="15">
        <f>Catalog!V425</f>
        <v/>
      </c>
      <c r="N452" s="15">
        <f>Catalog!Q425</f>
        <v/>
      </c>
      <c r="O452" s="15">
        <f>Catalog!AF425</f>
        <v/>
      </c>
    </row>
    <row r="453">
      <c r="A453" s="15">
        <f>Catalog!D426</f>
        <v/>
      </c>
      <c r="B453" s="15">
        <f>Catalog!F426</f>
        <v/>
      </c>
      <c r="C453" s="15">
        <f>IF(Catalog!I426="","",Catalog!I426)&amp;IF(AND(Catalog!I426&lt;&gt;"",Catalog!J426&lt;&gt;""),"; ","")&amp;IF(Catalog!J426="","",Catalog!J426)</f>
        <v/>
      </c>
      <c r="D453" s="15">
        <f>Catalog!P426</f>
        <v/>
      </c>
      <c r="E453" s="15">
        <f>Catalog!R426</f>
        <v/>
      </c>
      <c r="F453" s="15">
        <f>Catalog!M426</f>
        <v/>
      </c>
      <c r="G453" s="15">
        <f>Catalog!K426</f>
        <v/>
      </c>
      <c r="H453" s="15">
        <f>IF(Catalog!S426&lt;&gt;"","ISBN:"&amp;Catalog!S426,IF(Catalog!T426&lt;&gt;"","ISSN:"&amp;Catalog!T426,""))</f>
        <v/>
      </c>
      <c r="I453" s="15">
        <f>Catalog!B426</f>
        <v/>
      </c>
      <c r="J453" s="15">
        <f>Catalog!L426</f>
        <v/>
      </c>
      <c r="K453" s="15">
        <f>IF(Catalog!AG426&lt;&gt;"",Catalog!AG426,Catalog!AE426)</f>
        <v/>
      </c>
      <c r="L453" s="15">
        <f>Catalog!AD426</f>
        <v/>
      </c>
      <c r="M453" s="15">
        <f>Catalog!V426</f>
        <v/>
      </c>
      <c r="N453" s="15">
        <f>Catalog!Q426</f>
        <v/>
      </c>
      <c r="O453" s="15">
        <f>Catalog!AF426</f>
        <v/>
      </c>
    </row>
    <row r="454">
      <c r="A454" s="15">
        <f>Catalog!D427</f>
        <v/>
      </c>
      <c r="B454" s="15">
        <f>Catalog!F427</f>
        <v/>
      </c>
      <c r="C454" s="15">
        <f>IF(Catalog!I427="","",Catalog!I427)&amp;IF(AND(Catalog!I427&lt;&gt;"",Catalog!J427&lt;&gt;""),"; ","")&amp;IF(Catalog!J427="","",Catalog!J427)</f>
        <v/>
      </c>
      <c r="D454" s="15">
        <f>Catalog!P427</f>
        <v/>
      </c>
      <c r="E454" s="15">
        <f>Catalog!R427</f>
        <v/>
      </c>
      <c r="F454" s="15">
        <f>Catalog!M427</f>
        <v/>
      </c>
      <c r="G454" s="15">
        <f>Catalog!K427</f>
        <v/>
      </c>
      <c r="H454" s="15">
        <f>IF(Catalog!S427&lt;&gt;"","ISBN:"&amp;Catalog!S427,IF(Catalog!T427&lt;&gt;"","ISSN:"&amp;Catalog!T427,""))</f>
        <v/>
      </c>
      <c r="I454" s="15">
        <f>Catalog!B427</f>
        <v/>
      </c>
      <c r="J454" s="15">
        <f>Catalog!L427</f>
        <v/>
      </c>
      <c r="K454" s="15">
        <f>IF(Catalog!AG427&lt;&gt;"",Catalog!AG427,Catalog!AE427)</f>
        <v/>
      </c>
      <c r="L454" s="15">
        <f>Catalog!AD427</f>
        <v/>
      </c>
      <c r="M454" s="15">
        <f>Catalog!V427</f>
        <v/>
      </c>
      <c r="N454" s="15">
        <f>Catalog!Q427</f>
        <v/>
      </c>
      <c r="O454" s="15">
        <f>Catalog!AF427</f>
        <v/>
      </c>
    </row>
    <row r="455">
      <c r="A455" s="15">
        <f>Catalog!D428</f>
        <v/>
      </c>
      <c r="B455" s="15">
        <f>Catalog!F428</f>
        <v/>
      </c>
      <c r="C455" s="15">
        <f>IF(Catalog!I428="","",Catalog!I428)&amp;IF(AND(Catalog!I428&lt;&gt;"",Catalog!J428&lt;&gt;""),"; ","")&amp;IF(Catalog!J428="","",Catalog!J428)</f>
        <v/>
      </c>
      <c r="D455" s="15">
        <f>Catalog!P428</f>
        <v/>
      </c>
      <c r="E455" s="15">
        <f>Catalog!R428</f>
        <v/>
      </c>
      <c r="F455" s="15">
        <f>Catalog!M428</f>
        <v/>
      </c>
      <c r="G455" s="15">
        <f>Catalog!K428</f>
        <v/>
      </c>
      <c r="H455" s="15">
        <f>IF(Catalog!S428&lt;&gt;"","ISBN:"&amp;Catalog!S428,IF(Catalog!T428&lt;&gt;"","ISSN:"&amp;Catalog!T428,""))</f>
        <v/>
      </c>
      <c r="I455" s="15">
        <f>Catalog!B428</f>
        <v/>
      </c>
      <c r="J455" s="15">
        <f>Catalog!L428</f>
        <v/>
      </c>
      <c r="K455" s="15">
        <f>IF(Catalog!AG428&lt;&gt;"",Catalog!AG428,Catalog!AE428)</f>
        <v/>
      </c>
      <c r="L455" s="15">
        <f>Catalog!AD428</f>
        <v/>
      </c>
      <c r="M455" s="15">
        <f>Catalog!V428</f>
        <v/>
      </c>
      <c r="N455" s="15">
        <f>Catalog!Q428</f>
        <v/>
      </c>
      <c r="O455" s="15">
        <f>Catalog!AF428</f>
        <v/>
      </c>
    </row>
    <row r="456">
      <c r="A456" s="15">
        <f>Catalog!D429</f>
        <v/>
      </c>
      <c r="B456" s="15">
        <f>Catalog!F429</f>
        <v/>
      </c>
      <c r="C456" s="15">
        <f>IF(Catalog!I429="","",Catalog!I429)&amp;IF(AND(Catalog!I429&lt;&gt;"",Catalog!J429&lt;&gt;""),"; ","")&amp;IF(Catalog!J429="","",Catalog!J429)</f>
        <v/>
      </c>
      <c r="D456" s="15">
        <f>Catalog!P429</f>
        <v/>
      </c>
      <c r="E456" s="15">
        <f>Catalog!R429</f>
        <v/>
      </c>
      <c r="F456" s="15">
        <f>Catalog!M429</f>
        <v/>
      </c>
      <c r="G456" s="15">
        <f>Catalog!K429</f>
        <v/>
      </c>
      <c r="H456" s="15">
        <f>IF(Catalog!S429&lt;&gt;"","ISBN:"&amp;Catalog!S429,IF(Catalog!T429&lt;&gt;"","ISSN:"&amp;Catalog!T429,""))</f>
        <v/>
      </c>
      <c r="I456" s="15">
        <f>Catalog!B429</f>
        <v/>
      </c>
      <c r="J456" s="15">
        <f>Catalog!L429</f>
        <v/>
      </c>
      <c r="K456" s="15">
        <f>IF(Catalog!AG429&lt;&gt;"",Catalog!AG429,Catalog!AE429)</f>
        <v/>
      </c>
      <c r="L456" s="15">
        <f>Catalog!AD429</f>
        <v/>
      </c>
      <c r="M456" s="15">
        <f>Catalog!V429</f>
        <v/>
      </c>
      <c r="N456" s="15">
        <f>Catalog!Q429</f>
        <v/>
      </c>
      <c r="O456" s="15">
        <f>Catalog!AF429</f>
        <v/>
      </c>
    </row>
    <row r="457">
      <c r="A457" s="15">
        <f>Catalog!D430</f>
        <v/>
      </c>
      <c r="B457" s="15">
        <f>Catalog!F430</f>
        <v/>
      </c>
      <c r="C457" s="15">
        <f>IF(Catalog!I430="","",Catalog!I430)&amp;IF(AND(Catalog!I430&lt;&gt;"",Catalog!J430&lt;&gt;""),"; ","")&amp;IF(Catalog!J430="","",Catalog!J430)</f>
        <v/>
      </c>
      <c r="D457" s="15">
        <f>Catalog!P430</f>
        <v/>
      </c>
      <c r="E457" s="15">
        <f>Catalog!R430</f>
        <v/>
      </c>
      <c r="F457" s="15">
        <f>Catalog!M430</f>
        <v/>
      </c>
      <c r="G457" s="15">
        <f>Catalog!K430</f>
        <v/>
      </c>
      <c r="H457" s="15">
        <f>IF(Catalog!S430&lt;&gt;"","ISBN:"&amp;Catalog!S430,IF(Catalog!T430&lt;&gt;"","ISSN:"&amp;Catalog!T430,""))</f>
        <v/>
      </c>
      <c r="I457" s="15">
        <f>Catalog!B430</f>
        <v/>
      </c>
      <c r="J457" s="15">
        <f>Catalog!L430</f>
        <v/>
      </c>
      <c r="K457" s="15">
        <f>IF(Catalog!AG430&lt;&gt;"",Catalog!AG430,Catalog!AE430)</f>
        <v/>
      </c>
      <c r="L457" s="15">
        <f>Catalog!AD430</f>
        <v/>
      </c>
      <c r="M457" s="15">
        <f>Catalog!V430</f>
        <v/>
      </c>
      <c r="N457" s="15">
        <f>Catalog!Q430</f>
        <v/>
      </c>
      <c r="O457" s="15">
        <f>Catalog!AF430</f>
        <v/>
      </c>
    </row>
    <row r="458">
      <c r="A458" s="15">
        <f>Catalog!D431</f>
        <v/>
      </c>
      <c r="B458" s="15">
        <f>Catalog!F431</f>
        <v/>
      </c>
      <c r="C458" s="15">
        <f>IF(Catalog!I431="","",Catalog!I431)&amp;IF(AND(Catalog!I431&lt;&gt;"",Catalog!J431&lt;&gt;""),"; ","")&amp;IF(Catalog!J431="","",Catalog!J431)</f>
        <v/>
      </c>
      <c r="D458" s="15">
        <f>Catalog!P431</f>
        <v/>
      </c>
      <c r="E458" s="15">
        <f>Catalog!R431</f>
        <v/>
      </c>
      <c r="F458" s="15">
        <f>Catalog!M431</f>
        <v/>
      </c>
      <c r="G458" s="15">
        <f>Catalog!K431</f>
        <v/>
      </c>
      <c r="H458" s="15">
        <f>IF(Catalog!S431&lt;&gt;"","ISBN:"&amp;Catalog!S431,IF(Catalog!T431&lt;&gt;"","ISSN:"&amp;Catalog!T431,""))</f>
        <v/>
      </c>
      <c r="I458" s="15">
        <f>Catalog!B431</f>
        <v/>
      </c>
      <c r="J458" s="15">
        <f>Catalog!L431</f>
        <v/>
      </c>
      <c r="K458" s="15">
        <f>IF(Catalog!AG431&lt;&gt;"",Catalog!AG431,Catalog!AE431)</f>
        <v/>
      </c>
      <c r="L458" s="15">
        <f>Catalog!AD431</f>
        <v/>
      </c>
      <c r="M458" s="15">
        <f>Catalog!V431</f>
        <v/>
      </c>
      <c r="N458" s="15">
        <f>Catalog!Q431</f>
        <v/>
      </c>
      <c r="O458" s="15">
        <f>Catalog!AF431</f>
        <v/>
      </c>
    </row>
    <row r="459">
      <c r="A459" s="15">
        <f>Catalog!D432</f>
        <v/>
      </c>
      <c r="B459" s="15">
        <f>Catalog!F432</f>
        <v/>
      </c>
      <c r="C459" s="15">
        <f>IF(Catalog!I432="","",Catalog!I432)&amp;IF(AND(Catalog!I432&lt;&gt;"",Catalog!J432&lt;&gt;""),"; ","")&amp;IF(Catalog!J432="","",Catalog!J432)</f>
        <v/>
      </c>
      <c r="D459" s="15">
        <f>Catalog!P432</f>
        <v/>
      </c>
      <c r="E459" s="15">
        <f>Catalog!R432</f>
        <v/>
      </c>
      <c r="F459" s="15">
        <f>Catalog!M432</f>
        <v/>
      </c>
      <c r="G459" s="15">
        <f>Catalog!K432</f>
        <v/>
      </c>
      <c r="H459" s="15">
        <f>IF(Catalog!S432&lt;&gt;"","ISBN:"&amp;Catalog!S432,IF(Catalog!T432&lt;&gt;"","ISSN:"&amp;Catalog!T432,""))</f>
        <v/>
      </c>
      <c r="I459" s="15">
        <f>Catalog!B432</f>
        <v/>
      </c>
      <c r="J459" s="15">
        <f>Catalog!L432</f>
        <v/>
      </c>
      <c r="K459" s="15">
        <f>IF(Catalog!AG432&lt;&gt;"",Catalog!AG432,Catalog!AE432)</f>
        <v/>
      </c>
      <c r="L459" s="15">
        <f>Catalog!AD432</f>
        <v/>
      </c>
      <c r="M459" s="15">
        <f>Catalog!V432</f>
        <v/>
      </c>
      <c r="N459" s="15">
        <f>Catalog!Q432</f>
        <v/>
      </c>
      <c r="O459" s="15">
        <f>Catalog!AF432</f>
        <v/>
      </c>
    </row>
    <row r="460">
      <c r="A460" s="15">
        <f>Catalog!D433</f>
        <v/>
      </c>
      <c r="B460" s="15">
        <f>Catalog!F433</f>
        <v/>
      </c>
      <c r="C460" s="15">
        <f>IF(Catalog!I433="","",Catalog!I433)&amp;IF(AND(Catalog!I433&lt;&gt;"",Catalog!J433&lt;&gt;""),"; ","")&amp;IF(Catalog!J433="","",Catalog!J433)</f>
        <v/>
      </c>
      <c r="D460" s="15">
        <f>Catalog!P433</f>
        <v/>
      </c>
      <c r="E460" s="15">
        <f>Catalog!R433</f>
        <v/>
      </c>
      <c r="F460" s="15">
        <f>Catalog!M433</f>
        <v/>
      </c>
      <c r="G460" s="15">
        <f>Catalog!K433</f>
        <v/>
      </c>
      <c r="H460" s="15">
        <f>IF(Catalog!S433&lt;&gt;"","ISBN:"&amp;Catalog!S433,IF(Catalog!T433&lt;&gt;"","ISSN:"&amp;Catalog!T433,""))</f>
        <v/>
      </c>
      <c r="I460" s="15">
        <f>Catalog!B433</f>
        <v/>
      </c>
      <c r="J460" s="15">
        <f>Catalog!L433</f>
        <v/>
      </c>
      <c r="K460" s="15">
        <f>IF(Catalog!AG433&lt;&gt;"",Catalog!AG433,Catalog!AE433)</f>
        <v/>
      </c>
      <c r="L460" s="15">
        <f>Catalog!AD433</f>
        <v/>
      </c>
      <c r="M460" s="15">
        <f>Catalog!V433</f>
        <v/>
      </c>
      <c r="N460" s="15">
        <f>Catalog!Q433</f>
        <v/>
      </c>
      <c r="O460" s="15">
        <f>Catalog!AF433</f>
        <v/>
      </c>
    </row>
    <row r="461">
      <c r="A461" s="15">
        <f>Catalog!D434</f>
        <v/>
      </c>
      <c r="B461" s="15">
        <f>Catalog!F434</f>
        <v/>
      </c>
      <c r="C461" s="15">
        <f>IF(Catalog!I434="","",Catalog!I434)&amp;IF(AND(Catalog!I434&lt;&gt;"",Catalog!J434&lt;&gt;""),"; ","")&amp;IF(Catalog!J434="","",Catalog!J434)</f>
        <v/>
      </c>
      <c r="D461" s="15">
        <f>Catalog!P434</f>
        <v/>
      </c>
      <c r="E461" s="15">
        <f>Catalog!R434</f>
        <v/>
      </c>
      <c r="F461" s="15">
        <f>Catalog!M434</f>
        <v/>
      </c>
      <c r="G461" s="15">
        <f>Catalog!K434</f>
        <v/>
      </c>
      <c r="H461" s="15">
        <f>IF(Catalog!S434&lt;&gt;"","ISBN:"&amp;Catalog!S434,IF(Catalog!T434&lt;&gt;"","ISSN:"&amp;Catalog!T434,""))</f>
        <v/>
      </c>
      <c r="I461" s="15">
        <f>Catalog!B434</f>
        <v/>
      </c>
      <c r="J461" s="15">
        <f>Catalog!L434</f>
        <v/>
      </c>
      <c r="K461" s="15">
        <f>IF(Catalog!AG434&lt;&gt;"",Catalog!AG434,Catalog!AE434)</f>
        <v/>
      </c>
      <c r="L461" s="15">
        <f>Catalog!AD434</f>
        <v/>
      </c>
      <c r="M461" s="15">
        <f>Catalog!V434</f>
        <v/>
      </c>
      <c r="N461" s="15">
        <f>Catalog!Q434</f>
        <v/>
      </c>
      <c r="O461" s="15">
        <f>Catalog!AF434</f>
        <v/>
      </c>
    </row>
    <row r="462">
      <c r="A462" s="15">
        <f>Catalog!D435</f>
        <v/>
      </c>
      <c r="B462" s="15">
        <f>Catalog!F435</f>
        <v/>
      </c>
      <c r="C462" s="15">
        <f>IF(Catalog!I435="","",Catalog!I435)&amp;IF(AND(Catalog!I435&lt;&gt;"",Catalog!J435&lt;&gt;""),"; ","")&amp;IF(Catalog!J435="","",Catalog!J435)</f>
        <v/>
      </c>
      <c r="D462" s="15">
        <f>Catalog!P435</f>
        <v/>
      </c>
      <c r="E462" s="15">
        <f>Catalog!R435</f>
        <v/>
      </c>
      <c r="F462" s="15">
        <f>Catalog!M435</f>
        <v/>
      </c>
      <c r="G462" s="15">
        <f>Catalog!K435</f>
        <v/>
      </c>
      <c r="H462" s="15">
        <f>IF(Catalog!S435&lt;&gt;"","ISBN:"&amp;Catalog!S435,IF(Catalog!T435&lt;&gt;"","ISSN:"&amp;Catalog!T435,""))</f>
        <v/>
      </c>
      <c r="I462" s="15">
        <f>Catalog!B435</f>
        <v/>
      </c>
      <c r="J462" s="15">
        <f>Catalog!L435</f>
        <v/>
      </c>
      <c r="K462" s="15">
        <f>IF(Catalog!AG435&lt;&gt;"",Catalog!AG435,Catalog!AE435)</f>
        <v/>
      </c>
      <c r="L462" s="15">
        <f>Catalog!AD435</f>
        <v/>
      </c>
      <c r="M462" s="15">
        <f>Catalog!V435</f>
        <v/>
      </c>
      <c r="N462" s="15">
        <f>Catalog!Q435</f>
        <v/>
      </c>
      <c r="O462" s="15">
        <f>Catalog!AF435</f>
        <v/>
      </c>
    </row>
    <row r="463">
      <c r="A463" s="15">
        <f>Catalog!D436</f>
        <v/>
      </c>
      <c r="B463" s="15">
        <f>Catalog!F436</f>
        <v/>
      </c>
      <c r="C463" s="15">
        <f>IF(Catalog!I436="","",Catalog!I436)&amp;IF(AND(Catalog!I436&lt;&gt;"",Catalog!J436&lt;&gt;""),"; ","")&amp;IF(Catalog!J436="","",Catalog!J436)</f>
        <v/>
      </c>
      <c r="D463" s="15">
        <f>Catalog!P436</f>
        <v/>
      </c>
      <c r="E463" s="15">
        <f>Catalog!R436</f>
        <v/>
      </c>
      <c r="F463" s="15">
        <f>Catalog!M436</f>
        <v/>
      </c>
      <c r="G463" s="15">
        <f>Catalog!K436</f>
        <v/>
      </c>
      <c r="H463" s="15">
        <f>IF(Catalog!S436&lt;&gt;"","ISBN:"&amp;Catalog!S436,IF(Catalog!T436&lt;&gt;"","ISSN:"&amp;Catalog!T436,""))</f>
        <v/>
      </c>
      <c r="I463" s="15">
        <f>Catalog!B436</f>
        <v/>
      </c>
      <c r="J463" s="15">
        <f>Catalog!L436</f>
        <v/>
      </c>
      <c r="K463" s="15">
        <f>IF(Catalog!AG436&lt;&gt;"",Catalog!AG436,Catalog!AE436)</f>
        <v/>
      </c>
      <c r="L463" s="15">
        <f>Catalog!AD436</f>
        <v/>
      </c>
      <c r="M463" s="15">
        <f>Catalog!V436</f>
        <v/>
      </c>
      <c r="N463" s="15">
        <f>Catalog!Q436</f>
        <v/>
      </c>
      <c r="O463" s="15">
        <f>Catalog!AF436</f>
        <v/>
      </c>
    </row>
    <row r="464">
      <c r="A464" s="15">
        <f>Catalog!D437</f>
        <v/>
      </c>
      <c r="B464" s="15">
        <f>Catalog!F437</f>
        <v/>
      </c>
      <c r="C464" s="15">
        <f>IF(Catalog!I437="","",Catalog!I437)&amp;IF(AND(Catalog!I437&lt;&gt;"",Catalog!J437&lt;&gt;""),"; ","")&amp;IF(Catalog!J437="","",Catalog!J437)</f>
        <v/>
      </c>
      <c r="D464" s="15">
        <f>Catalog!P437</f>
        <v/>
      </c>
      <c r="E464" s="15">
        <f>Catalog!R437</f>
        <v/>
      </c>
      <c r="F464" s="15">
        <f>Catalog!M437</f>
        <v/>
      </c>
      <c r="G464" s="15">
        <f>Catalog!K437</f>
        <v/>
      </c>
      <c r="H464" s="15">
        <f>IF(Catalog!S437&lt;&gt;"","ISBN:"&amp;Catalog!S437,IF(Catalog!T437&lt;&gt;"","ISSN:"&amp;Catalog!T437,""))</f>
        <v/>
      </c>
      <c r="I464" s="15">
        <f>Catalog!B437</f>
        <v/>
      </c>
      <c r="J464" s="15">
        <f>Catalog!L437</f>
        <v/>
      </c>
      <c r="K464" s="15">
        <f>IF(Catalog!AG437&lt;&gt;"",Catalog!AG437,Catalog!AE437)</f>
        <v/>
      </c>
      <c r="L464" s="15">
        <f>Catalog!AD437</f>
        <v/>
      </c>
      <c r="M464" s="15">
        <f>Catalog!V437</f>
        <v/>
      </c>
      <c r="N464" s="15">
        <f>Catalog!Q437</f>
        <v/>
      </c>
      <c r="O464" s="15">
        <f>Catalog!AF437</f>
        <v/>
      </c>
    </row>
    <row r="465">
      <c r="A465" s="15">
        <f>Catalog!D438</f>
        <v/>
      </c>
      <c r="B465" s="15">
        <f>Catalog!F438</f>
        <v/>
      </c>
      <c r="C465" s="15">
        <f>IF(Catalog!I438="","",Catalog!I438)&amp;IF(AND(Catalog!I438&lt;&gt;"",Catalog!J438&lt;&gt;""),"; ","")&amp;IF(Catalog!J438="","",Catalog!J438)</f>
        <v/>
      </c>
      <c r="D465" s="15">
        <f>Catalog!P438</f>
        <v/>
      </c>
      <c r="E465" s="15">
        <f>Catalog!R438</f>
        <v/>
      </c>
      <c r="F465" s="15">
        <f>Catalog!M438</f>
        <v/>
      </c>
      <c r="G465" s="15">
        <f>Catalog!K438</f>
        <v/>
      </c>
      <c r="H465" s="15">
        <f>IF(Catalog!S438&lt;&gt;"","ISBN:"&amp;Catalog!S438,IF(Catalog!T438&lt;&gt;"","ISSN:"&amp;Catalog!T438,""))</f>
        <v/>
      </c>
      <c r="I465" s="15">
        <f>Catalog!B438</f>
        <v/>
      </c>
      <c r="J465" s="15">
        <f>Catalog!L438</f>
        <v/>
      </c>
      <c r="K465" s="15">
        <f>IF(Catalog!AG438&lt;&gt;"",Catalog!AG438,Catalog!AE438)</f>
        <v/>
      </c>
      <c r="L465" s="15">
        <f>Catalog!AD438</f>
        <v/>
      </c>
      <c r="M465" s="15">
        <f>Catalog!V438</f>
        <v/>
      </c>
      <c r="N465" s="15">
        <f>Catalog!Q438</f>
        <v/>
      </c>
      <c r="O465" s="15">
        <f>Catalog!AF438</f>
        <v/>
      </c>
    </row>
    <row r="466">
      <c r="A466" s="15">
        <f>Catalog!D439</f>
        <v/>
      </c>
      <c r="B466" s="15">
        <f>Catalog!F439</f>
        <v/>
      </c>
      <c r="C466" s="15">
        <f>IF(Catalog!I439="","",Catalog!I439)&amp;IF(AND(Catalog!I439&lt;&gt;"",Catalog!J439&lt;&gt;""),"; ","")&amp;IF(Catalog!J439="","",Catalog!J439)</f>
        <v/>
      </c>
      <c r="D466" s="15">
        <f>Catalog!P439</f>
        <v/>
      </c>
      <c r="E466" s="15">
        <f>Catalog!R439</f>
        <v/>
      </c>
      <c r="F466" s="15">
        <f>Catalog!M439</f>
        <v/>
      </c>
      <c r="G466" s="15">
        <f>Catalog!K439</f>
        <v/>
      </c>
      <c r="H466" s="15">
        <f>IF(Catalog!S439&lt;&gt;"","ISBN:"&amp;Catalog!S439,IF(Catalog!T439&lt;&gt;"","ISSN:"&amp;Catalog!T439,""))</f>
        <v/>
      </c>
      <c r="I466" s="15">
        <f>Catalog!B439</f>
        <v/>
      </c>
      <c r="J466" s="15">
        <f>Catalog!L439</f>
        <v/>
      </c>
      <c r="K466" s="15">
        <f>IF(Catalog!AG439&lt;&gt;"",Catalog!AG439,Catalog!AE439)</f>
        <v/>
      </c>
      <c r="L466" s="15">
        <f>Catalog!AD439</f>
        <v/>
      </c>
      <c r="M466" s="15">
        <f>Catalog!V439</f>
        <v/>
      </c>
      <c r="N466" s="15">
        <f>Catalog!Q439</f>
        <v/>
      </c>
      <c r="O466" s="15">
        <f>Catalog!AF439</f>
        <v/>
      </c>
    </row>
    <row r="467">
      <c r="A467" s="15">
        <f>Catalog!D440</f>
        <v/>
      </c>
      <c r="B467" s="15">
        <f>Catalog!F440</f>
        <v/>
      </c>
      <c r="C467" s="15">
        <f>IF(Catalog!I440="","",Catalog!I440)&amp;IF(AND(Catalog!I440&lt;&gt;"",Catalog!J440&lt;&gt;""),"; ","")&amp;IF(Catalog!J440="","",Catalog!J440)</f>
        <v/>
      </c>
      <c r="D467" s="15">
        <f>Catalog!P440</f>
        <v/>
      </c>
      <c r="E467" s="15">
        <f>Catalog!R440</f>
        <v/>
      </c>
      <c r="F467" s="15">
        <f>Catalog!M440</f>
        <v/>
      </c>
      <c r="G467" s="15">
        <f>Catalog!K440</f>
        <v/>
      </c>
      <c r="H467" s="15">
        <f>IF(Catalog!S440&lt;&gt;"","ISBN:"&amp;Catalog!S440,IF(Catalog!T440&lt;&gt;"","ISSN:"&amp;Catalog!T440,""))</f>
        <v/>
      </c>
      <c r="I467" s="15">
        <f>Catalog!B440</f>
        <v/>
      </c>
      <c r="J467" s="15">
        <f>Catalog!L440</f>
        <v/>
      </c>
      <c r="K467" s="15">
        <f>IF(Catalog!AG440&lt;&gt;"",Catalog!AG440,Catalog!AE440)</f>
        <v/>
      </c>
      <c r="L467" s="15">
        <f>Catalog!AD440</f>
        <v/>
      </c>
      <c r="M467" s="15">
        <f>Catalog!V440</f>
        <v/>
      </c>
      <c r="N467" s="15">
        <f>Catalog!Q440</f>
        <v/>
      </c>
      <c r="O467" s="15">
        <f>Catalog!AF440</f>
        <v/>
      </c>
    </row>
    <row r="468">
      <c r="A468" s="15">
        <f>Catalog!D441</f>
        <v/>
      </c>
      <c r="B468" s="15">
        <f>Catalog!F441</f>
        <v/>
      </c>
      <c r="C468" s="15">
        <f>IF(Catalog!I441="","",Catalog!I441)&amp;IF(AND(Catalog!I441&lt;&gt;"",Catalog!J441&lt;&gt;""),"; ","")&amp;IF(Catalog!J441="","",Catalog!J441)</f>
        <v/>
      </c>
      <c r="D468" s="15">
        <f>Catalog!P441</f>
        <v/>
      </c>
      <c r="E468" s="15">
        <f>Catalog!R441</f>
        <v/>
      </c>
      <c r="F468" s="15">
        <f>Catalog!M441</f>
        <v/>
      </c>
      <c r="G468" s="15">
        <f>Catalog!K441</f>
        <v/>
      </c>
      <c r="H468" s="15">
        <f>IF(Catalog!S441&lt;&gt;"","ISBN:"&amp;Catalog!S441,IF(Catalog!T441&lt;&gt;"","ISSN:"&amp;Catalog!T441,""))</f>
        <v/>
      </c>
      <c r="I468" s="15">
        <f>Catalog!B441</f>
        <v/>
      </c>
      <c r="J468" s="15">
        <f>Catalog!L441</f>
        <v/>
      </c>
      <c r="K468" s="15">
        <f>IF(Catalog!AG441&lt;&gt;"",Catalog!AG441,Catalog!AE441)</f>
        <v/>
      </c>
      <c r="L468" s="15">
        <f>Catalog!AD441</f>
        <v/>
      </c>
      <c r="M468" s="15">
        <f>Catalog!V441</f>
        <v/>
      </c>
      <c r="N468" s="15">
        <f>Catalog!Q441</f>
        <v/>
      </c>
      <c r="O468" s="15">
        <f>Catalog!AF441</f>
        <v/>
      </c>
    </row>
    <row r="469">
      <c r="A469" s="15">
        <f>Catalog!D442</f>
        <v/>
      </c>
      <c r="B469" s="15">
        <f>Catalog!F442</f>
        <v/>
      </c>
      <c r="C469" s="15">
        <f>IF(Catalog!I442="","",Catalog!I442)&amp;IF(AND(Catalog!I442&lt;&gt;"",Catalog!J442&lt;&gt;""),"; ","")&amp;IF(Catalog!J442="","",Catalog!J442)</f>
        <v/>
      </c>
      <c r="D469" s="15">
        <f>Catalog!P442</f>
        <v/>
      </c>
      <c r="E469" s="15">
        <f>Catalog!R442</f>
        <v/>
      </c>
      <c r="F469" s="15">
        <f>Catalog!M442</f>
        <v/>
      </c>
      <c r="G469" s="15">
        <f>Catalog!K442</f>
        <v/>
      </c>
      <c r="H469" s="15">
        <f>IF(Catalog!S442&lt;&gt;"","ISBN:"&amp;Catalog!S442,IF(Catalog!T442&lt;&gt;"","ISSN:"&amp;Catalog!T442,""))</f>
        <v/>
      </c>
      <c r="I469" s="15">
        <f>Catalog!B442</f>
        <v/>
      </c>
      <c r="J469" s="15">
        <f>Catalog!L442</f>
        <v/>
      </c>
      <c r="K469" s="15">
        <f>IF(Catalog!AG442&lt;&gt;"",Catalog!AG442,Catalog!AE442)</f>
        <v/>
      </c>
      <c r="L469" s="15">
        <f>Catalog!AD442</f>
        <v/>
      </c>
      <c r="M469" s="15">
        <f>Catalog!V442</f>
        <v/>
      </c>
      <c r="N469" s="15">
        <f>Catalog!Q442</f>
        <v/>
      </c>
      <c r="O469" s="15">
        <f>Catalog!AF442</f>
        <v/>
      </c>
    </row>
    <row r="470">
      <c r="A470" s="15">
        <f>Catalog!D443</f>
        <v/>
      </c>
      <c r="B470" s="15">
        <f>Catalog!F443</f>
        <v/>
      </c>
      <c r="C470" s="15">
        <f>IF(Catalog!I443="","",Catalog!I443)&amp;IF(AND(Catalog!I443&lt;&gt;"",Catalog!J443&lt;&gt;""),"; ","")&amp;IF(Catalog!J443="","",Catalog!J443)</f>
        <v/>
      </c>
      <c r="D470" s="15">
        <f>Catalog!P443</f>
        <v/>
      </c>
      <c r="E470" s="15">
        <f>Catalog!R443</f>
        <v/>
      </c>
      <c r="F470" s="15">
        <f>Catalog!M443</f>
        <v/>
      </c>
      <c r="G470" s="15">
        <f>Catalog!K443</f>
        <v/>
      </c>
      <c r="H470" s="15">
        <f>IF(Catalog!S443&lt;&gt;"","ISBN:"&amp;Catalog!S443,IF(Catalog!T443&lt;&gt;"","ISSN:"&amp;Catalog!T443,""))</f>
        <v/>
      </c>
      <c r="I470" s="15">
        <f>Catalog!B443</f>
        <v/>
      </c>
      <c r="J470" s="15">
        <f>Catalog!L443</f>
        <v/>
      </c>
      <c r="K470" s="15">
        <f>IF(Catalog!AG443&lt;&gt;"",Catalog!AG443,Catalog!AE443)</f>
        <v/>
      </c>
      <c r="L470" s="15">
        <f>Catalog!AD443</f>
        <v/>
      </c>
      <c r="M470" s="15">
        <f>Catalog!V443</f>
        <v/>
      </c>
      <c r="N470" s="15">
        <f>Catalog!Q443</f>
        <v/>
      </c>
      <c r="O470" s="15">
        <f>Catalog!AF443</f>
        <v/>
      </c>
    </row>
    <row r="471">
      <c r="A471" s="15">
        <f>Catalog!D444</f>
        <v/>
      </c>
      <c r="B471" s="15">
        <f>Catalog!F444</f>
        <v/>
      </c>
      <c r="C471" s="15">
        <f>IF(Catalog!I444="","",Catalog!I444)&amp;IF(AND(Catalog!I444&lt;&gt;"",Catalog!J444&lt;&gt;""),"; ","")&amp;IF(Catalog!J444="","",Catalog!J444)</f>
        <v/>
      </c>
      <c r="D471" s="15">
        <f>Catalog!P444</f>
        <v/>
      </c>
      <c r="E471" s="15">
        <f>Catalog!R444</f>
        <v/>
      </c>
      <c r="F471" s="15">
        <f>Catalog!M444</f>
        <v/>
      </c>
      <c r="G471" s="15">
        <f>Catalog!K444</f>
        <v/>
      </c>
      <c r="H471" s="15">
        <f>IF(Catalog!S444&lt;&gt;"","ISBN:"&amp;Catalog!S444,IF(Catalog!T444&lt;&gt;"","ISSN:"&amp;Catalog!T444,""))</f>
        <v/>
      </c>
      <c r="I471" s="15">
        <f>Catalog!B444</f>
        <v/>
      </c>
      <c r="J471" s="15">
        <f>Catalog!L444</f>
        <v/>
      </c>
      <c r="K471" s="15">
        <f>IF(Catalog!AG444&lt;&gt;"",Catalog!AG444,Catalog!AE444)</f>
        <v/>
      </c>
      <c r="L471" s="15">
        <f>Catalog!AD444</f>
        <v/>
      </c>
      <c r="M471" s="15">
        <f>Catalog!V444</f>
        <v/>
      </c>
      <c r="N471" s="15">
        <f>Catalog!Q444</f>
        <v/>
      </c>
      <c r="O471" s="15">
        <f>Catalog!AF444</f>
        <v/>
      </c>
    </row>
    <row r="472">
      <c r="A472" s="15">
        <f>Catalog!D445</f>
        <v/>
      </c>
      <c r="B472" s="15">
        <f>Catalog!F445</f>
        <v/>
      </c>
      <c r="C472" s="15">
        <f>IF(Catalog!I445="","",Catalog!I445)&amp;IF(AND(Catalog!I445&lt;&gt;"",Catalog!J445&lt;&gt;""),"; ","")&amp;IF(Catalog!J445="","",Catalog!J445)</f>
        <v/>
      </c>
      <c r="D472" s="15">
        <f>Catalog!P445</f>
        <v/>
      </c>
      <c r="E472" s="15">
        <f>Catalog!R445</f>
        <v/>
      </c>
      <c r="F472" s="15">
        <f>Catalog!M445</f>
        <v/>
      </c>
      <c r="G472" s="15">
        <f>Catalog!K445</f>
        <v/>
      </c>
      <c r="H472" s="15">
        <f>IF(Catalog!S445&lt;&gt;"","ISBN:"&amp;Catalog!S445,IF(Catalog!T445&lt;&gt;"","ISSN:"&amp;Catalog!T445,""))</f>
        <v/>
      </c>
      <c r="I472" s="15">
        <f>Catalog!B445</f>
        <v/>
      </c>
      <c r="J472" s="15">
        <f>Catalog!L445</f>
        <v/>
      </c>
      <c r="K472" s="15">
        <f>IF(Catalog!AG445&lt;&gt;"",Catalog!AG445,Catalog!AE445)</f>
        <v/>
      </c>
      <c r="L472" s="15">
        <f>Catalog!AD445</f>
        <v/>
      </c>
      <c r="M472" s="15">
        <f>Catalog!V445</f>
        <v/>
      </c>
      <c r="N472" s="15">
        <f>Catalog!Q445</f>
        <v/>
      </c>
      <c r="O472" s="15">
        <f>Catalog!AF445</f>
        <v/>
      </c>
    </row>
    <row r="473">
      <c r="A473" s="15">
        <f>Catalog!D446</f>
        <v/>
      </c>
      <c r="B473" s="15">
        <f>Catalog!F446</f>
        <v/>
      </c>
      <c r="C473" s="15">
        <f>IF(Catalog!I446="","",Catalog!I446)&amp;IF(AND(Catalog!I446&lt;&gt;"",Catalog!J446&lt;&gt;""),"; ","")&amp;IF(Catalog!J446="","",Catalog!J446)</f>
        <v/>
      </c>
      <c r="D473" s="15">
        <f>Catalog!P446</f>
        <v/>
      </c>
      <c r="E473" s="15">
        <f>Catalog!R446</f>
        <v/>
      </c>
      <c r="F473" s="15">
        <f>Catalog!M446</f>
        <v/>
      </c>
      <c r="G473" s="15">
        <f>Catalog!K446</f>
        <v/>
      </c>
      <c r="H473" s="15">
        <f>IF(Catalog!S446&lt;&gt;"","ISBN:"&amp;Catalog!S446,IF(Catalog!T446&lt;&gt;"","ISSN:"&amp;Catalog!T446,""))</f>
        <v/>
      </c>
      <c r="I473" s="15">
        <f>Catalog!B446</f>
        <v/>
      </c>
      <c r="J473" s="15">
        <f>Catalog!L446</f>
        <v/>
      </c>
      <c r="K473" s="15">
        <f>IF(Catalog!AG446&lt;&gt;"",Catalog!AG446,Catalog!AE446)</f>
        <v/>
      </c>
      <c r="L473" s="15">
        <f>Catalog!AD446</f>
        <v/>
      </c>
      <c r="M473" s="15">
        <f>Catalog!V446</f>
        <v/>
      </c>
      <c r="N473" s="15">
        <f>Catalog!Q446</f>
        <v/>
      </c>
      <c r="O473" s="15">
        <f>Catalog!AF446</f>
        <v/>
      </c>
    </row>
    <row r="474">
      <c r="A474" s="15">
        <f>Catalog!D447</f>
        <v/>
      </c>
      <c r="B474" s="15">
        <f>Catalog!F447</f>
        <v/>
      </c>
      <c r="C474" s="15">
        <f>IF(Catalog!I447="","",Catalog!I447)&amp;IF(AND(Catalog!I447&lt;&gt;"",Catalog!J447&lt;&gt;""),"; ","")&amp;IF(Catalog!J447="","",Catalog!J447)</f>
        <v/>
      </c>
      <c r="D474" s="15">
        <f>Catalog!P447</f>
        <v/>
      </c>
      <c r="E474" s="15">
        <f>Catalog!R447</f>
        <v/>
      </c>
      <c r="F474" s="15">
        <f>Catalog!M447</f>
        <v/>
      </c>
      <c r="G474" s="15">
        <f>Catalog!K447</f>
        <v/>
      </c>
      <c r="H474" s="15">
        <f>IF(Catalog!S447&lt;&gt;"","ISBN:"&amp;Catalog!S447,IF(Catalog!T447&lt;&gt;"","ISSN:"&amp;Catalog!T447,""))</f>
        <v/>
      </c>
      <c r="I474" s="15">
        <f>Catalog!B447</f>
        <v/>
      </c>
      <c r="J474" s="15">
        <f>Catalog!L447</f>
        <v/>
      </c>
      <c r="K474" s="15">
        <f>IF(Catalog!AG447&lt;&gt;"",Catalog!AG447,Catalog!AE447)</f>
        <v/>
      </c>
      <c r="L474" s="15">
        <f>Catalog!AD447</f>
        <v/>
      </c>
      <c r="M474" s="15">
        <f>Catalog!V447</f>
        <v/>
      </c>
      <c r="N474" s="15">
        <f>Catalog!Q447</f>
        <v/>
      </c>
      <c r="O474" s="15">
        <f>Catalog!AF447</f>
        <v/>
      </c>
    </row>
    <row r="475">
      <c r="A475" s="15">
        <f>Catalog!D448</f>
        <v/>
      </c>
      <c r="B475" s="15">
        <f>Catalog!F448</f>
        <v/>
      </c>
      <c r="C475" s="15">
        <f>IF(Catalog!I448="","",Catalog!I448)&amp;IF(AND(Catalog!I448&lt;&gt;"",Catalog!J448&lt;&gt;""),"; ","")&amp;IF(Catalog!J448="","",Catalog!J448)</f>
        <v/>
      </c>
      <c r="D475" s="15">
        <f>Catalog!P448</f>
        <v/>
      </c>
      <c r="E475" s="15">
        <f>Catalog!R448</f>
        <v/>
      </c>
      <c r="F475" s="15">
        <f>Catalog!M448</f>
        <v/>
      </c>
      <c r="G475" s="15">
        <f>Catalog!K448</f>
        <v/>
      </c>
      <c r="H475" s="15">
        <f>IF(Catalog!S448&lt;&gt;"","ISBN:"&amp;Catalog!S448,IF(Catalog!T448&lt;&gt;"","ISSN:"&amp;Catalog!T448,""))</f>
        <v/>
      </c>
      <c r="I475" s="15">
        <f>Catalog!B448</f>
        <v/>
      </c>
      <c r="J475" s="15">
        <f>Catalog!L448</f>
        <v/>
      </c>
      <c r="K475" s="15">
        <f>IF(Catalog!AG448&lt;&gt;"",Catalog!AG448,Catalog!AE448)</f>
        <v/>
      </c>
      <c r="L475" s="15">
        <f>Catalog!AD448</f>
        <v/>
      </c>
      <c r="M475" s="15">
        <f>Catalog!V448</f>
        <v/>
      </c>
      <c r="N475" s="15">
        <f>Catalog!Q448</f>
        <v/>
      </c>
      <c r="O475" s="15">
        <f>Catalog!AF448</f>
        <v/>
      </c>
    </row>
    <row r="476">
      <c r="A476" s="15">
        <f>Catalog!D449</f>
        <v/>
      </c>
      <c r="B476" s="15">
        <f>Catalog!F449</f>
        <v/>
      </c>
      <c r="C476" s="15">
        <f>IF(Catalog!I449="","",Catalog!I449)&amp;IF(AND(Catalog!I449&lt;&gt;"",Catalog!J449&lt;&gt;""),"; ","")&amp;IF(Catalog!J449="","",Catalog!J449)</f>
        <v/>
      </c>
      <c r="D476" s="15">
        <f>Catalog!P449</f>
        <v/>
      </c>
      <c r="E476" s="15">
        <f>Catalog!R449</f>
        <v/>
      </c>
      <c r="F476" s="15">
        <f>Catalog!M449</f>
        <v/>
      </c>
      <c r="G476" s="15">
        <f>Catalog!K449</f>
        <v/>
      </c>
      <c r="H476" s="15">
        <f>IF(Catalog!S449&lt;&gt;"","ISBN:"&amp;Catalog!S449,IF(Catalog!T449&lt;&gt;"","ISSN:"&amp;Catalog!T449,""))</f>
        <v/>
      </c>
      <c r="I476" s="15">
        <f>Catalog!B449</f>
        <v/>
      </c>
      <c r="J476" s="15">
        <f>Catalog!L449</f>
        <v/>
      </c>
      <c r="K476" s="15">
        <f>IF(Catalog!AG449&lt;&gt;"",Catalog!AG449,Catalog!AE449)</f>
        <v/>
      </c>
      <c r="L476" s="15">
        <f>Catalog!AD449</f>
        <v/>
      </c>
      <c r="M476" s="15">
        <f>Catalog!V449</f>
        <v/>
      </c>
      <c r="N476" s="15">
        <f>Catalog!Q449</f>
        <v/>
      </c>
      <c r="O476" s="15">
        <f>Catalog!AF449</f>
        <v/>
      </c>
    </row>
    <row r="477">
      <c r="A477" s="15">
        <f>Catalog!D450</f>
        <v/>
      </c>
      <c r="B477" s="15">
        <f>Catalog!F450</f>
        <v/>
      </c>
      <c r="C477" s="15">
        <f>IF(Catalog!I450="","",Catalog!I450)&amp;IF(AND(Catalog!I450&lt;&gt;"",Catalog!J450&lt;&gt;""),"; ","")&amp;IF(Catalog!J450="","",Catalog!J450)</f>
        <v/>
      </c>
      <c r="D477" s="15">
        <f>Catalog!P450</f>
        <v/>
      </c>
      <c r="E477" s="15">
        <f>Catalog!R450</f>
        <v/>
      </c>
      <c r="F477" s="15">
        <f>Catalog!M450</f>
        <v/>
      </c>
      <c r="G477" s="15">
        <f>Catalog!K450</f>
        <v/>
      </c>
      <c r="H477" s="15">
        <f>IF(Catalog!S450&lt;&gt;"","ISBN:"&amp;Catalog!S450,IF(Catalog!T450&lt;&gt;"","ISSN:"&amp;Catalog!T450,""))</f>
        <v/>
      </c>
      <c r="I477" s="15">
        <f>Catalog!B450</f>
        <v/>
      </c>
      <c r="J477" s="15">
        <f>Catalog!L450</f>
        <v/>
      </c>
      <c r="K477" s="15">
        <f>IF(Catalog!AG450&lt;&gt;"",Catalog!AG450,Catalog!AE450)</f>
        <v/>
      </c>
      <c r="L477" s="15">
        <f>Catalog!AD450</f>
        <v/>
      </c>
      <c r="M477" s="15">
        <f>Catalog!V450</f>
        <v/>
      </c>
      <c r="N477" s="15">
        <f>Catalog!Q450</f>
        <v/>
      </c>
      <c r="O477" s="15">
        <f>Catalog!AF450</f>
        <v/>
      </c>
    </row>
    <row r="478">
      <c r="A478" s="15">
        <f>Catalog!D451</f>
        <v/>
      </c>
      <c r="B478" s="15">
        <f>Catalog!F451</f>
        <v/>
      </c>
      <c r="C478" s="15">
        <f>IF(Catalog!I451="","",Catalog!I451)&amp;IF(AND(Catalog!I451&lt;&gt;"",Catalog!J451&lt;&gt;""),"; ","")&amp;IF(Catalog!J451="","",Catalog!J451)</f>
        <v/>
      </c>
      <c r="D478" s="15">
        <f>Catalog!P451</f>
        <v/>
      </c>
      <c r="E478" s="15">
        <f>Catalog!R451</f>
        <v/>
      </c>
      <c r="F478" s="15">
        <f>Catalog!M451</f>
        <v/>
      </c>
      <c r="G478" s="15">
        <f>Catalog!K451</f>
        <v/>
      </c>
      <c r="H478" s="15">
        <f>IF(Catalog!S451&lt;&gt;"","ISBN:"&amp;Catalog!S451,IF(Catalog!T451&lt;&gt;"","ISSN:"&amp;Catalog!T451,""))</f>
        <v/>
      </c>
      <c r="I478" s="15">
        <f>Catalog!B451</f>
        <v/>
      </c>
      <c r="J478" s="15">
        <f>Catalog!L451</f>
        <v/>
      </c>
      <c r="K478" s="15">
        <f>IF(Catalog!AG451&lt;&gt;"",Catalog!AG451,Catalog!AE451)</f>
        <v/>
      </c>
      <c r="L478" s="15">
        <f>Catalog!AD451</f>
        <v/>
      </c>
      <c r="M478" s="15">
        <f>Catalog!V451</f>
        <v/>
      </c>
      <c r="N478" s="15">
        <f>Catalog!Q451</f>
        <v/>
      </c>
      <c r="O478" s="15">
        <f>Catalog!AF451</f>
        <v/>
      </c>
    </row>
    <row r="479">
      <c r="A479" s="15">
        <f>Catalog!D452</f>
        <v/>
      </c>
      <c r="B479" s="15">
        <f>Catalog!F452</f>
        <v/>
      </c>
      <c r="C479" s="15">
        <f>IF(Catalog!I452="","",Catalog!I452)&amp;IF(AND(Catalog!I452&lt;&gt;"",Catalog!J452&lt;&gt;""),"; ","")&amp;IF(Catalog!J452="","",Catalog!J452)</f>
        <v/>
      </c>
      <c r="D479" s="15">
        <f>Catalog!P452</f>
        <v/>
      </c>
      <c r="E479" s="15">
        <f>Catalog!R452</f>
        <v/>
      </c>
      <c r="F479" s="15">
        <f>Catalog!M452</f>
        <v/>
      </c>
      <c r="G479" s="15">
        <f>Catalog!K452</f>
        <v/>
      </c>
      <c r="H479" s="15">
        <f>IF(Catalog!S452&lt;&gt;"","ISBN:"&amp;Catalog!S452,IF(Catalog!T452&lt;&gt;"","ISSN:"&amp;Catalog!T452,""))</f>
        <v/>
      </c>
      <c r="I479" s="15">
        <f>Catalog!B452</f>
        <v/>
      </c>
      <c r="J479" s="15">
        <f>Catalog!L452</f>
        <v/>
      </c>
      <c r="K479" s="15">
        <f>IF(Catalog!AG452&lt;&gt;"",Catalog!AG452,Catalog!AE452)</f>
        <v/>
      </c>
      <c r="L479" s="15">
        <f>Catalog!AD452</f>
        <v/>
      </c>
      <c r="M479" s="15">
        <f>Catalog!V452</f>
        <v/>
      </c>
      <c r="N479" s="15">
        <f>Catalog!Q452</f>
        <v/>
      </c>
      <c r="O479" s="15">
        <f>Catalog!AF452</f>
        <v/>
      </c>
    </row>
    <row r="480">
      <c r="A480" s="15">
        <f>Catalog!D453</f>
        <v/>
      </c>
      <c r="B480" s="15">
        <f>Catalog!F453</f>
        <v/>
      </c>
      <c r="C480" s="15">
        <f>IF(Catalog!I453="","",Catalog!I453)&amp;IF(AND(Catalog!I453&lt;&gt;"",Catalog!J453&lt;&gt;""),"; ","")&amp;IF(Catalog!J453="","",Catalog!J453)</f>
        <v/>
      </c>
      <c r="D480" s="15">
        <f>Catalog!P453</f>
        <v/>
      </c>
      <c r="E480" s="15">
        <f>Catalog!R453</f>
        <v/>
      </c>
      <c r="F480" s="15">
        <f>Catalog!M453</f>
        <v/>
      </c>
      <c r="G480" s="15">
        <f>Catalog!K453</f>
        <v/>
      </c>
      <c r="H480" s="15">
        <f>IF(Catalog!S453&lt;&gt;"","ISBN:"&amp;Catalog!S453,IF(Catalog!T453&lt;&gt;"","ISSN:"&amp;Catalog!T453,""))</f>
        <v/>
      </c>
      <c r="I480" s="15">
        <f>Catalog!B453</f>
        <v/>
      </c>
      <c r="J480" s="15">
        <f>Catalog!L453</f>
        <v/>
      </c>
      <c r="K480" s="15">
        <f>IF(Catalog!AG453&lt;&gt;"",Catalog!AG453,Catalog!AE453)</f>
        <v/>
      </c>
      <c r="L480" s="15">
        <f>Catalog!AD453</f>
        <v/>
      </c>
      <c r="M480" s="15">
        <f>Catalog!V453</f>
        <v/>
      </c>
      <c r="N480" s="15">
        <f>Catalog!Q453</f>
        <v/>
      </c>
      <c r="O480" s="15">
        <f>Catalog!AF453</f>
        <v/>
      </c>
    </row>
    <row r="481">
      <c r="A481" s="15">
        <f>Catalog!D454</f>
        <v/>
      </c>
      <c r="B481" s="15">
        <f>Catalog!F454</f>
        <v/>
      </c>
      <c r="C481" s="15">
        <f>IF(Catalog!I454="","",Catalog!I454)&amp;IF(AND(Catalog!I454&lt;&gt;"",Catalog!J454&lt;&gt;""),"; ","")&amp;IF(Catalog!J454="","",Catalog!J454)</f>
        <v/>
      </c>
      <c r="D481" s="15">
        <f>Catalog!P454</f>
        <v/>
      </c>
      <c r="E481" s="15">
        <f>Catalog!R454</f>
        <v/>
      </c>
      <c r="F481" s="15">
        <f>Catalog!M454</f>
        <v/>
      </c>
      <c r="G481" s="15">
        <f>Catalog!K454</f>
        <v/>
      </c>
      <c r="H481" s="15">
        <f>IF(Catalog!S454&lt;&gt;"","ISBN:"&amp;Catalog!S454,IF(Catalog!T454&lt;&gt;"","ISSN:"&amp;Catalog!T454,""))</f>
        <v/>
      </c>
      <c r="I481" s="15">
        <f>Catalog!B454</f>
        <v/>
      </c>
      <c r="J481" s="15">
        <f>Catalog!L454</f>
        <v/>
      </c>
      <c r="K481" s="15">
        <f>IF(Catalog!AG454&lt;&gt;"",Catalog!AG454,Catalog!AE454)</f>
        <v/>
      </c>
      <c r="L481" s="15">
        <f>Catalog!AD454</f>
        <v/>
      </c>
      <c r="M481" s="15">
        <f>Catalog!V454</f>
        <v/>
      </c>
      <c r="N481" s="15">
        <f>Catalog!Q454</f>
        <v/>
      </c>
      <c r="O481" s="15">
        <f>Catalog!AF454</f>
        <v/>
      </c>
    </row>
    <row r="482">
      <c r="A482" s="15">
        <f>Catalog!D455</f>
        <v/>
      </c>
      <c r="B482" s="15">
        <f>Catalog!F455</f>
        <v/>
      </c>
      <c r="C482" s="15">
        <f>IF(Catalog!I455="","",Catalog!I455)&amp;IF(AND(Catalog!I455&lt;&gt;"",Catalog!J455&lt;&gt;""),"; ","")&amp;IF(Catalog!J455="","",Catalog!J455)</f>
        <v/>
      </c>
      <c r="D482" s="15">
        <f>Catalog!P455</f>
        <v/>
      </c>
      <c r="E482" s="15">
        <f>Catalog!R455</f>
        <v/>
      </c>
      <c r="F482" s="15">
        <f>Catalog!M455</f>
        <v/>
      </c>
      <c r="G482" s="15">
        <f>Catalog!K455</f>
        <v/>
      </c>
      <c r="H482" s="15">
        <f>IF(Catalog!S455&lt;&gt;"","ISBN:"&amp;Catalog!S455,IF(Catalog!T455&lt;&gt;"","ISSN:"&amp;Catalog!T455,""))</f>
        <v/>
      </c>
      <c r="I482" s="15">
        <f>Catalog!B455</f>
        <v/>
      </c>
      <c r="J482" s="15">
        <f>Catalog!L455</f>
        <v/>
      </c>
      <c r="K482" s="15">
        <f>IF(Catalog!AG455&lt;&gt;"",Catalog!AG455,Catalog!AE455)</f>
        <v/>
      </c>
      <c r="L482" s="15">
        <f>Catalog!AD455</f>
        <v/>
      </c>
      <c r="M482" s="15">
        <f>Catalog!V455</f>
        <v/>
      </c>
      <c r="N482" s="15">
        <f>Catalog!Q455</f>
        <v/>
      </c>
      <c r="O482" s="15">
        <f>Catalog!AF455</f>
        <v/>
      </c>
    </row>
    <row r="483">
      <c r="A483" s="15">
        <f>Catalog!D456</f>
        <v/>
      </c>
      <c r="B483" s="15">
        <f>Catalog!F456</f>
        <v/>
      </c>
      <c r="C483" s="15">
        <f>IF(Catalog!I456="","",Catalog!I456)&amp;IF(AND(Catalog!I456&lt;&gt;"",Catalog!J456&lt;&gt;""),"; ","")&amp;IF(Catalog!J456="","",Catalog!J456)</f>
        <v/>
      </c>
      <c r="D483" s="15">
        <f>Catalog!P456</f>
        <v/>
      </c>
      <c r="E483" s="15">
        <f>Catalog!R456</f>
        <v/>
      </c>
      <c r="F483" s="15">
        <f>Catalog!M456</f>
        <v/>
      </c>
      <c r="G483" s="15">
        <f>Catalog!K456</f>
        <v/>
      </c>
      <c r="H483" s="15">
        <f>IF(Catalog!S456&lt;&gt;"","ISBN:"&amp;Catalog!S456,IF(Catalog!T456&lt;&gt;"","ISSN:"&amp;Catalog!T456,""))</f>
        <v/>
      </c>
      <c r="I483" s="15">
        <f>Catalog!B456</f>
        <v/>
      </c>
      <c r="J483" s="15">
        <f>Catalog!L456</f>
        <v/>
      </c>
      <c r="K483" s="15">
        <f>IF(Catalog!AG456&lt;&gt;"",Catalog!AG456,Catalog!AE456)</f>
        <v/>
      </c>
      <c r="L483" s="15">
        <f>Catalog!AD456</f>
        <v/>
      </c>
      <c r="M483" s="15">
        <f>Catalog!V456</f>
        <v/>
      </c>
      <c r="N483" s="15">
        <f>Catalog!Q456</f>
        <v/>
      </c>
      <c r="O483" s="15">
        <f>Catalog!AF456</f>
        <v/>
      </c>
    </row>
    <row r="484">
      <c r="A484" s="15">
        <f>Catalog!D457</f>
        <v/>
      </c>
      <c r="B484" s="15">
        <f>Catalog!F457</f>
        <v/>
      </c>
      <c r="C484" s="15">
        <f>IF(Catalog!I457="","",Catalog!I457)&amp;IF(AND(Catalog!I457&lt;&gt;"",Catalog!J457&lt;&gt;""),"; ","")&amp;IF(Catalog!J457="","",Catalog!J457)</f>
        <v/>
      </c>
      <c r="D484" s="15">
        <f>Catalog!P457</f>
        <v/>
      </c>
      <c r="E484" s="15">
        <f>Catalog!R457</f>
        <v/>
      </c>
      <c r="F484" s="15">
        <f>Catalog!M457</f>
        <v/>
      </c>
      <c r="G484" s="15">
        <f>Catalog!K457</f>
        <v/>
      </c>
      <c r="H484" s="15">
        <f>IF(Catalog!S457&lt;&gt;"","ISBN:"&amp;Catalog!S457,IF(Catalog!T457&lt;&gt;"","ISSN:"&amp;Catalog!T457,""))</f>
        <v/>
      </c>
      <c r="I484" s="15">
        <f>Catalog!B457</f>
        <v/>
      </c>
      <c r="J484" s="15">
        <f>Catalog!L457</f>
        <v/>
      </c>
      <c r="K484" s="15">
        <f>IF(Catalog!AG457&lt;&gt;"",Catalog!AG457,Catalog!AE457)</f>
        <v/>
      </c>
      <c r="L484" s="15">
        <f>Catalog!AD457</f>
        <v/>
      </c>
      <c r="M484" s="15">
        <f>Catalog!V457</f>
        <v/>
      </c>
      <c r="N484" s="15">
        <f>Catalog!Q457</f>
        <v/>
      </c>
      <c r="O484" s="15">
        <f>Catalog!AF457</f>
        <v/>
      </c>
    </row>
    <row r="485">
      <c r="A485" s="15">
        <f>Catalog!D458</f>
        <v/>
      </c>
      <c r="B485" s="15">
        <f>Catalog!F458</f>
        <v/>
      </c>
      <c r="C485" s="15">
        <f>IF(Catalog!I458="","",Catalog!I458)&amp;IF(AND(Catalog!I458&lt;&gt;"",Catalog!J458&lt;&gt;""),"; ","")&amp;IF(Catalog!J458="","",Catalog!J458)</f>
        <v/>
      </c>
      <c r="D485" s="15">
        <f>Catalog!P458</f>
        <v/>
      </c>
      <c r="E485" s="15">
        <f>Catalog!R458</f>
        <v/>
      </c>
      <c r="F485" s="15">
        <f>Catalog!M458</f>
        <v/>
      </c>
      <c r="G485" s="15">
        <f>Catalog!K458</f>
        <v/>
      </c>
      <c r="H485" s="15">
        <f>IF(Catalog!S458&lt;&gt;"","ISBN:"&amp;Catalog!S458,IF(Catalog!T458&lt;&gt;"","ISSN:"&amp;Catalog!T458,""))</f>
        <v/>
      </c>
      <c r="I485" s="15">
        <f>Catalog!B458</f>
        <v/>
      </c>
      <c r="J485" s="15">
        <f>Catalog!L458</f>
        <v/>
      </c>
      <c r="K485" s="15">
        <f>IF(Catalog!AG458&lt;&gt;"",Catalog!AG458,Catalog!AE458)</f>
        <v/>
      </c>
      <c r="L485" s="15">
        <f>Catalog!AD458</f>
        <v/>
      </c>
      <c r="M485" s="15">
        <f>Catalog!V458</f>
        <v/>
      </c>
      <c r="N485" s="15">
        <f>Catalog!Q458</f>
        <v/>
      </c>
      <c r="O485" s="15">
        <f>Catalog!AF458</f>
        <v/>
      </c>
    </row>
    <row r="486">
      <c r="A486" s="15">
        <f>Catalog!D459</f>
        <v/>
      </c>
      <c r="B486" s="15">
        <f>Catalog!F459</f>
        <v/>
      </c>
      <c r="C486" s="15">
        <f>IF(Catalog!I459="","",Catalog!I459)&amp;IF(AND(Catalog!I459&lt;&gt;"",Catalog!J459&lt;&gt;""),"; ","")&amp;IF(Catalog!J459="","",Catalog!J459)</f>
        <v/>
      </c>
      <c r="D486" s="15">
        <f>Catalog!P459</f>
        <v/>
      </c>
      <c r="E486" s="15">
        <f>Catalog!R459</f>
        <v/>
      </c>
      <c r="F486" s="15">
        <f>Catalog!M459</f>
        <v/>
      </c>
      <c r="G486" s="15">
        <f>Catalog!K459</f>
        <v/>
      </c>
      <c r="H486" s="15">
        <f>IF(Catalog!S459&lt;&gt;"","ISBN:"&amp;Catalog!S459,IF(Catalog!T459&lt;&gt;"","ISSN:"&amp;Catalog!T459,""))</f>
        <v/>
      </c>
      <c r="I486" s="15">
        <f>Catalog!B459</f>
        <v/>
      </c>
      <c r="J486" s="15">
        <f>Catalog!L459</f>
        <v/>
      </c>
      <c r="K486" s="15">
        <f>IF(Catalog!AG459&lt;&gt;"",Catalog!AG459,Catalog!AE459)</f>
        <v/>
      </c>
      <c r="L486" s="15">
        <f>Catalog!AD459</f>
        <v/>
      </c>
      <c r="M486" s="15">
        <f>Catalog!V459</f>
        <v/>
      </c>
      <c r="N486" s="15">
        <f>Catalog!Q459</f>
        <v/>
      </c>
      <c r="O486" s="15">
        <f>Catalog!AF459</f>
        <v/>
      </c>
    </row>
    <row r="487">
      <c r="A487" s="15">
        <f>Catalog!D460</f>
        <v/>
      </c>
      <c r="B487" s="15">
        <f>Catalog!F460</f>
        <v/>
      </c>
      <c r="C487" s="15">
        <f>IF(Catalog!I460="","",Catalog!I460)&amp;IF(AND(Catalog!I460&lt;&gt;"",Catalog!J460&lt;&gt;""),"; ","")&amp;IF(Catalog!J460="","",Catalog!J460)</f>
        <v/>
      </c>
      <c r="D487" s="15">
        <f>Catalog!P460</f>
        <v/>
      </c>
      <c r="E487" s="15">
        <f>Catalog!R460</f>
        <v/>
      </c>
      <c r="F487" s="15">
        <f>Catalog!M460</f>
        <v/>
      </c>
      <c r="G487" s="15">
        <f>Catalog!K460</f>
        <v/>
      </c>
      <c r="H487" s="15">
        <f>IF(Catalog!S460&lt;&gt;"","ISBN:"&amp;Catalog!S460,IF(Catalog!T460&lt;&gt;"","ISSN:"&amp;Catalog!T460,""))</f>
        <v/>
      </c>
      <c r="I487" s="15">
        <f>Catalog!B460</f>
        <v/>
      </c>
      <c r="J487" s="15">
        <f>Catalog!L460</f>
        <v/>
      </c>
      <c r="K487" s="15">
        <f>IF(Catalog!AG460&lt;&gt;"",Catalog!AG460,Catalog!AE460)</f>
        <v/>
      </c>
      <c r="L487" s="15">
        <f>Catalog!AD460</f>
        <v/>
      </c>
      <c r="M487" s="15">
        <f>Catalog!V460</f>
        <v/>
      </c>
      <c r="N487" s="15">
        <f>Catalog!Q460</f>
        <v/>
      </c>
      <c r="O487" s="15">
        <f>Catalog!AF460</f>
        <v/>
      </c>
    </row>
    <row r="488">
      <c r="A488" s="15">
        <f>Catalog!D461</f>
        <v/>
      </c>
      <c r="B488" s="15">
        <f>Catalog!F461</f>
        <v/>
      </c>
      <c r="C488" s="15">
        <f>IF(Catalog!I461="","",Catalog!I461)&amp;IF(AND(Catalog!I461&lt;&gt;"",Catalog!J461&lt;&gt;""),"; ","")&amp;IF(Catalog!J461="","",Catalog!J461)</f>
        <v/>
      </c>
      <c r="D488" s="15">
        <f>Catalog!P461</f>
        <v/>
      </c>
      <c r="E488" s="15">
        <f>Catalog!R461</f>
        <v/>
      </c>
      <c r="F488" s="15">
        <f>Catalog!M461</f>
        <v/>
      </c>
      <c r="G488" s="15">
        <f>Catalog!K461</f>
        <v/>
      </c>
      <c r="H488" s="15">
        <f>IF(Catalog!S461&lt;&gt;"","ISBN:"&amp;Catalog!S461,IF(Catalog!T461&lt;&gt;"","ISSN:"&amp;Catalog!T461,""))</f>
        <v/>
      </c>
      <c r="I488" s="15">
        <f>Catalog!B461</f>
        <v/>
      </c>
      <c r="J488" s="15">
        <f>Catalog!L461</f>
        <v/>
      </c>
      <c r="K488" s="15">
        <f>IF(Catalog!AG461&lt;&gt;"",Catalog!AG461,Catalog!AE461)</f>
        <v/>
      </c>
      <c r="L488" s="15">
        <f>Catalog!AD461</f>
        <v/>
      </c>
      <c r="M488" s="15">
        <f>Catalog!V461</f>
        <v/>
      </c>
      <c r="N488" s="15">
        <f>Catalog!Q461</f>
        <v/>
      </c>
      <c r="O488" s="15">
        <f>Catalog!AF461</f>
        <v/>
      </c>
    </row>
    <row r="489">
      <c r="A489" s="15">
        <f>Catalog!D462</f>
        <v/>
      </c>
      <c r="B489" s="15">
        <f>Catalog!F462</f>
        <v/>
      </c>
      <c r="C489" s="15">
        <f>IF(Catalog!I462="","",Catalog!I462)&amp;IF(AND(Catalog!I462&lt;&gt;"",Catalog!J462&lt;&gt;""),"; ","")&amp;IF(Catalog!J462="","",Catalog!J462)</f>
        <v/>
      </c>
      <c r="D489" s="15">
        <f>Catalog!P462</f>
        <v/>
      </c>
      <c r="E489" s="15">
        <f>Catalog!R462</f>
        <v/>
      </c>
      <c r="F489" s="15">
        <f>Catalog!M462</f>
        <v/>
      </c>
      <c r="G489" s="15">
        <f>Catalog!K462</f>
        <v/>
      </c>
      <c r="H489" s="15">
        <f>IF(Catalog!S462&lt;&gt;"","ISBN:"&amp;Catalog!S462,IF(Catalog!T462&lt;&gt;"","ISSN:"&amp;Catalog!T462,""))</f>
        <v/>
      </c>
      <c r="I489" s="15">
        <f>Catalog!B462</f>
        <v/>
      </c>
      <c r="J489" s="15">
        <f>Catalog!L462</f>
        <v/>
      </c>
      <c r="K489" s="15">
        <f>IF(Catalog!AG462&lt;&gt;"",Catalog!AG462,Catalog!AE462)</f>
        <v/>
      </c>
      <c r="L489" s="15">
        <f>Catalog!AD462</f>
        <v/>
      </c>
      <c r="M489" s="15">
        <f>Catalog!V462</f>
        <v/>
      </c>
      <c r="N489" s="15">
        <f>Catalog!Q462</f>
        <v/>
      </c>
      <c r="O489" s="15">
        <f>Catalog!AF462</f>
        <v/>
      </c>
    </row>
    <row r="490">
      <c r="A490" s="15">
        <f>Catalog!D463</f>
        <v/>
      </c>
      <c r="B490" s="15">
        <f>Catalog!F463</f>
        <v/>
      </c>
      <c r="C490" s="15">
        <f>IF(Catalog!I463="","",Catalog!I463)&amp;IF(AND(Catalog!I463&lt;&gt;"",Catalog!J463&lt;&gt;""),"; ","")&amp;IF(Catalog!J463="","",Catalog!J463)</f>
        <v/>
      </c>
      <c r="D490" s="15">
        <f>Catalog!P463</f>
        <v/>
      </c>
      <c r="E490" s="15">
        <f>Catalog!R463</f>
        <v/>
      </c>
      <c r="F490" s="15">
        <f>Catalog!M463</f>
        <v/>
      </c>
      <c r="G490" s="15">
        <f>Catalog!K463</f>
        <v/>
      </c>
      <c r="H490" s="15">
        <f>IF(Catalog!S463&lt;&gt;"","ISBN:"&amp;Catalog!S463,IF(Catalog!T463&lt;&gt;"","ISSN:"&amp;Catalog!T463,""))</f>
        <v/>
      </c>
      <c r="I490" s="15">
        <f>Catalog!B463</f>
        <v/>
      </c>
      <c r="J490" s="15">
        <f>Catalog!L463</f>
        <v/>
      </c>
      <c r="K490" s="15">
        <f>IF(Catalog!AG463&lt;&gt;"",Catalog!AG463,Catalog!AE463)</f>
        <v/>
      </c>
      <c r="L490" s="15">
        <f>Catalog!AD463</f>
        <v/>
      </c>
      <c r="M490" s="15">
        <f>Catalog!V463</f>
        <v/>
      </c>
      <c r="N490" s="15">
        <f>Catalog!Q463</f>
        <v/>
      </c>
      <c r="O490" s="15">
        <f>Catalog!AF463</f>
        <v/>
      </c>
    </row>
    <row r="491">
      <c r="A491" s="15">
        <f>Catalog!D464</f>
        <v/>
      </c>
      <c r="B491" s="15">
        <f>Catalog!F464</f>
        <v/>
      </c>
      <c r="C491" s="15">
        <f>IF(Catalog!I464="","",Catalog!I464)&amp;IF(AND(Catalog!I464&lt;&gt;"",Catalog!J464&lt;&gt;""),"; ","")&amp;IF(Catalog!J464="","",Catalog!J464)</f>
        <v/>
      </c>
      <c r="D491" s="15">
        <f>Catalog!P464</f>
        <v/>
      </c>
      <c r="E491" s="15">
        <f>Catalog!R464</f>
        <v/>
      </c>
      <c r="F491" s="15">
        <f>Catalog!M464</f>
        <v/>
      </c>
      <c r="G491" s="15">
        <f>Catalog!K464</f>
        <v/>
      </c>
      <c r="H491" s="15">
        <f>IF(Catalog!S464&lt;&gt;"","ISBN:"&amp;Catalog!S464,IF(Catalog!T464&lt;&gt;"","ISSN:"&amp;Catalog!T464,""))</f>
        <v/>
      </c>
      <c r="I491" s="15">
        <f>Catalog!B464</f>
        <v/>
      </c>
      <c r="J491" s="15">
        <f>Catalog!L464</f>
        <v/>
      </c>
      <c r="K491" s="15">
        <f>IF(Catalog!AG464&lt;&gt;"",Catalog!AG464,Catalog!AE464)</f>
        <v/>
      </c>
      <c r="L491" s="15">
        <f>Catalog!AD464</f>
        <v/>
      </c>
      <c r="M491" s="15">
        <f>Catalog!V464</f>
        <v/>
      </c>
      <c r="N491" s="15">
        <f>Catalog!Q464</f>
        <v/>
      </c>
      <c r="O491" s="15">
        <f>Catalog!AF464</f>
        <v/>
      </c>
    </row>
    <row r="492">
      <c r="A492" s="15">
        <f>Catalog!D465</f>
        <v/>
      </c>
      <c r="B492" s="15">
        <f>Catalog!F465</f>
        <v/>
      </c>
      <c r="C492" s="15">
        <f>IF(Catalog!I465="","",Catalog!I465)&amp;IF(AND(Catalog!I465&lt;&gt;"",Catalog!J465&lt;&gt;""),"; ","")&amp;IF(Catalog!J465="","",Catalog!J465)</f>
        <v/>
      </c>
      <c r="D492" s="15">
        <f>Catalog!P465</f>
        <v/>
      </c>
      <c r="E492" s="15">
        <f>Catalog!R465</f>
        <v/>
      </c>
      <c r="F492" s="15">
        <f>Catalog!M465</f>
        <v/>
      </c>
      <c r="G492" s="15">
        <f>Catalog!K465</f>
        <v/>
      </c>
      <c r="H492" s="15">
        <f>IF(Catalog!S465&lt;&gt;"","ISBN:"&amp;Catalog!S465,IF(Catalog!T465&lt;&gt;"","ISSN:"&amp;Catalog!T465,""))</f>
        <v/>
      </c>
      <c r="I492" s="15">
        <f>Catalog!B465</f>
        <v/>
      </c>
      <c r="J492" s="15">
        <f>Catalog!L465</f>
        <v/>
      </c>
      <c r="K492" s="15">
        <f>IF(Catalog!AG465&lt;&gt;"",Catalog!AG465,Catalog!AE465)</f>
        <v/>
      </c>
      <c r="L492" s="15">
        <f>Catalog!AD465</f>
        <v/>
      </c>
      <c r="M492" s="15">
        <f>Catalog!V465</f>
        <v/>
      </c>
      <c r="N492" s="15">
        <f>Catalog!Q465</f>
        <v/>
      </c>
      <c r="O492" s="15">
        <f>Catalog!AF465</f>
        <v/>
      </c>
    </row>
    <row r="493">
      <c r="A493" s="15">
        <f>Catalog!D466</f>
        <v/>
      </c>
      <c r="B493" s="15">
        <f>Catalog!F466</f>
        <v/>
      </c>
      <c r="C493" s="15">
        <f>IF(Catalog!I466="","",Catalog!I466)&amp;IF(AND(Catalog!I466&lt;&gt;"",Catalog!J466&lt;&gt;""),"; ","")&amp;IF(Catalog!J466="","",Catalog!J466)</f>
        <v/>
      </c>
      <c r="D493" s="15">
        <f>Catalog!P466</f>
        <v/>
      </c>
      <c r="E493" s="15">
        <f>Catalog!R466</f>
        <v/>
      </c>
      <c r="F493" s="15">
        <f>Catalog!M466</f>
        <v/>
      </c>
      <c r="G493" s="15">
        <f>Catalog!K466</f>
        <v/>
      </c>
      <c r="H493" s="15">
        <f>IF(Catalog!S466&lt;&gt;"","ISBN:"&amp;Catalog!S466,IF(Catalog!T466&lt;&gt;"","ISSN:"&amp;Catalog!T466,""))</f>
        <v/>
      </c>
      <c r="I493" s="15">
        <f>Catalog!B466</f>
        <v/>
      </c>
      <c r="J493" s="15">
        <f>Catalog!L466</f>
        <v/>
      </c>
      <c r="K493" s="15">
        <f>IF(Catalog!AG466&lt;&gt;"",Catalog!AG466,Catalog!AE466)</f>
        <v/>
      </c>
      <c r="L493" s="15">
        <f>Catalog!AD466</f>
        <v/>
      </c>
      <c r="M493" s="15">
        <f>Catalog!V466</f>
        <v/>
      </c>
      <c r="N493" s="15">
        <f>Catalog!Q466</f>
        <v/>
      </c>
      <c r="O493" s="15">
        <f>Catalog!AF466</f>
        <v/>
      </c>
    </row>
    <row r="494">
      <c r="A494" s="15">
        <f>Catalog!D467</f>
        <v/>
      </c>
      <c r="B494" s="15">
        <f>Catalog!F467</f>
        <v/>
      </c>
      <c r="C494" s="15">
        <f>IF(Catalog!I467="","",Catalog!I467)&amp;IF(AND(Catalog!I467&lt;&gt;"",Catalog!J467&lt;&gt;""),"; ","")&amp;IF(Catalog!J467="","",Catalog!J467)</f>
        <v/>
      </c>
      <c r="D494" s="15">
        <f>Catalog!P467</f>
        <v/>
      </c>
      <c r="E494" s="15">
        <f>Catalog!R467</f>
        <v/>
      </c>
      <c r="F494" s="15">
        <f>Catalog!M467</f>
        <v/>
      </c>
      <c r="G494" s="15">
        <f>Catalog!K467</f>
        <v/>
      </c>
      <c r="H494" s="15">
        <f>IF(Catalog!S467&lt;&gt;"","ISBN:"&amp;Catalog!S467,IF(Catalog!T467&lt;&gt;"","ISSN:"&amp;Catalog!T467,""))</f>
        <v/>
      </c>
      <c r="I494" s="15">
        <f>Catalog!B467</f>
        <v/>
      </c>
      <c r="J494" s="15">
        <f>Catalog!L467</f>
        <v/>
      </c>
      <c r="K494" s="15">
        <f>IF(Catalog!AG467&lt;&gt;"",Catalog!AG467,Catalog!AE467)</f>
        <v/>
      </c>
      <c r="L494" s="15">
        <f>Catalog!AD467</f>
        <v/>
      </c>
      <c r="M494" s="15">
        <f>Catalog!V467</f>
        <v/>
      </c>
      <c r="N494" s="15">
        <f>Catalog!Q467</f>
        <v/>
      </c>
      <c r="O494" s="15">
        <f>Catalog!AF467</f>
        <v/>
      </c>
    </row>
    <row r="495">
      <c r="A495" s="15">
        <f>Catalog!D468</f>
        <v/>
      </c>
      <c r="B495" s="15">
        <f>Catalog!F468</f>
        <v/>
      </c>
      <c r="C495" s="15">
        <f>IF(Catalog!I468="","",Catalog!I468)&amp;IF(AND(Catalog!I468&lt;&gt;"",Catalog!J468&lt;&gt;""),"; ","")&amp;IF(Catalog!J468="","",Catalog!J468)</f>
        <v/>
      </c>
      <c r="D495" s="15">
        <f>Catalog!P468</f>
        <v/>
      </c>
      <c r="E495" s="15">
        <f>Catalog!R468</f>
        <v/>
      </c>
      <c r="F495" s="15">
        <f>Catalog!M468</f>
        <v/>
      </c>
      <c r="G495" s="15">
        <f>Catalog!K468</f>
        <v/>
      </c>
      <c r="H495" s="15">
        <f>IF(Catalog!S468&lt;&gt;"","ISBN:"&amp;Catalog!S468,IF(Catalog!T468&lt;&gt;"","ISSN:"&amp;Catalog!T468,""))</f>
        <v/>
      </c>
      <c r="I495" s="15">
        <f>Catalog!B468</f>
        <v/>
      </c>
      <c r="J495" s="15">
        <f>Catalog!L468</f>
        <v/>
      </c>
      <c r="K495" s="15">
        <f>IF(Catalog!AG468&lt;&gt;"",Catalog!AG468,Catalog!AE468)</f>
        <v/>
      </c>
      <c r="L495" s="15">
        <f>Catalog!AD468</f>
        <v/>
      </c>
      <c r="M495" s="15">
        <f>Catalog!V468</f>
        <v/>
      </c>
      <c r="N495" s="15">
        <f>Catalog!Q468</f>
        <v/>
      </c>
      <c r="O495" s="15">
        <f>Catalog!AF468</f>
        <v/>
      </c>
    </row>
    <row r="496">
      <c r="A496" s="15">
        <f>Catalog!D469</f>
        <v/>
      </c>
      <c r="B496" s="15">
        <f>Catalog!F469</f>
        <v/>
      </c>
      <c r="C496" s="15">
        <f>IF(Catalog!I469="","",Catalog!I469)&amp;IF(AND(Catalog!I469&lt;&gt;"",Catalog!J469&lt;&gt;""),"; ","")&amp;IF(Catalog!J469="","",Catalog!J469)</f>
        <v/>
      </c>
      <c r="D496" s="15">
        <f>Catalog!P469</f>
        <v/>
      </c>
      <c r="E496" s="15">
        <f>Catalog!R469</f>
        <v/>
      </c>
      <c r="F496" s="15">
        <f>Catalog!M469</f>
        <v/>
      </c>
      <c r="G496" s="15">
        <f>Catalog!K469</f>
        <v/>
      </c>
      <c r="H496" s="15">
        <f>IF(Catalog!S469&lt;&gt;"","ISBN:"&amp;Catalog!S469,IF(Catalog!T469&lt;&gt;"","ISSN:"&amp;Catalog!T469,""))</f>
        <v/>
      </c>
      <c r="I496" s="15">
        <f>Catalog!B469</f>
        <v/>
      </c>
      <c r="J496" s="15">
        <f>Catalog!L469</f>
        <v/>
      </c>
      <c r="K496" s="15">
        <f>IF(Catalog!AG469&lt;&gt;"",Catalog!AG469,Catalog!AE469)</f>
        <v/>
      </c>
      <c r="L496" s="15">
        <f>Catalog!AD469</f>
        <v/>
      </c>
      <c r="M496" s="15">
        <f>Catalog!V469</f>
        <v/>
      </c>
      <c r="N496" s="15">
        <f>Catalog!Q469</f>
        <v/>
      </c>
      <c r="O496" s="15">
        <f>Catalog!AF469</f>
        <v/>
      </c>
    </row>
    <row r="497">
      <c r="A497" s="15">
        <f>Catalog!D470</f>
        <v/>
      </c>
      <c r="B497" s="15">
        <f>Catalog!F470</f>
        <v/>
      </c>
      <c r="C497" s="15">
        <f>IF(Catalog!I470="","",Catalog!I470)&amp;IF(AND(Catalog!I470&lt;&gt;"",Catalog!J470&lt;&gt;""),"; ","")&amp;IF(Catalog!J470="","",Catalog!J470)</f>
        <v/>
      </c>
      <c r="D497" s="15">
        <f>Catalog!P470</f>
        <v/>
      </c>
      <c r="E497" s="15">
        <f>Catalog!R470</f>
        <v/>
      </c>
      <c r="F497" s="15">
        <f>Catalog!M470</f>
        <v/>
      </c>
      <c r="G497" s="15">
        <f>Catalog!K470</f>
        <v/>
      </c>
      <c r="H497" s="15">
        <f>IF(Catalog!S470&lt;&gt;"","ISBN:"&amp;Catalog!S470,IF(Catalog!T470&lt;&gt;"","ISSN:"&amp;Catalog!T470,""))</f>
        <v/>
      </c>
      <c r="I497" s="15">
        <f>Catalog!B470</f>
        <v/>
      </c>
      <c r="J497" s="15">
        <f>Catalog!L470</f>
        <v/>
      </c>
      <c r="K497" s="15">
        <f>IF(Catalog!AG470&lt;&gt;"",Catalog!AG470,Catalog!AE470)</f>
        <v/>
      </c>
      <c r="L497" s="15">
        <f>Catalog!AD470</f>
        <v/>
      </c>
      <c r="M497" s="15">
        <f>Catalog!V470</f>
        <v/>
      </c>
      <c r="N497" s="15">
        <f>Catalog!Q470</f>
        <v/>
      </c>
      <c r="O497" s="15">
        <f>Catalog!AF470</f>
        <v/>
      </c>
    </row>
    <row r="498">
      <c r="A498" s="15">
        <f>Catalog!D471</f>
        <v/>
      </c>
      <c r="B498" s="15">
        <f>Catalog!F471</f>
        <v/>
      </c>
      <c r="C498" s="15">
        <f>IF(Catalog!I471="","",Catalog!I471)&amp;IF(AND(Catalog!I471&lt;&gt;"",Catalog!J471&lt;&gt;""),"; ","")&amp;IF(Catalog!J471="","",Catalog!J471)</f>
        <v/>
      </c>
      <c r="D498" s="15">
        <f>Catalog!P471</f>
        <v/>
      </c>
      <c r="E498" s="15">
        <f>Catalog!R471</f>
        <v/>
      </c>
      <c r="F498" s="15">
        <f>Catalog!M471</f>
        <v/>
      </c>
      <c r="G498" s="15">
        <f>Catalog!K471</f>
        <v/>
      </c>
      <c r="H498" s="15">
        <f>IF(Catalog!S471&lt;&gt;"","ISBN:"&amp;Catalog!S471,IF(Catalog!T471&lt;&gt;"","ISSN:"&amp;Catalog!T471,""))</f>
        <v/>
      </c>
      <c r="I498" s="15">
        <f>Catalog!B471</f>
        <v/>
      </c>
      <c r="J498" s="15">
        <f>Catalog!L471</f>
        <v/>
      </c>
      <c r="K498" s="15">
        <f>IF(Catalog!AG471&lt;&gt;"",Catalog!AG471,Catalog!AE471)</f>
        <v/>
      </c>
      <c r="L498" s="15">
        <f>Catalog!AD471</f>
        <v/>
      </c>
      <c r="M498" s="15">
        <f>Catalog!V471</f>
        <v/>
      </c>
      <c r="N498" s="15">
        <f>Catalog!Q471</f>
        <v/>
      </c>
      <c r="O498" s="15">
        <f>Catalog!AF471</f>
        <v/>
      </c>
    </row>
    <row r="499">
      <c r="A499" s="15">
        <f>Catalog!D472</f>
        <v/>
      </c>
      <c r="B499" s="15">
        <f>Catalog!F472</f>
        <v/>
      </c>
      <c r="C499" s="15">
        <f>IF(Catalog!I472="","",Catalog!I472)&amp;IF(AND(Catalog!I472&lt;&gt;"",Catalog!J472&lt;&gt;""),"; ","")&amp;IF(Catalog!J472="","",Catalog!J472)</f>
        <v/>
      </c>
      <c r="D499" s="15">
        <f>Catalog!P472</f>
        <v/>
      </c>
      <c r="E499" s="15">
        <f>Catalog!R472</f>
        <v/>
      </c>
      <c r="F499" s="15">
        <f>Catalog!M472</f>
        <v/>
      </c>
      <c r="G499" s="15">
        <f>Catalog!K472</f>
        <v/>
      </c>
      <c r="H499" s="15">
        <f>IF(Catalog!S472&lt;&gt;"","ISBN:"&amp;Catalog!S472,IF(Catalog!T472&lt;&gt;"","ISSN:"&amp;Catalog!T472,""))</f>
        <v/>
      </c>
      <c r="I499" s="15">
        <f>Catalog!B472</f>
        <v/>
      </c>
      <c r="J499" s="15">
        <f>Catalog!L472</f>
        <v/>
      </c>
      <c r="K499" s="15">
        <f>IF(Catalog!AG472&lt;&gt;"",Catalog!AG472,Catalog!AE472)</f>
        <v/>
      </c>
      <c r="L499" s="15">
        <f>Catalog!AD472</f>
        <v/>
      </c>
      <c r="M499" s="15">
        <f>Catalog!V472</f>
        <v/>
      </c>
      <c r="N499" s="15">
        <f>Catalog!Q472</f>
        <v/>
      </c>
      <c r="O499" s="15">
        <f>Catalog!AF472</f>
        <v/>
      </c>
    </row>
    <row r="500">
      <c r="A500" s="15">
        <f>Catalog!D473</f>
        <v/>
      </c>
      <c r="B500" s="15">
        <f>Catalog!F473</f>
        <v/>
      </c>
      <c r="C500" s="15">
        <f>IF(Catalog!I473="","",Catalog!I473)&amp;IF(AND(Catalog!I473&lt;&gt;"",Catalog!J473&lt;&gt;""),"; ","")&amp;IF(Catalog!J473="","",Catalog!J473)</f>
        <v/>
      </c>
      <c r="D500" s="15">
        <f>Catalog!P473</f>
        <v/>
      </c>
      <c r="E500" s="15">
        <f>Catalog!R473</f>
        <v/>
      </c>
      <c r="F500" s="15">
        <f>Catalog!M473</f>
        <v/>
      </c>
      <c r="G500" s="15">
        <f>Catalog!K473</f>
        <v/>
      </c>
      <c r="H500" s="15">
        <f>IF(Catalog!S473&lt;&gt;"","ISBN:"&amp;Catalog!S473,IF(Catalog!T473&lt;&gt;"","ISSN:"&amp;Catalog!T473,""))</f>
        <v/>
      </c>
      <c r="I500" s="15">
        <f>Catalog!B473</f>
        <v/>
      </c>
      <c r="J500" s="15">
        <f>Catalog!L473</f>
        <v/>
      </c>
      <c r="K500" s="15">
        <f>IF(Catalog!AG473&lt;&gt;"",Catalog!AG473,Catalog!AE473)</f>
        <v/>
      </c>
      <c r="L500" s="15">
        <f>Catalog!AD473</f>
        <v/>
      </c>
      <c r="M500" s="15">
        <f>Catalog!V473</f>
        <v/>
      </c>
      <c r="N500" s="15">
        <f>Catalog!Q473</f>
        <v/>
      </c>
      <c r="O500" s="15">
        <f>Catalog!AF473</f>
        <v/>
      </c>
    </row>
    <row r="501">
      <c r="A501" s="15">
        <f>Catalog!D474</f>
        <v/>
      </c>
      <c r="B501" s="15">
        <f>Catalog!F474</f>
        <v/>
      </c>
      <c r="C501" s="15">
        <f>IF(Catalog!I474="","",Catalog!I474)&amp;IF(AND(Catalog!I474&lt;&gt;"",Catalog!J474&lt;&gt;""),"; ","")&amp;IF(Catalog!J474="","",Catalog!J474)</f>
        <v/>
      </c>
      <c r="D501" s="15">
        <f>Catalog!P474</f>
        <v/>
      </c>
      <c r="E501" s="15">
        <f>Catalog!R474</f>
        <v/>
      </c>
      <c r="F501" s="15">
        <f>Catalog!M474</f>
        <v/>
      </c>
      <c r="G501" s="15">
        <f>Catalog!K474</f>
        <v/>
      </c>
      <c r="H501" s="15">
        <f>IF(Catalog!S474&lt;&gt;"","ISBN:"&amp;Catalog!S474,IF(Catalog!T474&lt;&gt;"","ISSN:"&amp;Catalog!T474,""))</f>
        <v/>
      </c>
      <c r="I501" s="15">
        <f>Catalog!B474</f>
        <v/>
      </c>
      <c r="J501" s="15">
        <f>Catalog!L474</f>
        <v/>
      </c>
      <c r="K501" s="15">
        <f>IF(Catalog!AG474&lt;&gt;"",Catalog!AG474,Catalog!AE474)</f>
        <v/>
      </c>
      <c r="L501" s="15">
        <f>Catalog!AD474</f>
        <v/>
      </c>
      <c r="M501" s="15">
        <f>Catalog!V474</f>
        <v/>
      </c>
      <c r="N501" s="15">
        <f>Catalog!Q474</f>
        <v/>
      </c>
      <c r="O501" s="15">
        <f>Catalog!AF474</f>
        <v/>
      </c>
    </row>
    <row r="502">
      <c r="A502" s="15">
        <f>Catalog!D475</f>
        <v/>
      </c>
      <c r="B502" s="15">
        <f>Catalog!F475</f>
        <v/>
      </c>
      <c r="C502" s="15">
        <f>IF(Catalog!I475="","",Catalog!I475)&amp;IF(AND(Catalog!I475&lt;&gt;"",Catalog!J475&lt;&gt;""),"; ","")&amp;IF(Catalog!J475="","",Catalog!J475)</f>
        <v/>
      </c>
      <c r="D502" s="15">
        <f>Catalog!P475</f>
        <v/>
      </c>
      <c r="E502" s="15">
        <f>Catalog!R475</f>
        <v/>
      </c>
      <c r="F502" s="15">
        <f>Catalog!M475</f>
        <v/>
      </c>
      <c r="G502" s="15">
        <f>Catalog!K475</f>
        <v/>
      </c>
      <c r="H502" s="15">
        <f>IF(Catalog!S475&lt;&gt;"","ISBN:"&amp;Catalog!S475,IF(Catalog!T475&lt;&gt;"","ISSN:"&amp;Catalog!T475,""))</f>
        <v/>
      </c>
      <c r="I502" s="15">
        <f>Catalog!B475</f>
        <v/>
      </c>
      <c r="J502" s="15">
        <f>Catalog!L475</f>
        <v/>
      </c>
      <c r="K502" s="15">
        <f>IF(Catalog!AG475&lt;&gt;"",Catalog!AG475,Catalog!AE475)</f>
        <v/>
      </c>
      <c r="L502" s="15">
        <f>Catalog!AD475</f>
        <v/>
      </c>
      <c r="M502" s="15">
        <f>Catalog!V475</f>
        <v/>
      </c>
      <c r="N502" s="15">
        <f>Catalog!Q475</f>
        <v/>
      </c>
      <c r="O502" s="15">
        <f>Catalog!AF475</f>
        <v/>
      </c>
    </row>
    <row r="503">
      <c r="A503" s="15">
        <f>Catalog!D476</f>
        <v/>
      </c>
      <c r="B503" s="15">
        <f>Catalog!F476</f>
        <v/>
      </c>
      <c r="C503" s="15">
        <f>IF(Catalog!I476="","",Catalog!I476)&amp;IF(AND(Catalog!I476&lt;&gt;"",Catalog!J476&lt;&gt;""),"; ","")&amp;IF(Catalog!J476="","",Catalog!J476)</f>
        <v/>
      </c>
      <c r="D503" s="15">
        <f>Catalog!P476</f>
        <v/>
      </c>
      <c r="E503" s="15">
        <f>Catalog!R476</f>
        <v/>
      </c>
      <c r="F503" s="15">
        <f>Catalog!M476</f>
        <v/>
      </c>
      <c r="G503" s="15">
        <f>Catalog!K476</f>
        <v/>
      </c>
      <c r="H503" s="15">
        <f>IF(Catalog!S476&lt;&gt;"","ISBN:"&amp;Catalog!S476,IF(Catalog!T476&lt;&gt;"","ISSN:"&amp;Catalog!T476,""))</f>
        <v/>
      </c>
      <c r="I503" s="15">
        <f>Catalog!B476</f>
        <v/>
      </c>
      <c r="J503" s="15">
        <f>Catalog!L476</f>
        <v/>
      </c>
      <c r="K503" s="15">
        <f>IF(Catalog!AG476&lt;&gt;"",Catalog!AG476,Catalog!AE476)</f>
        <v/>
      </c>
      <c r="L503" s="15">
        <f>Catalog!AD476</f>
        <v/>
      </c>
      <c r="M503" s="15">
        <f>Catalog!V476</f>
        <v/>
      </c>
      <c r="N503" s="15">
        <f>Catalog!Q476</f>
        <v/>
      </c>
      <c r="O503" s="15">
        <f>Catalog!AF476</f>
        <v/>
      </c>
    </row>
    <row r="504">
      <c r="A504" s="15">
        <f>Catalog!D477</f>
        <v/>
      </c>
      <c r="B504" s="15">
        <f>Catalog!F477</f>
        <v/>
      </c>
      <c r="C504" s="15">
        <f>IF(Catalog!I477="","",Catalog!I477)&amp;IF(AND(Catalog!I477&lt;&gt;"",Catalog!J477&lt;&gt;""),"; ","")&amp;IF(Catalog!J477="","",Catalog!J477)</f>
        <v/>
      </c>
      <c r="D504" s="15">
        <f>Catalog!P477</f>
        <v/>
      </c>
      <c r="E504" s="15">
        <f>Catalog!R477</f>
        <v/>
      </c>
      <c r="F504" s="15">
        <f>Catalog!M477</f>
        <v/>
      </c>
      <c r="G504" s="15">
        <f>Catalog!K477</f>
        <v/>
      </c>
      <c r="H504" s="15">
        <f>IF(Catalog!S477&lt;&gt;"","ISBN:"&amp;Catalog!S477,IF(Catalog!T477&lt;&gt;"","ISSN:"&amp;Catalog!T477,""))</f>
        <v/>
      </c>
      <c r="I504" s="15">
        <f>Catalog!B477</f>
        <v/>
      </c>
      <c r="J504" s="15">
        <f>Catalog!L477</f>
        <v/>
      </c>
      <c r="K504" s="15">
        <f>IF(Catalog!AG477&lt;&gt;"",Catalog!AG477,Catalog!AE477)</f>
        <v/>
      </c>
      <c r="L504" s="15">
        <f>Catalog!AD477</f>
        <v/>
      </c>
      <c r="M504" s="15">
        <f>Catalog!V477</f>
        <v/>
      </c>
      <c r="N504" s="15">
        <f>Catalog!Q477</f>
        <v/>
      </c>
      <c r="O504" s="15">
        <f>Catalog!AF477</f>
        <v/>
      </c>
    </row>
    <row r="505">
      <c r="A505" s="15">
        <f>Catalog!D478</f>
        <v/>
      </c>
      <c r="B505" s="15">
        <f>Catalog!F478</f>
        <v/>
      </c>
      <c r="C505" s="15">
        <f>IF(Catalog!I478="","",Catalog!I478)&amp;IF(AND(Catalog!I478&lt;&gt;"",Catalog!J478&lt;&gt;""),"; ","")&amp;IF(Catalog!J478="","",Catalog!J478)</f>
        <v/>
      </c>
      <c r="D505" s="15">
        <f>Catalog!P478</f>
        <v/>
      </c>
      <c r="E505" s="15">
        <f>Catalog!R478</f>
        <v/>
      </c>
      <c r="F505" s="15">
        <f>Catalog!M478</f>
        <v/>
      </c>
      <c r="G505" s="15">
        <f>Catalog!K478</f>
        <v/>
      </c>
      <c r="H505" s="15">
        <f>IF(Catalog!S478&lt;&gt;"","ISBN:"&amp;Catalog!S478,IF(Catalog!T478&lt;&gt;"","ISSN:"&amp;Catalog!T478,""))</f>
        <v/>
      </c>
      <c r="I505" s="15">
        <f>Catalog!B478</f>
        <v/>
      </c>
      <c r="J505" s="15">
        <f>Catalog!L478</f>
        <v/>
      </c>
      <c r="K505" s="15">
        <f>IF(Catalog!AG478&lt;&gt;"",Catalog!AG478,Catalog!AE478)</f>
        <v/>
      </c>
      <c r="L505" s="15">
        <f>Catalog!AD478</f>
        <v/>
      </c>
      <c r="M505" s="15">
        <f>Catalog!V478</f>
        <v/>
      </c>
      <c r="N505" s="15">
        <f>Catalog!Q478</f>
        <v/>
      </c>
      <c r="O505" s="15">
        <f>Catalog!AF478</f>
        <v/>
      </c>
    </row>
    <row r="506">
      <c r="A506" s="15">
        <f>Catalog!D479</f>
        <v/>
      </c>
      <c r="B506" s="15">
        <f>Catalog!F479</f>
        <v/>
      </c>
      <c r="C506" s="15">
        <f>IF(Catalog!I479="","",Catalog!I479)&amp;IF(AND(Catalog!I479&lt;&gt;"",Catalog!J479&lt;&gt;""),"; ","")&amp;IF(Catalog!J479="","",Catalog!J479)</f>
        <v/>
      </c>
      <c r="D506" s="15">
        <f>Catalog!P479</f>
        <v/>
      </c>
      <c r="E506" s="15">
        <f>Catalog!R479</f>
        <v/>
      </c>
      <c r="F506" s="15">
        <f>Catalog!M479</f>
        <v/>
      </c>
      <c r="G506" s="15">
        <f>Catalog!K479</f>
        <v/>
      </c>
      <c r="H506" s="15">
        <f>IF(Catalog!S479&lt;&gt;"","ISBN:"&amp;Catalog!S479,IF(Catalog!T479&lt;&gt;"","ISSN:"&amp;Catalog!T479,""))</f>
        <v/>
      </c>
      <c r="I506" s="15">
        <f>Catalog!B479</f>
        <v/>
      </c>
      <c r="J506" s="15">
        <f>Catalog!L479</f>
        <v/>
      </c>
      <c r="K506" s="15">
        <f>IF(Catalog!AG479&lt;&gt;"",Catalog!AG479,Catalog!AE479)</f>
        <v/>
      </c>
      <c r="L506" s="15">
        <f>Catalog!AD479</f>
        <v/>
      </c>
      <c r="M506" s="15">
        <f>Catalog!V479</f>
        <v/>
      </c>
      <c r="N506" s="15">
        <f>Catalog!Q479</f>
        <v/>
      </c>
      <c r="O506" s="15">
        <f>Catalog!AF479</f>
        <v/>
      </c>
    </row>
    <row r="507">
      <c r="A507" s="15">
        <f>Catalog!D480</f>
        <v/>
      </c>
      <c r="B507" s="15">
        <f>Catalog!F480</f>
        <v/>
      </c>
      <c r="C507" s="15">
        <f>IF(Catalog!I480="","",Catalog!I480)&amp;IF(AND(Catalog!I480&lt;&gt;"",Catalog!J480&lt;&gt;""),"; ","")&amp;IF(Catalog!J480="","",Catalog!J480)</f>
        <v/>
      </c>
      <c r="D507" s="15">
        <f>Catalog!P480</f>
        <v/>
      </c>
      <c r="E507" s="15">
        <f>Catalog!R480</f>
        <v/>
      </c>
      <c r="F507" s="15">
        <f>Catalog!M480</f>
        <v/>
      </c>
      <c r="G507" s="15">
        <f>Catalog!K480</f>
        <v/>
      </c>
      <c r="H507" s="15">
        <f>IF(Catalog!S480&lt;&gt;"","ISBN:"&amp;Catalog!S480,IF(Catalog!T480&lt;&gt;"","ISSN:"&amp;Catalog!T480,""))</f>
        <v/>
      </c>
      <c r="I507" s="15">
        <f>Catalog!B480</f>
        <v/>
      </c>
      <c r="J507" s="15">
        <f>Catalog!L480</f>
        <v/>
      </c>
      <c r="K507" s="15">
        <f>IF(Catalog!AG480&lt;&gt;"",Catalog!AG480,Catalog!AE480)</f>
        <v/>
      </c>
      <c r="L507" s="15">
        <f>Catalog!AD480</f>
        <v/>
      </c>
      <c r="M507" s="15">
        <f>Catalog!V480</f>
        <v/>
      </c>
      <c r="N507" s="15">
        <f>Catalog!Q480</f>
        <v/>
      </c>
      <c r="O507" s="15">
        <f>Catalog!AF480</f>
        <v/>
      </c>
    </row>
    <row r="508">
      <c r="A508" s="15">
        <f>Catalog!D481</f>
        <v/>
      </c>
      <c r="B508" s="15">
        <f>Catalog!F481</f>
        <v/>
      </c>
      <c r="C508" s="15">
        <f>IF(Catalog!I481="","",Catalog!I481)&amp;IF(AND(Catalog!I481&lt;&gt;"",Catalog!J481&lt;&gt;""),"; ","")&amp;IF(Catalog!J481="","",Catalog!J481)</f>
        <v/>
      </c>
      <c r="D508" s="15">
        <f>Catalog!P481</f>
        <v/>
      </c>
      <c r="E508" s="15">
        <f>Catalog!R481</f>
        <v/>
      </c>
      <c r="F508" s="15">
        <f>Catalog!M481</f>
        <v/>
      </c>
      <c r="G508" s="15">
        <f>Catalog!K481</f>
        <v/>
      </c>
      <c r="H508" s="15">
        <f>IF(Catalog!S481&lt;&gt;"","ISBN:"&amp;Catalog!S481,IF(Catalog!T481&lt;&gt;"","ISSN:"&amp;Catalog!T481,""))</f>
        <v/>
      </c>
      <c r="I508" s="15">
        <f>Catalog!B481</f>
        <v/>
      </c>
      <c r="J508" s="15">
        <f>Catalog!L481</f>
        <v/>
      </c>
      <c r="K508" s="15">
        <f>IF(Catalog!AG481&lt;&gt;"",Catalog!AG481,Catalog!AE481)</f>
        <v/>
      </c>
      <c r="L508" s="15">
        <f>Catalog!AD481</f>
        <v/>
      </c>
      <c r="M508" s="15">
        <f>Catalog!V481</f>
        <v/>
      </c>
      <c r="N508" s="15">
        <f>Catalog!Q481</f>
        <v/>
      </c>
      <c r="O508" s="15">
        <f>Catalog!AF481</f>
        <v/>
      </c>
    </row>
    <row r="509">
      <c r="A509" s="15">
        <f>Catalog!D482</f>
        <v/>
      </c>
      <c r="B509" s="15">
        <f>Catalog!F482</f>
        <v/>
      </c>
      <c r="C509" s="15">
        <f>IF(Catalog!I482="","",Catalog!I482)&amp;IF(AND(Catalog!I482&lt;&gt;"",Catalog!J482&lt;&gt;""),"; ","")&amp;IF(Catalog!J482="","",Catalog!J482)</f>
        <v/>
      </c>
      <c r="D509" s="15">
        <f>Catalog!P482</f>
        <v/>
      </c>
      <c r="E509" s="15">
        <f>Catalog!R482</f>
        <v/>
      </c>
      <c r="F509" s="15">
        <f>Catalog!M482</f>
        <v/>
      </c>
      <c r="G509" s="15">
        <f>Catalog!K482</f>
        <v/>
      </c>
      <c r="H509" s="15">
        <f>IF(Catalog!S482&lt;&gt;"","ISBN:"&amp;Catalog!S482,IF(Catalog!T482&lt;&gt;"","ISSN:"&amp;Catalog!T482,""))</f>
        <v/>
      </c>
      <c r="I509" s="15">
        <f>Catalog!B482</f>
        <v/>
      </c>
      <c r="J509" s="15">
        <f>Catalog!L482</f>
        <v/>
      </c>
      <c r="K509" s="15">
        <f>IF(Catalog!AG482&lt;&gt;"",Catalog!AG482,Catalog!AE482)</f>
        <v/>
      </c>
      <c r="L509" s="15">
        <f>Catalog!AD482</f>
        <v/>
      </c>
      <c r="M509" s="15">
        <f>Catalog!V482</f>
        <v/>
      </c>
      <c r="N509" s="15">
        <f>Catalog!Q482</f>
        <v/>
      </c>
      <c r="O509" s="15">
        <f>Catalog!AF482</f>
        <v/>
      </c>
    </row>
    <row r="510">
      <c r="A510" s="15">
        <f>Catalog!D483</f>
        <v/>
      </c>
      <c r="B510" s="15">
        <f>Catalog!F483</f>
        <v/>
      </c>
      <c r="C510" s="15">
        <f>IF(Catalog!I483="","",Catalog!I483)&amp;IF(AND(Catalog!I483&lt;&gt;"",Catalog!J483&lt;&gt;""),"; ","")&amp;IF(Catalog!J483="","",Catalog!J483)</f>
        <v/>
      </c>
      <c r="D510" s="15">
        <f>Catalog!P483</f>
        <v/>
      </c>
      <c r="E510" s="15">
        <f>Catalog!R483</f>
        <v/>
      </c>
      <c r="F510" s="15">
        <f>Catalog!M483</f>
        <v/>
      </c>
      <c r="G510" s="15">
        <f>Catalog!K483</f>
        <v/>
      </c>
      <c r="H510" s="15">
        <f>IF(Catalog!S483&lt;&gt;"","ISBN:"&amp;Catalog!S483,IF(Catalog!T483&lt;&gt;"","ISSN:"&amp;Catalog!T483,""))</f>
        <v/>
      </c>
      <c r="I510" s="15">
        <f>Catalog!B483</f>
        <v/>
      </c>
      <c r="J510" s="15">
        <f>Catalog!L483</f>
        <v/>
      </c>
      <c r="K510" s="15">
        <f>IF(Catalog!AG483&lt;&gt;"",Catalog!AG483,Catalog!AE483)</f>
        <v/>
      </c>
      <c r="L510" s="15">
        <f>Catalog!AD483</f>
        <v/>
      </c>
      <c r="M510" s="15">
        <f>Catalog!V483</f>
        <v/>
      </c>
      <c r="N510" s="15">
        <f>Catalog!Q483</f>
        <v/>
      </c>
      <c r="O510" s="15">
        <f>Catalog!AF483</f>
        <v/>
      </c>
    </row>
    <row r="511">
      <c r="A511" s="15">
        <f>Catalog!D484</f>
        <v/>
      </c>
      <c r="B511" s="15">
        <f>Catalog!F484</f>
        <v/>
      </c>
      <c r="C511" s="15">
        <f>IF(Catalog!I484="","",Catalog!I484)&amp;IF(AND(Catalog!I484&lt;&gt;"",Catalog!J484&lt;&gt;""),"; ","")&amp;IF(Catalog!J484="","",Catalog!J484)</f>
        <v/>
      </c>
      <c r="D511" s="15">
        <f>Catalog!P484</f>
        <v/>
      </c>
      <c r="E511" s="15">
        <f>Catalog!R484</f>
        <v/>
      </c>
      <c r="F511" s="15">
        <f>Catalog!M484</f>
        <v/>
      </c>
      <c r="G511" s="15">
        <f>Catalog!K484</f>
        <v/>
      </c>
      <c r="H511" s="15">
        <f>IF(Catalog!S484&lt;&gt;"","ISBN:"&amp;Catalog!S484,IF(Catalog!T484&lt;&gt;"","ISSN:"&amp;Catalog!T484,""))</f>
        <v/>
      </c>
      <c r="I511" s="15">
        <f>Catalog!B484</f>
        <v/>
      </c>
      <c r="J511" s="15">
        <f>Catalog!L484</f>
        <v/>
      </c>
      <c r="K511" s="15">
        <f>IF(Catalog!AG484&lt;&gt;"",Catalog!AG484,Catalog!AE484)</f>
        <v/>
      </c>
      <c r="L511" s="15">
        <f>Catalog!AD484</f>
        <v/>
      </c>
      <c r="M511" s="15">
        <f>Catalog!V484</f>
        <v/>
      </c>
      <c r="N511" s="15">
        <f>Catalog!Q484</f>
        <v/>
      </c>
      <c r="O511" s="15">
        <f>Catalog!AF484</f>
        <v/>
      </c>
    </row>
    <row r="512">
      <c r="A512" s="15">
        <f>Catalog!D485</f>
        <v/>
      </c>
      <c r="B512" s="15">
        <f>Catalog!F485</f>
        <v/>
      </c>
      <c r="C512" s="15">
        <f>IF(Catalog!I485="","",Catalog!I485)&amp;IF(AND(Catalog!I485&lt;&gt;"",Catalog!J485&lt;&gt;""),"; ","")&amp;IF(Catalog!J485="","",Catalog!J485)</f>
        <v/>
      </c>
      <c r="D512" s="15">
        <f>Catalog!P485</f>
        <v/>
      </c>
      <c r="E512" s="15">
        <f>Catalog!R485</f>
        <v/>
      </c>
      <c r="F512" s="15">
        <f>Catalog!M485</f>
        <v/>
      </c>
      <c r="G512" s="15">
        <f>Catalog!K485</f>
        <v/>
      </c>
      <c r="H512" s="15">
        <f>IF(Catalog!S485&lt;&gt;"","ISBN:"&amp;Catalog!S485,IF(Catalog!T485&lt;&gt;"","ISSN:"&amp;Catalog!T485,""))</f>
        <v/>
      </c>
      <c r="I512" s="15">
        <f>Catalog!B485</f>
        <v/>
      </c>
      <c r="J512" s="15">
        <f>Catalog!L485</f>
        <v/>
      </c>
      <c r="K512" s="15">
        <f>IF(Catalog!AG485&lt;&gt;"",Catalog!AG485,Catalog!AE485)</f>
        <v/>
      </c>
      <c r="L512" s="15">
        <f>Catalog!AD485</f>
        <v/>
      </c>
      <c r="M512" s="15">
        <f>Catalog!V485</f>
        <v/>
      </c>
      <c r="N512" s="15">
        <f>Catalog!Q485</f>
        <v/>
      </c>
      <c r="O512" s="15">
        <f>Catalog!AF485</f>
        <v/>
      </c>
    </row>
    <row r="513">
      <c r="A513" s="15">
        <f>Catalog!D486</f>
        <v/>
      </c>
      <c r="B513" s="15">
        <f>Catalog!F486</f>
        <v/>
      </c>
      <c r="C513" s="15">
        <f>IF(Catalog!I486="","",Catalog!I486)&amp;IF(AND(Catalog!I486&lt;&gt;"",Catalog!J486&lt;&gt;""),"; ","")&amp;IF(Catalog!J486="","",Catalog!J486)</f>
        <v/>
      </c>
      <c r="D513" s="15">
        <f>Catalog!P486</f>
        <v/>
      </c>
      <c r="E513" s="15">
        <f>Catalog!R486</f>
        <v/>
      </c>
      <c r="F513" s="15">
        <f>Catalog!M486</f>
        <v/>
      </c>
      <c r="G513" s="15">
        <f>Catalog!K486</f>
        <v/>
      </c>
      <c r="H513" s="15">
        <f>IF(Catalog!S486&lt;&gt;"","ISBN:"&amp;Catalog!S486,IF(Catalog!T486&lt;&gt;"","ISSN:"&amp;Catalog!T486,""))</f>
        <v/>
      </c>
      <c r="I513" s="15">
        <f>Catalog!B486</f>
        <v/>
      </c>
      <c r="J513" s="15">
        <f>Catalog!L486</f>
        <v/>
      </c>
      <c r="K513" s="15">
        <f>IF(Catalog!AG486&lt;&gt;"",Catalog!AG486,Catalog!AE486)</f>
        <v/>
      </c>
      <c r="L513" s="15">
        <f>Catalog!AD486</f>
        <v/>
      </c>
      <c r="M513" s="15">
        <f>Catalog!V486</f>
        <v/>
      </c>
      <c r="N513" s="15">
        <f>Catalog!Q486</f>
        <v/>
      </c>
      <c r="O513" s="15">
        <f>Catalog!AF486</f>
        <v/>
      </c>
    </row>
    <row r="514">
      <c r="A514" s="15">
        <f>Catalog!D487</f>
        <v/>
      </c>
      <c r="B514" s="15">
        <f>Catalog!F487</f>
        <v/>
      </c>
      <c r="C514" s="15">
        <f>IF(Catalog!I487="","",Catalog!I487)&amp;IF(AND(Catalog!I487&lt;&gt;"",Catalog!J487&lt;&gt;""),"; ","")&amp;IF(Catalog!J487="","",Catalog!J487)</f>
        <v/>
      </c>
      <c r="D514" s="15">
        <f>Catalog!P487</f>
        <v/>
      </c>
      <c r="E514" s="15">
        <f>Catalog!R487</f>
        <v/>
      </c>
      <c r="F514" s="15">
        <f>Catalog!M487</f>
        <v/>
      </c>
      <c r="G514" s="15">
        <f>Catalog!K487</f>
        <v/>
      </c>
      <c r="H514" s="15">
        <f>IF(Catalog!S487&lt;&gt;"","ISBN:"&amp;Catalog!S487,IF(Catalog!T487&lt;&gt;"","ISSN:"&amp;Catalog!T487,""))</f>
        <v/>
      </c>
      <c r="I514" s="15">
        <f>Catalog!B487</f>
        <v/>
      </c>
      <c r="J514" s="15">
        <f>Catalog!L487</f>
        <v/>
      </c>
      <c r="K514" s="15">
        <f>IF(Catalog!AG487&lt;&gt;"",Catalog!AG487,Catalog!AE487)</f>
        <v/>
      </c>
      <c r="L514" s="15">
        <f>Catalog!AD487</f>
        <v/>
      </c>
      <c r="M514" s="15">
        <f>Catalog!V487</f>
        <v/>
      </c>
      <c r="N514" s="15">
        <f>Catalog!Q487</f>
        <v/>
      </c>
      <c r="O514" s="15">
        <f>Catalog!AF487</f>
        <v/>
      </c>
    </row>
    <row r="515">
      <c r="A515" s="15">
        <f>Catalog!D488</f>
        <v/>
      </c>
      <c r="B515" s="15">
        <f>Catalog!F488</f>
        <v/>
      </c>
      <c r="C515" s="15">
        <f>IF(Catalog!I488="","",Catalog!I488)&amp;IF(AND(Catalog!I488&lt;&gt;"",Catalog!J488&lt;&gt;""),"; ","")&amp;IF(Catalog!J488="","",Catalog!J488)</f>
        <v/>
      </c>
      <c r="D515" s="15">
        <f>Catalog!P488</f>
        <v/>
      </c>
      <c r="E515" s="15">
        <f>Catalog!R488</f>
        <v/>
      </c>
      <c r="F515" s="15">
        <f>Catalog!M488</f>
        <v/>
      </c>
      <c r="G515" s="15">
        <f>Catalog!K488</f>
        <v/>
      </c>
      <c r="H515" s="15">
        <f>IF(Catalog!S488&lt;&gt;"","ISBN:"&amp;Catalog!S488,IF(Catalog!T488&lt;&gt;"","ISSN:"&amp;Catalog!T488,""))</f>
        <v/>
      </c>
      <c r="I515" s="15">
        <f>Catalog!B488</f>
        <v/>
      </c>
      <c r="J515" s="15">
        <f>Catalog!L488</f>
        <v/>
      </c>
      <c r="K515" s="15">
        <f>IF(Catalog!AG488&lt;&gt;"",Catalog!AG488,Catalog!AE488)</f>
        <v/>
      </c>
      <c r="L515" s="15">
        <f>Catalog!AD488</f>
        <v/>
      </c>
      <c r="M515" s="15">
        <f>Catalog!V488</f>
        <v/>
      </c>
      <c r="N515" s="15">
        <f>Catalog!Q488</f>
        <v/>
      </c>
      <c r="O515" s="15">
        <f>Catalog!AF488</f>
        <v/>
      </c>
    </row>
    <row r="516">
      <c r="A516" s="15">
        <f>Catalog!D489</f>
        <v/>
      </c>
      <c r="B516" s="15">
        <f>Catalog!F489</f>
        <v/>
      </c>
      <c r="C516" s="15">
        <f>IF(Catalog!I489="","",Catalog!I489)&amp;IF(AND(Catalog!I489&lt;&gt;"",Catalog!J489&lt;&gt;""),"; ","")&amp;IF(Catalog!J489="","",Catalog!J489)</f>
        <v/>
      </c>
      <c r="D516" s="15">
        <f>Catalog!P489</f>
        <v/>
      </c>
      <c r="E516" s="15">
        <f>Catalog!R489</f>
        <v/>
      </c>
      <c r="F516" s="15">
        <f>Catalog!M489</f>
        <v/>
      </c>
      <c r="G516" s="15">
        <f>Catalog!K489</f>
        <v/>
      </c>
      <c r="H516" s="15">
        <f>IF(Catalog!S489&lt;&gt;"","ISBN:"&amp;Catalog!S489,IF(Catalog!T489&lt;&gt;"","ISSN:"&amp;Catalog!T489,""))</f>
        <v/>
      </c>
      <c r="I516" s="15">
        <f>Catalog!B489</f>
        <v/>
      </c>
      <c r="J516" s="15">
        <f>Catalog!L489</f>
        <v/>
      </c>
      <c r="K516" s="15">
        <f>IF(Catalog!AG489&lt;&gt;"",Catalog!AG489,Catalog!AE489)</f>
        <v/>
      </c>
      <c r="L516" s="15">
        <f>Catalog!AD489</f>
        <v/>
      </c>
      <c r="M516" s="15">
        <f>Catalog!V489</f>
        <v/>
      </c>
      <c r="N516" s="15">
        <f>Catalog!Q489</f>
        <v/>
      </c>
      <c r="O516" s="15">
        <f>Catalog!AF489</f>
        <v/>
      </c>
    </row>
    <row r="517">
      <c r="A517" s="15">
        <f>Catalog!D490</f>
        <v/>
      </c>
      <c r="B517" s="15">
        <f>Catalog!F490</f>
        <v/>
      </c>
      <c r="C517" s="15">
        <f>IF(Catalog!I490="","",Catalog!I490)&amp;IF(AND(Catalog!I490&lt;&gt;"",Catalog!J490&lt;&gt;""),"; ","")&amp;IF(Catalog!J490="","",Catalog!J490)</f>
        <v/>
      </c>
      <c r="D517" s="15">
        <f>Catalog!P490</f>
        <v/>
      </c>
      <c r="E517" s="15">
        <f>Catalog!R490</f>
        <v/>
      </c>
      <c r="F517" s="15">
        <f>Catalog!M490</f>
        <v/>
      </c>
      <c r="G517" s="15">
        <f>Catalog!K490</f>
        <v/>
      </c>
      <c r="H517" s="15">
        <f>IF(Catalog!S490&lt;&gt;"","ISBN:"&amp;Catalog!S490,IF(Catalog!T490&lt;&gt;"","ISSN:"&amp;Catalog!T490,""))</f>
        <v/>
      </c>
      <c r="I517" s="15">
        <f>Catalog!B490</f>
        <v/>
      </c>
      <c r="J517" s="15">
        <f>Catalog!L490</f>
        <v/>
      </c>
      <c r="K517" s="15">
        <f>IF(Catalog!AG490&lt;&gt;"",Catalog!AG490,Catalog!AE490)</f>
        <v/>
      </c>
      <c r="L517" s="15">
        <f>Catalog!AD490</f>
        <v/>
      </c>
      <c r="M517" s="15">
        <f>Catalog!V490</f>
        <v/>
      </c>
      <c r="N517" s="15">
        <f>Catalog!Q490</f>
        <v/>
      </c>
      <c r="O517" s="15">
        <f>Catalog!AF490</f>
        <v/>
      </c>
    </row>
    <row r="518">
      <c r="A518" s="15">
        <f>Catalog!D491</f>
        <v/>
      </c>
      <c r="B518" s="15">
        <f>Catalog!F491</f>
        <v/>
      </c>
      <c r="C518" s="15">
        <f>IF(Catalog!I491="","",Catalog!I491)&amp;IF(AND(Catalog!I491&lt;&gt;"",Catalog!J491&lt;&gt;""),"; ","")&amp;IF(Catalog!J491="","",Catalog!J491)</f>
        <v/>
      </c>
      <c r="D518" s="15">
        <f>Catalog!P491</f>
        <v/>
      </c>
      <c r="E518" s="15">
        <f>Catalog!R491</f>
        <v/>
      </c>
      <c r="F518" s="15">
        <f>Catalog!M491</f>
        <v/>
      </c>
      <c r="G518" s="15">
        <f>Catalog!K491</f>
        <v/>
      </c>
      <c r="H518" s="15">
        <f>IF(Catalog!S491&lt;&gt;"","ISBN:"&amp;Catalog!S491,IF(Catalog!T491&lt;&gt;"","ISSN:"&amp;Catalog!T491,""))</f>
        <v/>
      </c>
      <c r="I518" s="15">
        <f>Catalog!B491</f>
        <v/>
      </c>
      <c r="J518" s="15">
        <f>Catalog!L491</f>
        <v/>
      </c>
      <c r="K518" s="15">
        <f>IF(Catalog!AG491&lt;&gt;"",Catalog!AG491,Catalog!AE491)</f>
        <v/>
      </c>
      <c r="L518" s="15">
        <f>Catalog!AD491</f>
        <v/>
      </c>
      <c r="M518" s="15">
        <f>Catalog!V491</f>
        <v/>
      </c>
      <c r="N518" s="15">
        <f>Catalog!Q491</f>
        <v/>
      </c>
      <c r="O518" s="15">
        <f>Catalog!AF491</f>
        <v/>
      </c>
    </row>
    <row r="519">
      <c r="A519" s="15">
        <f>Catalog!D492</f>
        <v/>
      </c>
      <c r="B519" s="15">
        <f>Catalog!F492</f>
        <v/>
      </c>
      <c r="C519" s="15">
        <f>IF(Catalog!I492="","",Catalog!I492)&amp;IF(AND(Catalog!I492&lt;&gt;"",Catalog!J492&lt;&gt;""),"; ","")&amp;IF(Catalog!J492="","",Catalog!J492)</f>
        <v/>
      </c>
      <c r="D519" s="15">
        <f>Catalog!P492</f>
        <v/>
      </c>
      <c r="E519" s="15">
        <f>Catalog!R492</f>
        <v/>
      </c>
      <c r="F519" s="15">
        <f>Catalog!M492</f>
        <v/>
      </c>
      <c r="G519" s="15">
        <f>Catalog!K492</f>
        <v/>
      </c>
      <c r="H519" s="15">
        <f>IF(Catalog!S492&lt;&gt;"","ISBN:"&amp;Catalog!S492,IF(Catalog!T492&lt;&gt;"","ISSN:"&amp;Catalog!T492,""))</f>
        <v/>
      </c>
      <c r="I519" s="15">
        <f>Catalog!B492</f>
        <v/>
      </c>
      <c r="J519" s="15">
        <f>Catalog!L492</f>
        <v/>
      </c>
      <c r="K519" s="15">
        <f>IF(Catalog!AG492&lt;&gt;"",Catalog!AG492,Catalog!AE492)</f>
        <v/>
      </c>
      <c r="L519" s="15">
        <f>Catalog!AD492</f>
        <v/>
      </c>
      <c r="M519" s="15">
        <f>Catalog!V492</f>
        <v/>
      </c>
      <c r="N519" s="15">
        <f>Catalog!Q492</f>
        <v/>
      </c>
      <c r="O519" s="15">
        <f>Catalog!AF492</f>
        <v/>
      </c>
    </row>
    <row r="520">
      <c r="A520" s="15">
        <f>Catalog!D493</f>
        <v/>
      </c>
      <c r="B520" s="15">
        <f>Catalog!F493</f>
        <v/>
      </c>
      <c r="C520" s="15">
        <f>IF(Catalog!I493="","",Catalog!I493)&amp;IF(AND(Catalog!I493&lt;&gt;"",Catalog!J493&lt;&gt;""),"; ","")&amp;IF(Catalog!J493="","",Catalog!J493)</f>
        <v/>
      </c>
      <c r="D520" s="15">
        <f>Catalog!P493</f>
        <v/>
      </c>
      <c r="E520" s="15">
        <f>Catalog!R493</f>
        <v/>
      </c>
      <c r="F520" s="15">
        <f>Catalog!M493</f>
        <v/>
      </c>
      <c r="G520" s="15">
        <f>Catalog!K493</f>
        <v/>
      </c>
      <c r="H520" s="15">
        <f>IF(Catalog!S493&lt;&gt;"","ISBN:"&amp;Catalog!S493,IF(Catalog!T493&lt;&gt;"","ISSN:"&amp;Catalog!T493,""))</f>
        <v/>
      </c>
      <c r="I520" s="15">
        <f>Catalog!B493</f>
        <v/>
      </c>
      <c r="J520" s="15">
        <f>Catalog!L493</f>
        <v/>
      </c>
      <c r="K520" s="15">
        <f>IF(Catalog!AG493&lt;&gt;"",Catalog!AG493,Catalog!AE493)</f>
        <v/>
      </c>
      <c r="L520" s="15">
        <f>Catalog!AD493</f>
        <v/>
      </c>
      <c r="M520" s="15">
        <f>Catalog!V493</f>
        <v/>
      </c>
      <c r="N520" s="15">
        <f>Catalog!Q493</f>
        <v/>
      </c>
      <c r="O520" s="15">
        <f>Catalog!AF493</f>
        <v/>
      </c>
    </row>
    <row r="521">
      <c r="A521" s="15">
        <f>Catalog!D494</f>
        <v/>
      </c>
      <c r="B521" s="15">
        <f>Catalog!F494</f>
        <v/>
      </c>
      <c r="C521" s="15">
        <f>IF(Catalog!I494="","",Catalog!I494)&amp;IF(AND(Catalog!I494&lt;&gt;"",Catalog!J494&lt;&gt;""),"; ","")&amp;IF(Catalog!J494="","",Catalog!J494)</f>
        <v/>
      </c>
      <c r="D521" s="15">
        <f>Catalog!P494</f>
        <v/>
      </c>
      <c r="E521" s="15">
        <f>Catalog!R494</f>
        <v/>
      </c>
      <c r="F521" s="15">
        <f>Catalog!M494</f>
        <v/>
      </c>
      <c r="G521" s="15">
        <f>Catalog!K494</f>
        <v/>
      </c>
      <c r="H521" s="15">
        <f>IF(Catalog!S494&lt;&gt;"","ISBN:"&amp;Catalog!S494,IF(Catalog!T494&lt;&gt;"","ISSN:"&amp;Catalog!T494,""))</f>
        <v/>
      </c>
      <c r="I521" s="15">
        <f>Catalog!B494</f>
        <v/>
      </c>
      <c r="J521" s="15">
        <f>Catalog!L494</f>
        <v/>
      </c>
      <c r="K521" s="15">
        <f>IF(Catalog!AG494&lt;&gt;"",Catalog!AG494,Catalog!AE494)</f>
        <v/>
      </c>
      <c r="L521" s="15">
        <f>Catalog!AD494</f>
        <v/>
      </c>
      <c r="M521" s="15">
        <f>Catalog!V494</f>
        <v/>
      </c>
      <c r="N521" s="15">
        <f>Catalog!Q494</f>
        <v/>
      </c>
      <c r="O521" s="15">
        <f>Catalog!AF494</f>
        <v/>
      </c>
    </row>
    <row r="522">
      <c r="A522" s="15">
        <f>Catalog!D495</f>
        <v/>
      </c>
      <c r="B522" s="15">
        <f>Catalog!F495</f>
        <v/>
      </c>
      <c r="C522" s="15">
        <f>IF(Catalog!I495="","",Catalog!I495)&amp;IF(AND(Catalog!I495&lt;&gt;"",Catalog!J495&lt;&gt;""),"; ","")&amp;IF(Catalog!J495="","",Catalog!J495)</f>
        <v/>
      </c>
      <c r="D522" s="15">
        <f>Catalog!P495</f>
        <v/>
      </c>
      <c r="E522" s="15">
        <f>Catalog!R495</f>
        <v/>
      </c>
      <c r="F522" s="15">
        <f>Catalog!M495</f>
        <v/>
      </c>
      <c r="G522" s="15">
        <f>Catalog!K495</f>
        <v/>
      </c>
      <c r="H522" s="15">
        <f>IF(Catalog!S495&lt;&gt;"","ISBN:"&amp;Catalog!S495,IF(Catalog!T495&lt;&gt;"","ISSN:"&amp;Catalog!T495,""))</f>
        <v/>
      </c>
      <c r="I522" s="15">
        <f>Catalog!B495</f>
        <v/>
      </c>
      <c r="J522" s="15">
        <f>Catalog!L495</f>
        <v/>
      </c>
      <c r="K522" s="15">
        <f>IF(Catalog!AG495&lt;&gt;"",Catalog!AG495,Catalog!AE495)</f>
        <v/>
      </c>
      <c r="L522" s="15">
        <f>Catalog!AD495</f>
        <v/>
      </c>
      <c r="M522" s="15">
        <f>Catalog!V495</f>
        <v/>
      </c>
      <c r="N522" s="15">
        <f>Catalog!Q495</f>
        <v/>
      </c>
      <c r="O522" s="15">
        <f>Catalog!AF495</f>
        <v/>
      </c>
    </row>
    <row r="523">
      <c r="A523" s="15">
        <f>Catalog!D496</f>
        <v/>
      </c>
      <c r="B523" s="15">
        <f>Catalog!F496</f>
        <v/>
      </c>
      <c r="C523" s="15">
        <f>IF(Catalog!I496="","",Catalog!I496)&amp;IF(AND(Catalog!I496&lt;&gt;"",Catalog!J496&lt;&gt;""),"; ","")&amp;IF(Catalog!J496="","",Catalog!J496)</f>
        <v/>
      </c>
      <c r="D523" s="15">
        <f>Catalog!P496</f>
        <v/>
      </c>
      <c r="E523" s="15">
        <f>Catalog!R496</f>
        <v/>
      </c>
      <c r="F523" s="15">
        <f>Catalog!M496</f>
        <v/>
      </c>
      <c r="G523" s="15">
        <f>Catalog!K496</f>
        <v/>
      </c>
      <c r="H523" s="15">
        <f>IF(Catalog!S496&lt;&gt;"","ISBN:"&amp;Catalog!S496,IF(Catalog!T496&lt;&gt;"","ISSN:"&amp;Catalog!T496,""))</f>
        <v/>
      </c>
      <c r="I523" s="15">
        <f>Catalog!B496</f>
        <v/>
      </c>
      <c r="J523" s="15">
        <f>Catalog!L496</f>
        <v/>
      </c>
      <c r="K523" s="15">
        <f>IF(Catalog!AG496&lt;&gt;"",Catalog!AG496,Catalog!AE496)</f>
        <v/>
      </c>
      <c r="L523" s="15">
        <f>Catalog!AD496</f>
        <v/>
      </c>
      <c r="M523" s="15">
        <f>Catalog!V496</f>
        <v/>
      </c>
      <c r="N523" s="15">
        <f>Catalog!Q496</f>
        <v/>
      </c>
      <c r="O523" s="15">
        <f>Catalog!AF496</f>
        <v/>
      </c>
    </row>
    <row r="524">
      <c r="A524" s="15">
        <f>Catalog!D497</f>
        <v/>
      </c>
      <c r="B524" s="15">
        <f>Catalog!F497</f>
        <v/>
      </c>
      <c r="C524" s="15">
        <f>IF(Catalog!I497="","",Catalog!I497)&amp;IF(AND(Catalog!I497&lt;&gt;"",Catalog!J497&lt;&gt;""),"; ","")&amp;IF(Catalog!J497="","",Catalog!J497)</f>
        <v/>
      </c>
      <c r="D524" s="15">
        <f>Catalog!P497</f>
        <v/>
      </c>
      <c r="E524" s="15">
        <f>Catalog!R497</f>
        <v/>
      </c>
      <c r="F524" s="15">
        <f>Catalog!M497</f>
        <v/>
      </c>
      <c r="G524" s="15">
        <f>Catalog!K497</f>
        <v/>
      </c>
      <c r="H524" s="15">
        <f>IF(Catalog!S497&lt;&gt;"","ISBN:"&amp;Catalog!S497,IF(Catalog!T497&lt;&gt;"","ISSN:"&amp;Catalog!T497,""))</f>
        <v/>
      </c>
      <c r="I524" s="15">
        <f>Catalog!B497</f>
        <v/>
      </c>
      <c r="J524" s="15">
        <f>Catalog!L497</f>
        <v/>
      </c>
      <c r="K524" s="15">
        <f>IF(Catalog!AG497&lt;&gt;"",Catalog!AG497,Catalog!AE497)</f>
        <v/>
      </c>
      <c r="L524" s="15">
        <f>Catalog!AD497</f>
        <v/>
      </c>
      <c r="M524" s="15">
        <f>Catalog!V497</f>
        <v/>
      </c>
      <c r="N524" s="15">
        <f>Catalog!Q497</f>
        <v/>
      </c>
      <c r="O524" s="15">
        <f>Catalog!AF497</f>
        <v/>
      </c>
    </row>
    <row r="525">
      <c r="A525" s="15">
        <f>Catalog!D498</f>
        <v/>
      </c>
      <c r="B525" s="15">
        <f>Catalog!F498</f>
        <v/>
      </c>
      <c r="C525" s="15">
        <f>IF(Catalog!I498="","",Catalog!I498)&amp;IF(AND(Catalog!I498&lt;&gt;"",Catalog!J498&lt;&gt;""),"; ","")&amp;IF(Catalog!J498="","",Catalog!J498)</f>
        <v/>
      </c>
      <c r="D525" s="15">
        <f>Catalog!P498</f>
        <v/>
      </c>
      <c r="E525" s="15">
        <f>Catalog!R498</f>
        <v/>
      </c>
      <c r="F525" s="15">
        <f>Catalog!M498</f>
        <v/>
      </c>
      <c r="G525" s="15">
        <f>Catalog!K498</f>
        <v/>
      </c>
      <c r="H525" s="15">
        <f>IF(Catalog!S498&lt;&gt;"","ISBN:"&amp;Catalog!S498,IF(Catalog!T498&lt;&gt;"","ISSN:"&amp;Catalog!T498,""))</f>
        <v/>
      </c>
      <c r="I525" s="15">
        <f>Catalog!B498</f>
        <v/>
      </c>
      <c r="J525" s="15">
        <f>Catalog!L498</f>
        <v/>
      </c>
      <c r="K525" s="15">
        <f>IF(Catalog!AG498&lt;&gt;"",Catalog!AG498,Catalog!AE498)</f>
        <v/>
      </c>
      <c r="L525" s="15">
        <f>Catalog!AD498</f>
        <v/>
      </c>
      <c r="M525" s="15">
        <f>Catalog!V498</f>
        <v/>
      </c>
      <c r="N525" s="15">
        <f>Catalog!Q498</f>
        <v/>
      </c>
      <c r="O525" s="15">
        <f>Catalog!AF498</f>
        <v/>
      </c>
    </row>
    <row r="526">
      <c r="A526" s="15">
        <f>Catalog!D499</f>
        <v/>
      </c>
      <c r="B526" s="15">
        <f>Catalog!F499</f>
        <v/>
      </c>
      <c r="C526" s="15">
        <f>IF(Catalog!I499="","",Catalog!I499)&amp;IF(AND(Catalog!I499&lt;&gt;"",Catalog!J499&lt;&gt;""),"; ","")&amp;IF(Catalog!J499="","",Catalog!J499)</f>
        <v/>
      </c>
      <c r="D526" s="15">
        <f>Catalog!P499</f>
        <v/>
      </c>
      <c r="E526" s="15">
        <f>Catalog!R499</f>
        <v/>
      </c>
      <c r="F526" s="15">
        <f>Catalog!M499</f>
        <v/>
      </c>
      <c r="G526" s="15">
        <f>Catalog!K499</f>
        <v/>
      </c>
      <c r="H526" s="15">
        <f>IF(Catalog!S499&lt;&gt;"","ISBN:"&amp;Catalog!S499,IF(Catalog!T499&lt;&gt;"","ISSN:"&amp;Catalog!T499,""))</f>
        <v/>
      </c>
      <c r="I526" s="15">
        <f>Catalog!B499</f>
        <v/>
      </c>
      <c r="J526" s="15">
        <f>Catalog!L499</f>
        <v/>
      </c>
      <c r="K526" s="15">
        <f>IF(Catalog!AG499&lt;&gt;"",Catalog!AG499,Catalog!AE499)</f>
        <v/>
      </c>
      <c r="L526" s="15">
        <f>Catalog!AD499</f>
        <v/>
      </c>
      <c r="M526" s="15">
        <f>Catalog!V499</f>
        <v/>
      </c>
      <c r="N526" s="15">
        <f>Catalog!Q499</f>
        <v/>
      </c>
      <c r="O526" s="15">
        <f>Catalog!AF499</f>
        <v/>
      </c>
    </row>
    <row r="527">
      <c r="A527" s="15">
        <f>Catalog!D500</f>
        <v/>
      </c>
      <c r="B527" s="15">
        <f>Catalog!F500</f>
        <v/>
      </c>
      <c r="C527" s="15">
        <f>IF(Catalog!I500="","",Catalog!I500)&amp;IF(AND(Catalog!I500&lt;&gt;"",Catalog!J500&lt;&gt;""),"; ","")&amp;IF(Catalog!J500="","",Catalog!J500)</f>
        <v/>
      </c>
      <c r="D527" s="15">
        <f>Catalog!P500</f>
        <v/>
      </c>
      <c r="E527" s="15">
        <f>Catalog!R500</f>
        <v/>
      </c>
      <c r="F527" s="15">
        <f>Catalog!M500</f>
        <v/>
      </c>
      <c r="G527" s="15">
        <f>Catalog!K500</f>
        <v/>
      </c>
      <c r="H527" s="15">
        <f>IF(Catalog!S500&lt;&gt;"","ISBN:"&amp;Catalog!S500,IF(Catalog!T500&lt;&gt;"","ISSN:"&amp;Catalog!T500,""))</f>
        <v/>
      </c>
      <c r="I527" s="15">
        <f>Catalog!B500</f>
        <v/>
      </c>
      <c r="J527" s="15">
        <f>Catalog!L500</f>
        <v/>
      </c>
      <c r="K527" s="15">
        <f>IF(Catalog!AG500&lt;&gt;"",Catalog!AG500,Catalog!AE500)</f>
        <v/>
      </c>
      <c r="L527" s="15">
        <f>Catalog!AD500</f>
        <v/>
      </c>
      <c r="M527" s="15">
        <f>Catalog!V500</f>
        <v/>
      </c>
      <c r="N527" s="15">
        <f>Catalog!Q500</f>
        <v/>
      </c>
      <c r="O527" s="15">
        <f>Catalog!AF500</f>
        <v/>
      </c>
    </row>
    <row r="528">
      <c r="A528" s="15">
        <f>Catalog!D501</f>
        <v/>
      </c>
      <c r="B528" s="15">
        <f>Catalog!F501</f>
        <v/>
      </c>
      <c r="C528" s="15">
        <f>IF(Catalog!I501="","",Catalog!I501)&amp;IF(AND(Catalog!I501&lt;&gt;"",Catalog!J501&lt;&gt;""),"; ","")&amp;IF(Catalog!J501="","",Catalog!J501)</f>
        <v/>
      </c>
      <c r="D528" s="15">
        <f>Catalog!P501</f>
        <v/>
      </c>
      <c r="E528" s="15">
        <f>Catalog!R501</f>
        <v/>
      </c>
      <c r="F528" s="15">
        <f>Catalog!M501</f>
        <v/>
      </c>
      <c r="G528" s="15">
        <f>Catalog!K501</f>
        <v/>
      </c>
      <c r="H528" s="15">
        <f>IF(Catalog!S501&lt;&gt;"","ISBN:"&amp;Catalog!S501,IF(Catalog!T501&lt;&gt;"","ISSN:"&amp;Catalog!T501,""))</f>
        <v/>
      </c>
      <c r="I528" s="15">
        <f>Catalog!B501</f>
        <v/>
      </c>
      <c r="J528" s="15">
        <f>Catalog!L501</f>
        <v/>
      </c>
      <c r="K528" s="15">
        <f>IF(Catalog!AG501&lt;&gt;"",Catalog!AG501,Catalog!AE501)</f>
        <v/>
      </c>
      <c r="L528" s="15">
        <f>Catalog!AD501</f>
        <v/>
      </c>
      <c r="M528" s="15">
        <f>Catalog!V501</f>
        <v/>
      </c>
      <c r="N528" s="15">
        <f>Catalog!Q501</f>
        <v/>
      </c>
      <c r="O528" s="15">
        <f>Catalog!AF501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720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 ht="32" customHeight="1">
      <c r="A1" s="5" t="inlineStr">
        <is>
          <t>DATA QUALITY REPORT</t>
        </is>
      </c>
    </row>
    <row r="3">
      <c r="A3" s="6" t="inlineStr">
        <is>
          <t>Metric</t>
        </is>
      </c>
      <c r="B3" s="7" t="inlineStr">
        <is>
          <t>Value</t>
        </is>
      </c>
    </row>
    <row r="4">
      <c r="A4" s="20" t="inlineStr">
        <is>
          <t>Total Catalog records</t>
        </is>
      </c>
      <c r="B4" s="21">
        <f>COUNTA(Catalog!$D$2:$D$501)</f>
        <v/>
      </c>
    </row>
    <row r="5">
      <c r="A5" s="22" t="inlineStr">
        <is>
          <t>Records missing Title</t>
        </is>
      </c>
      <c r="B5" s="21">
        <f>COUNTA(Catalog!$A$2:$A$501)-COUNTA(Catalog!$D$2:$D$501)</f>
        <v/>
      </c>
    </row>
    <row r="6">
      <c r="A6" s="20" t="inlineStr">
        <is>
          <t>Records missing Creator</t>
        </is>
      </c>
      <c r="B6" s="21">
        <f>SUMPRODUCT((Catalog!$D$2:$D$501&lt;&gt;"")*(Catalog!$F$2:$F$501=""))</f>
        <v/>
      </c>
    </row>
    <row r="7">
      <c r="A7" s="22" t="inlineStr">
        <is>
          <t>Records missing Type</t>
        </is>
      </c>
      <c r="B7" s="21">
        <f>SUMPRODUCT((Catalog!$D$2:$D$501&lt;&gt;"")*(Catalog!$K$2:$K$501=""))</f>
        <v/>
      </c>
    </row>
    <row r="8">
      <c r="A8" s="20" t="inlineStr">
        <is>
          <t>Records missing Genre</t>
        </is>
      </c>
      <c r="B8" s="21">
        <f>SUMPRODUCT((Catalog!$D$2:$D$501&lt;&gt;"")*(Catalog!$L$2:$L$501=""))</f>
        <v/>
      </c>
    </row>
    <row r="9">
      <c r="A9" s="22" t="inlineStr">
        <is>
          <t>Records missing Location Type</t>
        </is>
      </c>
      <c r="B9" s="21">
        <f>SUMPRODUCT((Catalog!$D$2:$D$501&lt;&gt;"")*(Catalog!$W$2:$W$501=""))</f>
        <v/>
      </c>
    </row>
    <row r="10">
      <c r="A10" s="20" t="inlineStr">
        <is>
          <t>Records missing Location Id</t>
        </is>
      </c>
      <c r="B10" s="21">
        <f>SUMPRODUCT((Catalog!$D$2:$D$501&lt;&gt;"")*(Catalog!$X$2:$X$501=""))</f>
        <v/>
      </c>
    </row>
    <row r="11">
      <c r="A11" s="22" t="inlineStr">
        <is>
          <t>Duplicate ISBNs</t>
        </is>
      </c>
      <c r="B11" s="21">
        <f>SUMPRODUCT((Catalog!$S$2:$S$501&lt;&gt;"")*(COUNTIF(Catalog!$S$2:$S$501,Catalog!$S$2:$S$501)&gt;1))/2</f>
        <v/>
      </c>
    </row>
    <row r="12">
      <c r="A12" s="20" t="inlineStr">
        <is>
          <t>Duplicate ISSNs</t>
        </is>
      </c>
      <c r="B12" s="21">
        <f>SUMPRODUCT((Catalog!$T$2:$T$501&lt;&gt;"")*(COUNTIF(Catalog!$T$2:$T$501,Catalog!$T$2:$T$501)&gt;1))/2</f>
        <v/>
      </c>
    </row>
    <row r="13">
      <c r="A13" s="22" t="inlineStr">
        <is>
          <t>Duplicate Accession Numbers</t>
        </is>
      </c>
      <c r="B13" s="21">
        <f>SUMPRODUCT((Catalog!$B$2:$B$501&lt;&gt;"")*(COUNTIF(Catalog!$B$2:$B$501,Catalog!$B$2:$B$501)&gt;1))/2</f>
        <v/>
      </c>
    </row>
    <row r="14">
      <c r="A14" s="20" t="inlineStr">
        <is>
          <t>Digital resources</t>
        </is>
      </c>
      <c r="B14" s="21">
        <f>COUNTA(Digital_Catalog!$C$2:$C$501)</f>
        <v/>
      </c>
    </row>
    <row r="15">
      <c r="A15" s="22" t="inlineStr">
        <is>
          <t>Archive objects</t>
        </is>
      </c>
      <c r="B15" s="21">
        <f>COUNTA(Archive!$B$2:$B$201)</f>
        <v/>
      </c>
    </row>
    <row r="16">
      <c r="A16" s="20" t="inlineStr">
        <is>
          <t>Archive missing Collection</t>
        </is>
      </c>
      <c r="B16" s="21">
        <f>SUMPRODUCT((Archive!$B$2:$B$201&lt;&gt;"")*(Archive!$U$2:$U$201=""))</f>
        <v/>
      </c>
    </row>
    <row r="17">
      <c r="A17" s="22" t="inlineStr">
        <is>
          <t>Archive missing Dimensions</t>
        </is>
      </c>
      <c r="B17" s="21">
        <f>SUMPRODUCT((Archive!$B$2:$B$201&lt;&gt;"")*(Archive!$V$2:$V$201=""))</f>
        <v/>
      </c>
    </row>
    <row r="18">
      <c r="A18" s="20" t="inlineStr">
        <is>
          <t>Archive missing Public Link</t>
        </is>
      </c>
      <c r="B18" s="21">
        <f>SUMPRODUCT((Archive!$B$2:$B$201&lt;&gt;"")*(Archive!$AA$2:$AA$201=""))</f>
        <v/>
      </c>
    </row>
    <row r="19">
      <c r="A19" s="22" t="inlineStr">
        <is>
          <t>Active loans</t>
        </is>
      </c>
      <c r="B19" s="21">
        <f>COUNTIF(Circulation!$H$2:$H$501,"Active")</f>
        <v/>
      </c>
    </row>
    <row r="20">
      <c r="A20" s="20" t="inlineStr">
        <is>
          <t>Overdue loans</t>
        </is>
      </c>
      <c r="B20" s="21">
        <f>COUNTIF(Circulation!$H$2:$H$501,"Overdue")</f>
        <v/>
      </c>
    </row>
    <row r="24">
      <c r="A24" s="18" t="inlineStr">
        <is>
          <t>RECORD-LEVEL CHECKS</t>
        </is>
      </c>
    </row>
    <row r="25">
      <c r="A25" s="6" t="inlineStr">
        <is>
          <t>Item ID</t>
        </is>
      </c>
      <c r="B25" s="6" t="inlineStr">
        <is>
          <t>Title</t>
        </is>
      </c>
      <c r="C25" s="6" t="inlineStr">
        <is>
          <t>Issues</t>
        </is>
      </c>
    </row>
    <row r="26">
      <c r="A26" s="23">
        <f>Catalog!A2</f>
        <v/>
      </c>
      <c r="B26" s="24">
        <f>Catalog!D2</f>
        <v/>
      </c>
      <c r="C26" s="25">
        <f>IF(Catalog!D2="","",IF(ISBLANK(Catalog!F2),"Missing Creator; ","")&amp;IF(ISBLANK(Catalog!K2),"Missing Type; ","")&amp;IF(ISBLANK(Catalog!L2),"Missing Genre; ","")&amp;IF(ISBLANK(Catalog!W2),"Missing Location Type; ","")&amp;IF(ISBLANK(Catalog!X2),"Missing Location Id; ","")&amp;IF(AND(Catalog!S2&lt;&gt;"",COUNTIF(Catalog!$S$2:$S$501,Catalog!S2)&gt;1),"Duplicate ISBN; ","")&amp;IF(AND(Catalog!B2&lt;&gt;"",COUNTIF(Catalog!$B$2:$B$501,Catalog!B2)&gt;1),"Duplicate Accession; ",""))</f>
        <v/>
      </c>
    </row>
    <row r="27">
      <c r="A27" s="23">
        <f>Catalog!A3</f>
        <v/>
      </c>
      <c r="B27" s="24">
        <f>Catalog!D3</f>
        <v/>
      </c>
      <c r="C27" s="25">
        <f>IF(Catalog!D3="","",IF(ISBLANK(Catalog!F3),"Missing Creator; ","")&amp;IF(ISBLANK(Catalog!K3),"Missing Type; ","")&amp;IF(ISBLANK(Catalog!L3),"Missing Genre; ","")&amp;IF(ISBLANK(Catalog!W3),"Missing Location Type; ","")&amp;IF(ISBLANK(Catalog!X3),"Missing Location Id; ","")&amp;IF(AND(Catalog!S3&lt;&gt;"",COUNTIF(Catalog!$S$2:$S$501,Catalog!S3)&gt;1),"Duplicate ISBN; ","")&amp;IF(AND(Catalog!B3&lt;&gt;"",COUNTIF(Catalog!$B$2:$B$501,Catalog!B3)&gt;1),"Duplicate Accession; ",""))</f>
        <v/>
      </c>
    </row>
    <row r="28">
      <c r="A28" s="23">
        <f>Catalog!A4</f>
        <v/>
      </c>
      <c r="B28" s="24">
        <f>Catalog!D4</f>
        <v/>
      </c>
      <c r="C28" s="25">
        <f>IF(Catalog!D4="","",IF(ISBLANK(Catalog!F4),"Missing Creator; ","")&amp;IF(ISBLANK(Catalog!K4),"Missing Type; ","")&amp;IF(ISBLANK(Catalog!L4),"Missing Genre; ","")&amp;IF(ISBLANK(Catalog!W4),"Missing Location Type; ","")&amp;IF(ISBLANK(Catalog!X4),"Missing Location Id; ","")&amp;IF(AND(Catalog!S4&lt;&gt;"",COUNTIF(Catalog!$S$2:$S$501,Catalog!S4)&gt;1),"Duplicate ISBN; ","")&amp;IF(AND(Catalog!B4&lt;&gt;"",COUNTIF(Catalog!$B$2:$B$501,Catalog!B4)&gt;1),"Duplicate Accession; ",""))</f>
        <v/>
      </c>
    </row>
    <row r="29">
      <c r="A29" s="23">
        <f>Catalog!A5</f>
        <v/>
      </c>
      <c r="B29" s="24">
        <f>Catalog!D5</f>
        <v/>
      </c>
      <c r="C29" s="25">
        <f>IF(Catalog!D5="","",IF(ISBLANK(Catalog!F5),"Missing Creator; ","")&amp;IF(ISBLANK(Catalog!K5),"Missing Type; ","")&amp;IF(ISBLANK(Catalog!L5),"Missing Genre; ","")&amp;IF(ISBLANK(Catalog!W5),"Missing Location Type; ","")&amp;IF(ISBLANK(Catalog!X5),"Missing Location Id; ","")&amp;IF(AND(Catalog!S5&lt;&gt;"",COUNTIF(Catalog!$S$2:$S$501,Catalog!S5)&gt;1),"Duplicate ISBN; ","")&amp;IF(AND(Catalog!B5&lt;&gt;"",COUNTIF(Catalog!$B$2:$B$501,Catalog!B5)&gt;1),"Duplicate Accession; ",""))</f>
        <v/>
      </c>
    </row>
    <row r="30">
      <c r="A30" s="23">
        <f>Catalog!A6</f>
        <v/>
      </c>
      <c r="B30" s="24">
        <f>Catalog!D6</f>
        <v/>
      </c>
      <c r="C30" s="25">
        <f>IF(Catalog!D6="","",IF(ISBLANK(Catalog!F6),"Missing Creator; ","")&amp;IF(ISBLANK(Catalog!K6),"Missing Type; ","")&amp;IF(ISBLANK(Catalog!L6),"Missing Genre; ","")&amp;IF(ISBLANK(Catalog!W6),"Missing Location Type; ","")&amp;IF(ISBLANK(Catalog!X6),"Missing Location Id; ","")&amp;IF(AND(Catalog!S6&lt;&gt;"",COUNTIF(Catalog!$S$2:$S$501,Catalog!S6)&gt;1),"Duplicate ISBN; ","")&amp;IF(AND(Catalog!B6&lt;&gt;"",COUNTIF(Catalog!$B$2:$B$501,Catalog!B6)&gt;1),"Duplicate Accession; ",""))</f>
        <v/>
      </c>
    </row>
    <row r="31">
      <c r="A31" s="23">
        <f>Catalog!A7</f>
        <v/>
      </c>
      <c r="B31" s="24">
        <f>Catalog!D7</f>
        <v/>
      </c>
      <c r="C31" s="25">
        <f>IF(Catalog!D7="","",IF(ISBLANK(Catalog!F7),"Missing Creator; ","")&amp;IF(ISBLANK(Catalog!K7),"Missing Type; ","")&amp;IF(ISBLANK(Catalog!L7),"Missing Genre; ","")&amp;IF(ISBLANK(Catalog!W7),"Missing Location Type; ","")&amp;IF(ISBLANK(Catalog!X7),"Missing Location Id; ","")&amp;IF(AND(Catalog!S7&lt;&gt;"",COUNTIF(Catalog!$S$2:$S$501,Catalog!S7)&gt;1),"Duplicate ISBN; ","")&amp;IF(AND(Catalog!B7&lt;&gt;"",COUNTIF(Catalog!$B$2:$B$501,Catalog!B7)&gt;1),"Duplicate Accession; ",""))</f>
        <v/>
      </c>
    </row>
    <row r="32">
      <c r="A32" s="23">
        <f>Catalog!A8</f>
        <v/>
      </c>
      <c r="B32" s="24">
        <f>Catalog!D8</f>
        <v/>
      </c>
      <c r="C32" s="25">
        <f>IF(Catalog!D8="","",IF(ISBLANK(Catalog!F8),"Missing Creator; ","")&amp;IF(ISBLANK(Catalog!K8),"Missing Type; ","")&amp;IF(ISBLANK(Catalog!L8),"Missing Genre; ","")&amp;IF(ISBLANK(Catalog!W8),"Missing Location Type; ","")&amp;IF(ISBLANK(Catalog!X8),"Missing Location Id; ","")&amp;IF(AND(Catalog!S8&lt;&gt;"",COUNTIF(Catalog!$S$2:$S$501,Catalog!S8)&gt;1),"Duplicate ISBN; ","")&amp;IF(AND(Catalog!B8&lt;&gt;"",COUNTIF(Catalog!$B$2:$B$501,Catalog!B8)&gt;1),"Duplicate Accession; ",""))</f>
        <v/>
      </c>
    </row>
    <row r="33">
      <c r="A33" s="23">
        <f>Catalog!A9</f>
        <v/>
      </c>
      <c r="B33" s="24">
        <f>Catalog!D9</f>
        <v/>
      </c>
      <c r="C33" s="25">
        <f>IF(Catalog!D9="","",IF(ISBLANK(Catalog!F9),"Missing Creator; ","")&amp;IF(ISBLANK(Catalog!K9),"Missing Type; ","")&amp;IF(ISBLANK(Catalog!L9),"Missing Genre; ","")&amp;IF(ISBLANK(Catalog!W9),"Missing Location Type; ","")&amp;IF(ISBLANK(Catalog!X9),"Missing Location Id; ","")&amp;IF(AND(Catalog!S9&lt;&gt;"",COUNTIF(Catalog!$S$2:$S$501,Catalog!S9)&gt;1),"Duplicate ISBN; ","")&amp;IF(AND(Catalog!B9&lt;&gt;"",COUNTIF(Catalog!$B$2:$B$501,Catalog!B9)&gt;1),"Duplicate Accession; ",""))</f>
        <v/>
      </c>
    </row>
    <row r="34">
      <c r="A34" s="23">
        <f>Catalog!A10</f>
        <v/>
      </c>
      <c r="B34" s="24">
        <f>Catalog!D10</f>
        <v/>
      </c>
      <c r="C34" s="25">
        <f>IF(Catalog!D10="","",IF(ISBLANK(Catalog!F10),"Missing Creator; ","")&amp;IF(ISBLANK(Catalog!K10),"Missing Type; ","")&amp;IF(ISBLANK(Catalog!L10),"Missing Genre; ","")&amp;IF(ISBLANK(Catalog!W10),"Missing Location Type; ","")&amp;IF(ISBLANK(Catalog!X10),"Missing Location Id; ","")&amp;IF(AND(Catalog!S10&lt;&gt;"",COUNTIF(Catalog!$S$2:$S$501,Catalog!S10)&gt;1),"Duplicate ISBN; ","")&amp;IF(AND(Catalog!B10&lt;&gt;"",COUNTIF(Catalog!$B$2:$B$501,Catalog!B10)&gt;1),"Duplicate Accession; ",""))</f>
        <v/>
      </c>
    </row>
    <row r="35">
      <c r="A35" s="23">
        <f>Catalog!A11</f>
        <v/>
      </c>
      <c r="B35" s="24">
        <f>Catalog!D11</f>
        <v/>
      </c>
      <c r="C35" s="25">
        <f>IF(Catalog!D11="","",IF(ISBLANK(Catalog!F11),"Missing Creator; ","")&amp;IF(ISBLANK(Catalog!K11),"Missing Type; ","")&amp;IF(ISBLANK(Catalog!L11),"Missing Genre; ","")&amp;IF(ISBLANK(Catalog!W11),"Missing Location Type; ","")&amp;IF(ISBLANK(Catalog!X11),"Missing Location Id; ","")&amp;IF(AND(Catalog!S11&lt;&gt;"",COUNTIF(Catalog!$S$2:$S$501,Catalog!S11)&gt;1),"Duplicate ISBN; ","")&amp;IF(AND(Catalog!B11&lt;&gt;"",COUNTIF(Catalog!$B$2:$B$501,Catalog!B11)&gt;1),"Duplicate Accession; ",""))</f>
        <v/>
      </c>
    </row>
    <row r="36">
      <c r="A36" s="23">
        <f>Catalog!A12</f>
        <v/>
      </c>
      <c r="B36" s="24">
        <f>Catalog!D12</f>
        <v/>
      </c>
      <c r="C36" s="25">
        <f>IF(Catalog!D12="","",IF(ISBLANK(Catalog!F12),"Missing Creator; ","")&amp;IF(ISBLANK(Catalog!K12),"Missing Type; ","")&amp;IF(ISBLANK(Catalog!L12),"Missing Genre; ","")&amp;IF(ISBLANK(Catalog!W12),"Missing Location Type; ","")&amp;IF(ISBLANK(Catalog!X12),"Missing Location Id; ","")&amp;IF(AND(Catalog!S12&lt;&gt;"",COUNTIF(Catalog!$S$2:$S$501,Catalog!S12)&gt;1),"Duplicate ISBN; ","")&amp;IF(AND(Catalog!B12&lt;&gt;"",COUNTIF(Catalog!$B$2:$B$501,Catalog!B12)&gt;1),"Duplicate Accession; ",""))</f>
        <v/>
      </c>
    </row>
    <row r="37">
      <c r="A37" s="23">
        <f>Catalog!A13</f>
        <v/>
      </c>
      <c r="B37" s="24">
        <f>Catalog!D13</f>
        <v/>
      </c>
      <c r="C37" s="25">
        <f>IF(Catalog!D13="","",IF(ISBLANK(Catalog!F13),"Missing Creator; ","")&amp;IF(ISBLANK(Catalog!K13),"Missing Type; ","")&amp;IF(ISBLANK(Catalog!L13),"Missing Genre; ","")&amp;IF(ISBLANK(Catalog!W13),"Missing Location Type; ","")&amp;IF(ISBLANK(Catalog!X13),"Missing Location Id; ","")&amp;IF(AND(Catalog!S13&lt;&gt;"",COUNTIF(Catalog!$S$2:$S$501,Catalog!S13)&gt;1),"Duplicate ISBN; ","")&amp;IF(AND(Catalog!B13&lt;&gt;"",COUNTIF(Catalog!$B$2:$B$501,Catalog!B13)&gt;1),"Duplicate Accession; ",""))</f>
        <v/>
      </c>
    </row>
    <row r="38">
      <c r="A38" s="23">
        <f>Catalog!A14</f>
        <v/>
      </c>
      <c r="B38" s="24">
        <f>Catalog!D14</f>
        <v/>
      </c>
      <c r="C38" s="25">
        <f>IF(Catalog!D14="","",IF(ISBLANK(Catalog!F14),"Missing Creator; ","")&amp;IF(ISBLANK(Catalog!K14),"Missing Type; ","")&amp;IF(ISBLANK(Catalog!L14),"Missing Genre; ","")&amp;IF(ISBLANK(Catalog!W14),"Missing Location Type; ","")&amp;IF(ISBLANK(Catalog!X14),"Missing Location Id; ","")&amp;IF(AND(Catalog!S14&lt;&gt;"",COUNTIF(Catalog!$S$2:$S$501,Catalog!S14)&gt;1),"Duplicate ISBN; ","")&amp;IF(AND(Catalog!B14&lt;&gt;"",COUNTIF(Catalog!$B$2:$B$501,Catalog!B14)&gt;1),"Duplicate Accession; ",""))</f>
        <v/>
      </c>
    </row>
    <row r="39">
      <c r="A39" s="23">
        <f>Catalog!A15</f>
        <v/>
      </c>
      <c r="B39" s="24">
        <f>Catalog!D15</f>
        <v/>
      </c>
      <c r="C39" s="25">
        <f>IF(Catalog!D15="","",IF(ISBLANK(Catalog!F15),"Missing Creator; ","")&amp;IF(ISBLANK(Catalog!K15),"Missing Type; ","")&amp;IF(ISBLANK(Catalog!L15),"Missing Genre; ","")&amp;IF(ISBLANK(Catalog!W15),"Missing Location Type; ","")&amp;IF(ISBLANK(Catalog!X15),"Missing Location Id; ","")&amp;IF(AND(Catalog!S15&lt;&gt;"",COUNTIF(Catalog!$S$2:$S$501,Catalog!S15)&gt;1),"Duplicate ISBN; ","")&amp;IF(AND(Catalog!B15&lt;&gt;"",COUNTIF(Catalog!$B$2:$B$501,Catalog!B15)&gt;1),"Duplicate Accession; ",""))</f>
        <v/>
      </c>
    </row>
    <row r="40">
      <c r="A40" s="23">
        <f>Catalog!A16</f>
        <v/>
      </c>
      <c r="B40" s="24">
        <f>Catalog!D16</f>
        <v/>
      </c>
      <c r="C40" s="25">
        <f>IF(Catalog!D16="","",IF(ISBLANK(Catalog!F16),"Missing Creator; ","")&amp;IF(ISBLANK(Catalog!K16),"Missing Type; ","")&amp;IF(ISBLANK(Catalog!L16),"Missing Genre; ","")&amp;IF(ISBLANK(Catalog!W16),"Missing Location Type; ","")&amp;IF(ISBLANK(Catalog!X16),"Missing Location Id; ","")&amp;IF(AND(Catalog!S16&lt;&gt;"",COUNTIF(Catalog!$S$2:$S$501,Catalog!S16)&gt;1),"Duplicate ISBN; ","")&amp;IF(AND(Catalog!B16&lt;&gt;"",COUNTIF(Catalog!$B$2:$B$501,Catalog!B16)&gt;1),"Duplicate Accession; ",""))</f>
        <v/>
      </c>
    </row>
    <row r="41">
      <c r="A41" s="23">
        <f>Catalog!A17</f>
        <v/>
      </c>
      <c r="B41" s="24">
        <f>Catalog!D17</f>
        <v/>
      </c>
      <c r="C41" s="25">
        <f>IF(Catalog!D17="","",IF(ISBLANK(Catalog!F17),"Missing Creator; ","")&amp;IF(ISBLANK(Catalog!K17),"Missing Type; ","")&amp;IF(ISBLANK(Catalog!L17),"Missing Genre; ","")&amp;IF(ISBLANK(Catalog!W17),"Missing Location Type; ","")&amp;IF(ISBLANK(Catalog!X17),"Missing Location Id; ","")&amp;IF(AND(Catalog!S17&lt;&gt;"",COUNTIF(Catalog!$S$2:$S$501,Catalog!S17)&gt;1),"Duplicate ISBN; ","")&amp;IF(AND(Catalog!B17&lt;&gt;"",COUNTIF(Catalog!$B$2:$B$501,Catalog!B17)&gt;1),"Duplicate Accession; ",""))</f>
        <v/>
      </c>
    </row>
    <row r="42">
      <c r="A42" s="23">
        <f>Catalog!A18</f>
        <v/>
      </c>
      <c r="B42" s="24">
        <f>Catalog!D18</f>
        <v/>
      </c>
      <c r="C42" s="25">
        <f>IF(Catalog!D18="","",IF(ISBLANK(Catalog!F18),"Missing Creator; ","")&amp;IF(ISBLANK(Catalog!K18),"Missing Type; ","")&amp;IF(ISBLANK(Catalog!L18),"Missing Genre; ","")&amp;IF(ISBLANK(Catalog!W18),"Missing Location Type; ","")&amp;IF(ISBLANK(Catalog!X18),"Missing Location Id; ","")&amp;IF(AND(Catalog!S18&lt;&gt;"",COUNTIF(Catalog!$S$2:$S$501,Catalog!S18)&gt;1),"Duplicate ISBN; ","")&amp;IF(AND(Catalog!B18&lt;&gt;"",COUNTIF(Catalog!$B$2:$B$501,Catalog!B18)&gt;1),"Duplicate Accession; ",""))</f>
        <v/>
      </c>
    </row>
    <row r="43">
      <c r="A43" s="23">
        <f>Catalog!A19</f>
        <v/>
      </c>
      <c r="B43" s="24">
        <f>Catalog!D19</f>
        <v/>
      </c>
      <c r="C43" s="25">
        <f>IF(Catalog!D19="","",IF(ISBLANK(Catalog!F19),"Missing Creator; ","")&amp;IF(ISBLANK(Catalog!K19),"Missing Type; ","")&amp;IF(ISBLANK(Catalog!L19),"Missing Genre; ","")&amp;IF(ISBLANK(Catalog!W19),"Missing Location Type; ","")&amp;IF(ISBLANK(Catalog!X19),"Missing Location Id; ","")&amp;IF(AND(Catalog!S19&lt;&gt;"",COUNTIF(Catalog!$S$2:$S$501,Catalog!S19)&gt;1),"Duplicate ISBN; ","")&amp;IF(AND(Catalog!B19&lt;&gt;"",COUNTIF(Catalog!$B$2:$B$501,Catalog!B19)&gt;1),"Duplicate Accession; ",""))</f>
        <v/>
      </c>
    </row>
    <row r="44">
      <c r="A44" s="23">
        <f>Catalog!A20</f>
        <v/>
      </c>
      <c r="B44" s="24">
        <f>Catalog!D20</f>
        <v/>
      </c>
      <c r="C44" s="25">
        <f>IF(Catalog!D20="","",IF(ISBLANK(Catalog!F20),"Missing Creator; ","")&amp;IF(ISBLANK(Catalog!K20),"Missing Type; ","")&amp;IF(ISBLANK(Catalog!L20),"Missing Genre; ","")&amp;IF(ISBLANK(Catalog!W20),"Missing Location Type; ","")&amp;IF(ISBLANK(Catalog!X20),"Missing Location Id; ","")&amp;IF(AND(Catalog!S20&lt;&gt;"",COUNTIF(Catalog!$S$2:$S$501,Catalog!S20)&gt;1),"Duplicate ISBN; ","")&amp;IF(AND(Catalog!B20&lt;&gt;"",COUNTIF(Catalog!$B$2:$B$501,Catalog!B20)&gt;1),"Duplicate Accession; ",""))</f>
        <v/>
      </c>
    </row>
    <row r="45">
      <c r="A45" s="23">
        <f>Catalog!A21</f>
        <v/>
      </c>
      <c r="B45" s="24">
        <f>Catalog!D21</f>
        <v/>
      </c>
      <c r="C45" s="25">
        <f>IF(Catalog!D21="","",IF(ISBLANK(Catalog!F21),"Missing Creator; ","")&amp;IF(ISBLANK(Catalog!K21),"Missing Type; ","")&amp;IF(ISBLANK(Catalog!L21),"Missing Genre; ","")&amp;IF(ISBLANK(Catalog!W21),"Missing Location Type; ","")&amp;IF(ISBLANK(Catalog!X21),"Missing Location Id; ","")&amp;IF(AND(Catalog!S21&lt;&gt;"",COUNTIF(Catalog!$S$2:$S$501,Catalog!S21)&gt;1),"Duplicate ISBN; ","")&amp;IF(AND(Catalog!B21&lt;&gt;"",COUNTIF(Catalog!$B$2:$B$501,Catalog!B21)&gt;1),"Duplicate Accession; ",""))</f>
        <v/>
      </c>
    </row>
    <row r="46">
      <c r="A46" s="23">
        <f>Catalog!A22</f>
        <v/>
      </c>
      <c r="B46" s="24">
        <f>Catalog!D22</f>
        <v/>
      </c>
      <c r="C46" s="25">
        <f>IF(Catalog!D22="","",IF(ISBLANK(Catalog!F22),"Missing Creator; ","")&amp;IF(ISBLANK(Catalog!K22),"Missing Type; ","")&amp;IF(ISBLANK(Catalog!L22),"Missing Genre; ","")&amp;IF(ISBLANK(Catalog!W22),"Missing Location Type; ","")&amp;IF(ISBLANK(Catalog!X22),"Missing Location Id; ","")&amp;IF(AND(Catalog!S22&lt;&gt;"",COUNTIF(Catalog!$S$2:$S$501,Catalog!S22)&gt;1),"Duplicate ISBN; ","")&amp;IF(AND(Catalog!B22&lt;&gt;"",COUNTIF(Catalog!$B$2:$B$501,Catalog!B22)&gt;1),"Duplicate Accession; ",""))</f>
        <v/>
      </c>
    </row>
    <row r="47">
      <c r="A47" s="23">
        <f>Catalog!A23</f>
        <v/>
      </c>
      <c r="B47" s="24">
        <f>Catalog!D23</f>
        <v/>
      </c>
      <c r="C47" s="25">
        <f>IF(Catalog!D23="","",IF(ISBLANK(Catalog!F23),"Missing Creator; ","")&amp;IF(ISBLANK(Catalog!K23),"Missing Type; ","")&amp;IF(ISBLANK(Catalog!L23),"Missing Genre; ","")&amp;IF(ISBLANK(Catalog!W23),"Missing Location Type; ","")&amp;IF(ISBLANK(Catalog!X23),"Missing Location Id; ","")&amp;IF(AND(Catalog!S23&lt;&gt;"",COUNTIF(Catalog!$S$2:$S$501,Catalog!S23)&gt;1),"Duplicate ISBN; ","")&amp;IF(AND(Catalog!B23&lt;&gt;"",COUNTIF(Catalog!$B$2:$B$501,Catalog!B23)&gt;1),"Duplicate Accession; ",""))</f>
        <v/>
      </c>
    </row>
    <row r="48">
      <c r="A48" s="23">
        <f>Catalog!A24</f>
        <v/>
      </c>
      <c r="B48" s="24">
        <f>Catalog!D24</f>
        <v/>
      </c>
      <c r="C48" s="25">
        <f>IF(Catalog!D24="","",IF(ISBLANK(Catalog!F24),"Missing Creator; ","")&amp;IF(ISBLANK(Catalog!K24),"Missing Type; ","")&amp;IF(ISBLANK(Catalog!L24),"Missing Genre; ","")&amp;IF(ISBLANK(Catalog!W24),"Missing Location Type; ","")&amp;IF(ISBLANK(Catalog!X24),"Missing Location Id; ","")&amp;IF(AND(Catalog!S24&lt;&gt;"",COUNTIF(Catalog!$S$2:$S$501,Catalog!S24)&gt;1),"Duplicate ISBN; ","")&amp;IF(AND(Catalog!B24&lt;&gt;"",COUNTIF(Catalog!$B$2:$B$501,Catalog!B24)&gt;1),"Duplicate Accession; ",""))</f>
        <v/>
      </c>
    </row>
    <row r="49">
      <c r="A49" s="23">
        <f>Catalog!A25</f>
        <v/>
      </c>
      <c r="B49" s="24">
        <f>Catalog!D25</f>
        <v/>
      </c>
      <c r="C49" s="25">
        <f>IF(Catalog!D25="","",IF(ISBLANK(Catalog!F25),"Missing Creator; ","")&amp;IF(ISBLANK(Catalog!K25),"Missing Type; ","")&amp;IF(ISBLANK(Catalog!L25),"Missing Genre; ","")&amp;IF(ISBLANK(Catalog!W25),"Missing Location Type; ","")&amp;IF(ISBLANK(Catalog!X25),"Missing Location Id; ","")&amp;IF(AND(Catalog!S25&lt;&gt;"",COUNTIF(Catalog!$S$2:$S$501,Catalog!S25)&gt;1),"Duplicate ISBN; ","")&amp;IF(AND(Catalog!B25&lt;&gt;"",COUNTIF(Catalog!$B$2:$B$501,Catalog!B25)&gt;1),"Duplicate Accession; ",""))</f>
        <v/>
      </c>
    </row>
    <row r="50">
      <c r="A50" s="23">
        <f>Catalog!A26</f>
        <v/>
      </c>
      <c r="B50" s="24">
        <f>Catalog!D26</f>
        <v/>
      </c>
      <c r="C50" s="25">
        <f>IF(Catalog!D26="","",IF(ISBLANK(Catalog!F26),"Missing Creator; ","")&amp;IF(ISBLANK(Catalog!K26),"Missing Type; ","")&amp;IF(ISBLANK(Catalog!L26),"Missing Genre; ","")&amp;IF(ISBLANK(Catalog!W26),"Missing Location Type; ","")&amp;IF(ISBLANK(Catalog!X26),"Missing Location Id; ","")&amp;IF(AND(Catalog!S26&lt;&gt;"",COUNTIF(Catalog!$S$2:$S$501,Catalog!S26)&gt;1),"Duplicate ISBN; ","")&amp;IF(AND(Catalog!B26&lt;&gt;"",COUNTIF(Catalog!$B$2:$B$501,Catalog!B26)&gt;1),"Duplicate Accession; ",""))</f>
        <v/>
      </c>
    </row>
    <row r="51">
      <c r="A51" s="23">
        <f>Catalog!A27</f>
        <v/>
      </c>
      <c r="B51" s="24">
        <f>Catalog!D27</f>
        <v/>
      </c>
      <c r="C51" s="25">
        <f>IF(Catalog!D27="","",IF(ISBLANK(Catalog!F27),"Missing Creator; ","")&amp;IF(ISBLANK(Catalog!K27),"Missing Type; ","")&amp;IF(ISBLANK(Catalog!L27),"Missing Genre; ","")&amp;IF(ISBLANK(Catalog!W27),"Missing Location Type; ","")&amp;IF(ISBLANK(Catalog!X27),"Missing Location Id; ","")&amp;IF(AND(Catalog!S27&lt;&gt;"",COUNTIF(Catalog!$S$2:$S$501,Catalog!S27)&gt;1),"Duplicate ISBN; ","")&amp;IF(AND(Catalog!B27&lt;&gt;"",COUNTIF(Catalog!$B$2:$B$501,Catalog!B27)&gt;1),"Duplicate Accession; ",""))</f>
        <v/>
      </c>
    </row>
    <row r="52">
      <c r="A52" s="23">
        <f>Catalog!A28</f>
        <v/>
      </c>
      <c r="B52" s="24">
        <f>Catalog!D28</f>
        <v/>
      </c>
      <c r="C52" s="25">
        <f>IF(Catalog!D28="","",IF(ISBLANK(Catalog!F28),"Missing Creator; ","")&amp;IF(ISBLANK(Catalog!K28),"Missing Type; ","")&amp;IF(ISBLANK(Catalog!L28),"Missing Genre; ","")&amp;IF(ISBLANK(Catalog!W28),"Missing Location Type; ","")&amp;IF(ISBLANK(Catalog!X28),"Missing Location Id; ","")&amp;IF(AND(Catalog!S28&lt;&gt;"",COUNTIF(Catalog!$S$2:$S$501,Catalog!S28)&gt;1),"Duplicate ISBN; ","")&amp;IF(AND(Catalog!B28&lt;&gt;"",COUNTIF(Catalog!$B$2:$B$501,Catalog!B28)&gt;1),"Duplicate Accession; ",""))</f>
        <v/>
      </c>
    </row>
    <row r="53">
      <c r="A53" s="23">
        <f>Catalog!A29</f>
        <v/>
      </c>
      <c r="B53" s="24">
        <f>Catalog!D29</f>
        <v/>
      </c>
      <c r="C53" s="25">
        <f>IF(Catalog!D29="","",IF(ISBLANK(Catalog!F29),"Missing Creator; ","")&amp;IF(ISBLANK(Catalog!K29),"Missing Type; ","")&amp;IF(ISBLANK(Catalog!L29),"Missing Genre; ","")&amp;IF(ISBLANK(Catalog!W29),"Missing Location Type; ","")&amp;IF(ISBLANK(Catalog!X29),"Missing Location Id; ","")&amp;IF(AND(Catalog!S29&lt;&gt;"",COUNTIF(Catalog!$S$2:$S$501,Catalog!S29)&gt;1),"Duplicate ISBN; ","")&amp;IF(AND(Catalog!B29&lt;&gt;"",COUNTIF(Catalog!$B$2:$B$501,Catalog!B29)&gt;1),"Duplicate Accession; ",""))</f>
        <v/>
      </c>
    </row>
    <row r="54">
      <c r="A54" s="23">
        <f>Catalog!A30</f>
        <v/>
      </c>
      <c r="B54" s="24">
        <f>Catalog!D30</f>
        <v/>
      </c>
      <c r="C54" s="25">
        <f>IF(Catalog!D30="","",IF(ISBLANK(Catalog!F30),"Missing Creator; ","")&amp;IF(ISBLANK(Catalog!K30),"Missing Type; ","")&amp;IF(ISBLANK(Catalog!L30),"Missing Genre; ","")&amp;IF(ISBLANK(Catalog!W30),"Missing Location Type; ","")&amp;IF(ISBLANK(Catalog!X30),"Missing Location Id; ","")&amp;IF(AND(Catalog!S30&lt;&gt;"",COUNTIF(Catalog!$S$2:$S$501,Catalog!S30)&gt;1),"Duplicate ISBN; ","")&amp;IF(AND(Catalog!B30&lt;&gt;"",COUNTIF(Catalog!$B$2:$B$501,Catalog!B30)&gt;1),"Duplicate Accession; ",""))</f>
        <v/>
      </c>
    </row>
    <row r="55">
      <c r="A55" s="23">
        <f>Catalog!A31</f>
        <v/>
      </c>
      <c r="B55" s="24">
        <f>Catalog!D31</f>
        <v/>
      </c>
      <c r="C55" s="25">
        <f>IF(Catalog!D31="","",IF(ISBLANK(Catalog!F31),"Missing Creator; ","")&amp;IF(ISBLANK(Catalog!K31),"Missing Type; ","")&amp;IF(ISBLANK(Catalog!L31),"Missing Genre; ","")&amp;IF(ISBLANK(Catalog!W31),"Missing Location Type; ","")&amp;IF(ISBLANK(Catalog!X31),"Missing Location Id; ","")&amp;IF(AND(Catalog!S31&lt;&gt;"",COUNTIF(Catalog!$S$2:$S$501,Catalog!S31)&gt;1),"Duplicate ISBN; ","")&amp;IF(AND(Catalog!B31&lt;&gt;"",COUNTIF(Catalog!$B$2:$B$501,Catalog!B31)&gt;1),"Duplicate Accession; ",""))</f>
        <v/>
      </c>
    </row>
    <row r="56">
      <c r="A56" s="23">
        <f>Catalog!A32</f>
        <v/>
      </c>
      <c r="B56" s="24">
        <f>Catalog!D32</f>
        <v/>
      </c>
      <c r="C56" s="25">
        <f>IF(Catalog!D32="","",IF(ISBLANK(Catalog!F32),"Missing Creator; ","")&amp;IF(ISBLANK(Catalog!K32),"Missing Type; ","")&amp;IF(ISBLANK(Catalog!L32),"Missing Genre; ","")&amp;IF(ISBLANK(Catalog!W32),"Missing Location Type; ","")&amp;IF(ISBLANK(Catalog!X32),"Missing Location Id; ","")&amp;IF(AND(Catalog!S32&lt;&gt;"",COUNTIF(Catalog!$S$2:$S$501,Catalog!S32)&gt;1),"Duplicate ISBN; ","")&amp;IF(AND(Catalog!B32&lt;&gt;"",COUNTIF(Catalog!$B$2:$B$501,Catalog!B32)&gt;1),"Duplicate Accession; ",""))</f>
        <v/>
      </c>
    </row>
    <row r="57">
      <c r="A57" s="23">
        <f>Catalog!A33</f>
        <v/>
      </c>
      <c r="B57" s="24">
        <f>Catalog!D33</f>
        <v/>
      </c>
      <c r="C57" s="25">
        <f>IF(Catalog!D33="","",IF(ISBLANK(Catalog!F33),"Missing Creator; ","")&amp;IF(ISBLANK(Catalog!K33),"Missing Type; ","")&amp;IF(ISBLANK(Catalog!L33),"Missing Genre; ","")&amp;IF(ISBLANK(Catalog!W33),"Missing Location Type; ","")&amp;IF(ISBLANK(Catalog!X33),"Missing Location Id; ","")&amp;IF(AND(Catalog!S33&lt;&gt;"",COUNTIF(Catalog!$S$2:$S$501,Catalog!S33)&gt;1),"Duplicate ISBN; ","")&amp;IF(AND(Catalog!B33&lt;&gt;"",COUNTIF(Catalog!$B$2:$B$501,Catalog!B33)&gt;1),"Duplicate Accession; ",""))</f>
        <v/>
      </c>
    </row>
    <row r="58">
      <c r="A58" s="23">
        <f>Catalog!A34</f>
        <v/>
      </c>
      <c r="B58" s="24">
        <f>Catalog!D34</f>
        <v/>
      </c>
      <c r="C58" s="25">
        <f>IF(Catalog!D34="","",IF(ISBLANK(Catalog!F34),"Missing Creator; ","")&amp;IF(ISBLANK(Catalog!K34),"Missing Type; ","")&amp;IF(ISBLANK(Catalog!L34),"Missing Genre; ","")&amp;IF(ISBLANK(Catalog!W34),"Missing Location Type; ","")&amp;IF(ISBLANK(Catalog!X34),"Missing Location Id; ","")&amp;IF(AND(Catalog!S34&lt;&gt;"",COUNTIF(Catalog!$S$2:$S$501,Catalog!S34)&gt;1),"Duplicate ISBN; ","")&amp;IF(AND(Catalog!B34&lt;&gt;"",COUNTIF(Catalog!$B$2:$B$501,Catalog!B34)&gt;1),"Duplicate Accession; ",""))</f>
        <v/>
      </c>
    </row>
    <row r="59">
      <c r="A59" s="23">
        <f>Catalog!A35</f>
        <v/>
      </c>
      <c r="B59" s="24">
        <f>Catalog!D35</f>
        <v/>
      </c>
      <c r="C59" s="25">
        <f>IF(Catalog!D35="","",IF(ISBLANK(Catalog!F35),"Missing Creator; ","")&amp;IF(ISBLANK(Catalog!K35),"Missing Type; ","")&amp;IF(ISBLANK(Catalog!L35),"Missing Genre; ","")&amp;IF(ISBLANK(Catalog!W35),"Missing Location Type; ","")&amp;IF(ISBLANK(Catalog!X35),"Missing Location Id; ","")&amp;IF(AND(Catalog!S35&lt;&gt;"",COUNTIF(Catalog!$S$2:$S$501,Catalog!S35)&gt;1),"Duplicate ISBN; ","")&amp;IF(AND(Catalog!B35&lt;&gt;"",COUNTIF(Catalog!$B$2:$B$501,Catalog!B35)&gt;1),"Duplicate Accession; ",""))</f>
        <v/>
      </c>
    </row>
    <row r="60">
      <c r="A60" s="23">
        <f>Catalog!A36</f>
        <v/>
      </c>
      <c r="B60" s="24">
        <f>Catalog!D36</f>
        <v/>
      </c>
      <c r="C60" s="25">
        <f>IF(Catalog!D36="","",IF(ISBLANK(Catalog!F36),"Missing Creator; ","")&amp;IF(ISBLANK(Catalog!K36),"Missing Type; ","")&amp;IF(ISBLANK(Catalog!L36),"Missing Genre; ","")&amp;IF(ISBLANK(Catalog!W36),"Missing Location Type; ","")&amp;IF(ISBLANK(Catalog!X36),"Missing Location Id; ","")&amp;IF(AND(Catalog!S36&lt;&gt;"",COUNTIF(Catalog!$S$2:$S$501,Catalog!S36)&gt;1),"Duplicate ISBN; ","")&amp;IF(AND(Catalog!B36&lt;&gt;"",COUNTIF(Catalog!$B$2:$B$501,Catalog!B36)&gt;1),"Duplicate Accession; ",""))</f>
        <v/>
      </c>
    </row>
    <row r="61">
      <c r="A61" s="23">
        <f>Catalog!A37</f>
        <v/>
      </c>
      <c r="B61" s="24">
        <f>Catalog!D37</f>
        <v/>
      </c>
      <c r="C61" s="25">
        <f>IF(Catalog!D37="","",IF(ISBLANK(Catalog!F37),"Missing Creator; ","")&amp;IF(ISBLANK(Catalog!K37),"Missing Type; ","")&amp;IF(ISBLANK(Catalog!L37),"Missing Genre; ","")&amp;IF(ISBLANK(Catalog!W37),"Missing Location Type; ","")&amp;IF(ISBLANK(Catalog!X37),"Missing Location Id; ","")&amp;IF(AND(Catalog!S37&lt;&gt;"",COUNTIF(Catalog!$S$2:$S$501,Catalog!S37)&gt;1),"Duplicate ISBN; ","")&amp;IF(AND(Catalog!B37&lt;&gt;"",COUNTIF(Catalog!$B$2:$B$501,Catalog!B37)&gt;1),"Duplicate Accession; ",""))</f>
        <v/>
      </c>
    </row>
    <row r="62">
      <c r="A62" s="23">
        <f>Catalog!A38</f>
        <v/>
      </c>
      <c r="B62" s="24">
        <f>Catalog!D38</f>
        <v/>
      </c>
      <c r="C62" s="25">
        <f>IF(Catalog!D38="","",IF(ISBLANK(Catalog!F38),"Missing Creator; ","")&amp;IF(ISBLANK(Catalog!K38),"Missing Type; ","")&amp;IF(ISBLANK(Catalog!L38),"Missing Genre; ","")&amp;IF(ISBLANK(Catalog!W38),"Missing Location Type; ","")&amp;IF(ISBLANK(Catalog!X38),"Missing Location Id; ","")&amp;IF(AND(Catalog!S38&lt;&gt;"",COUNTIF(Catalog!$S$2:$S$501,Catalog!S38)&gt;1),"Duplicate ISBN; ","")&amp;IF(AND(Catalog!B38&lt;&gt;"",COUNTIF(Catalog!$B$2:$B$501,Catalog!B38)&gt;1),"Duplicate Accession; ",""))</f>
        <v/>
      </c>
    </row>
    <row r="63">
      <c r="A63" s="23">
        <f>Catalog!A39</f>
        <v/>
      </c>
      <c r="B63" s="24">
        <f>Catalog!D39</f>
        <v/>
      </c>
      <c r="C63" s="25">
        <f>IF(Catalog!D39="","",IF(ISBLANK(Catalog!F39),"Missing Creator; ","")&amp;IF(ISBLANK(Catalog!K39),"Missing Type; ","")&amp;IF(ISBLANK(Catalog!L39),"Missing Genre; ","")&amp;IF(ISBLANK(Catalog!W39),"Missing Location Type; ","")&amp;IF(ISBLANK(Catalog!X39),"Missing Location Id; ","")&amp;IF(AND(Catalog!S39&lt;&gt;"",COUNTIF(Catalog!$S$2:$S$501,Catalog!S39)&gt;1),"Duplicate ISBN; ","")&amp;IF(AND(Catalog!B39&lt;&gt;"",COUNTIF(Catalog!$B$2:$B$501,Catalog!B39)&gt;1),"Duplicate Accession; ",""))</f>
        <v/>
      </c>
    </row>
    <row r="64">
      <c r="A64" s="23">
        <f>Catalog!A40</f>
        <v/>
      </c>
      <c r="B64" s="24">
        <f>Catalog!D40</f>
        <v/>
      </c>
      <c r="C64" s="25">
        <f>IF(Catalog!D40="","",IF(ISBLANK(Catalog!F40),"Missing Creator; ","")&amp;IF(ISBLANK(Catalog!K40),"Missing Type; ","")&amp;IF(ISBLANK(Catalog!L40),"Missing Genre; ","")&amp;IF(ISBLANK(Catalog!W40),"Missing Location Type; ","")&amp;IF(ISBLANK(Catalog!X40),"Missing Location Id; ","")&amp;IF(AND(Catalog!S40&lt;&gt;"",COUNTIF(Catalog!$S$2:$S$501,Catalog!S40)&gt;1),"Duplicate ISBN; ","")&amp;IF(AND(Catalog!B40&lt;&gt;"",COUNTIF(Catalog!$B$2:$B$501,Catalog!B40)&gt;1),"Duplicate Accession; ",""))</f>
        <v/>
      </c>
    </row>
    <row r="65">
      <c r="A65" s="23">
        <f>Catalog!A41</f>
        <v/>
      </c>
      <c r="B65" s="24">
        <f>Catalog!D41</f>
        <v/>
      </c>
      <c r="C65" s="25">
        <f>IF(Catalog!D41="","",IF(ISBLANK(Catalog!F41),"Missing Creator; ","")&amp;IF(ISBLANK(Catalog!K41),"Missing Type; ","")&amp;IF(ISBLANK(Catalog!L41),"Missing Genre; ","")&amp;IF(ISBLANK(Catalog!W41),"Missing Location Type; ","")&amp;IF(ISBLANK(Catalog!X41),"Missing Location Id; ","")&amp;IF(AND(Catalog!S41&lt;&gt;"",COUNTIF(Catalog!$S$2:$S$501,Catalog!S41)&gt;1),"Duplicate ISBN; ","")&amp;IF(AND(Catalog!B41&lt;&gt;"",COUNTIF(Catalog!$B$2:$B$501,Catalog!B41)&gt;1),"Duplicate Accession; ",""))</f>
        <v/>
      </c>
    </row>
    <row r="66">
      <c r="A66" s="23">
        <f>Catalog!A42</f>
        <v/>
      </c>
      <c r="B66" s="24">
        <f>Catalog!D42</f>
        <v/>
      </c>
      <c r="C66" s="25">
        <f>IF(Catalog!D42="","",IF(ISBLANK(Catalog!F42),"Missing Creator; ","")&amp;IF(ISBLANK(Catalog!K42),"Missing Type; ","")&amp;IF(ISBLANK(Catalog!L42),"Missing Genre; ","")&amp;IF(ISBLANK(Catalog!W42),"Missing Location Type; ","")&amp;IF(ISBLANK(Catalog!X42),"Missing Location Id; ","")&amp;IF(AND(Catalog!S42&lt;&gt;"",COUNTIF(Catalog!$S$2:$S$501,Catalog!S42)&gt;1),"Duplicate ISBN; ","")&amp;IF(AND(Catalog!B42&lt;&gt;"",COUNTIF(Catalog!$B$2:$B$501,Catalog!B42)&gt;1),"Duplicate Accession; ",""))</f>
        <v/>
      </c>
    </row>
    <row r="67">
      <c r="A67" s="23">
        <f>Catalog!A43</f>
        <v/>
      </c>
      <c r="B67" s="24">
        <f>Catalog!D43</f>
        <v/>
      </c>
      <c r="C67" s="25">
        <f>IF(Catalog!D43="","",IF(ISBLANK(Catalog!F43),"Missing Creator; ","")&amp;IF(ISBLANK(Catalog!K43),"Missing Type; ","")&amp;IF(ISBLANK(Catalog!L43),"Missing Genre; ","")&amp;IF(ISBLANK(Catalog!W43),"Missing Location Type; ","")&amp;IF(ISBLANK(Catalog!X43),"Missing Location Id; ","")&amp;IF(AND(Catalog!S43&lt;&gt;"",COUNTIF(Catalog!$S$2:$S$501,Catalog!S43)&gt;1),"Duplicate ISBN; ","")&amp;IF(AND(Catalog!B43&lt;&gt;"",COUNTIF(Catalog!$B$2:$B$501,Catalog!B43)&gt;1),"Duplicate Accession; ",""))</f>
        <v/>
      </c>
    </row>
    <row r="68">
      <c r="A68" s="23">
        <f>Catalog!A44</f>
        <v/>
      </c>
      <c r="B68" s="24">
        <f>Catalog!D44</f>
        <v/>
      </c>
      <c r="C68" s="25">
        <f>IF(Catalog!D44="","",IF(ISBLANK(Catalog!F44),"Missing Creator; ","")&amp;IF(ISBLANK(Catalog!K44),"Missing Type; ","")&amp;IF(ISBLANK(Catalog!L44),"Missing Genre; ","")&amp;IF(ISBLANK(Catalog!W44),"Missing Location Type; ","")&amp;IF(ISBLANK(Catalog!X44),"Missing Location Id; ","")&amp;IF(AND(Catalog!S44&lt;&gt;"",COUNTIF(Catalog!$S$2:$S$501,Catalog!S44)&gt;1),"Duplicate ISBN; ","")&amp;IF(AND(Catalog!B44&lt;&gt;"",COUNTIF(Catalog!$B$2:$B$501,Catalog!B44)&gt;1),"Duplicate Accession; ",""))</f>
        <v/>
      </c>
    </row>
    <row r="69">
      <c r="A69" s="23">
        <f>Catalog!A45</f>
        <v/>
      </c>
      <c r="B69" s="24">
        <f>Catalog!D45</f>
        <v/>
      </c>
      <c r="C69" s="25">
        <f>IF(Catalog!D45="","",IF(ISBLANK(Catalog!F45),"Missing Creator; ","")&amp;IF(ISBLANK(Catalog!K45),"Missing Type; ","")&amp;IF(ISBLANK(Catalog!L45),"Missing Genre; ","")&amp;IF(ISBLANK(Catalog!W45),"Missing Location Type; ","")&amp;IF(ISBLANK(Catalog!X45),"Missing Location Id; ","")&amp;IF(AND(Catalog!S45&lt;&gt;"",COUNTIF(Catalog!$S$2:$S$501,Catalog!S45)&gt;1),"Duplicate ISBN; ","")&amp;IF(AND(Catalog!B45&lt;&gt;"",COUNTIF(Catalog!$B$2:$B$501,Catalog!B45)&gt;1),"Duplicate Accession; ",""))</f>
        <v/>
      </c>
    </row>
    <row r="70">
      <c r="A70" s="23">
        <f>Catalog!A46</f>
        <v/>
      </c>
      <c r="B70" s="24">
        <f>Catalog!D46</f>
        <v/>
      </c>
      <c r="C70" s="25">
        <f>IF(Catalog!D46="","",IF(ISBLANK(Catalog!F46),"Missing Creator; ","")&amp;IF(ISBLANK(Catalog!K46),"Missing Type; ","")&amp;IF(ISBLANK(Catalog!L46),"Missing Genre; ","")&amp;IF(ISBLANK(Catalog!W46),"Missing Location Type; ","")&amp;IF(ISBLANK(Catalog!X46),"Missing Location Id; ","")&amp;IF(AND(Catalog!S46&lt;&gt;"",COUNTIF(Catalog!$S$2:$S$501,Catalog!S46)&gt;1),"Duplicate ISBN; ","")&amp;IF(AND(Catalog!B46&lt;&gt;"",COUNTIF(Catalog!$B$2:$B$501,Catalog!B46)&gt;1),"Duplicate Accession; ",""))</f>
        <v/>
      </c>
    </row>
    <row r="71">
      <c r="A71" s="23">
        <f>Catalog!A47</f>
        <v/>
      </c>
      <c r="B71" s="24">
        <f>Catalog!D47</f>
        <v/>
      </c>
      <c r="C71" s="25">
        <f>IF(Catalog!D47="","",IF(ISBLANK(Catalog!F47),"Missing Creator; ","")&amp;IF(ISBLANK(Catalog!K47),"Missing Type; ","")&amp;IF(ISBLANK(Catalog!L47),"Missing Genre; ","")&amp;IF(ISBLANK(Catalog!W47),"Missing Location Type; ","")&amp;IF(ISBLANK(Catalog!X47),"Missing Location Id; ","")&amp;IF(AND(Catalog!S47&lt;&gt;"",COUNTIF(Catalog!$S$2:$S$501,Catalog!S47)&gt;1),"Duplicate ISBN; ","")&amp;IF(AND(Catalog!B47&lt;&gt;"",COUNTIF(Catalog!$B$2:$B$501,Catalog!B47)&gt;1),"Duplicate Accession; ",""))</f>
        <v/>
      </c>
    </row>
    <row r="72">
      <c r="A72" s="23">
        <f>Catalog!A48</f>
        <v/>
      </c>
      <c r="B72" s="24">
        <f>Catalog!D48</f>
        <v/>
      </c>
      <c r="C72" s="25">
        <f>IF(Catalog!D48="","",IF(ISBLANK(Catalog!F48),"Missing Creator; ","")&amp;IF(ISBLANK(Catalog!K48),"Missing Type; ","")&amp;IF(ISBLANK(Catalog!L48),"Missing Genre; ","")&amp;IF(ISBLANK(Catalog!W48),"Missing Location Type; ","")&amp;IF(ISBLANK(Catalog!X48),"Missing Location Id; ","")&amp;IF(AND(Catalog!S48&lt;&gt;"",COUNTIF(Catalog!$S$2:$S$501,Catalog!S48)&gt;1),"Duplicate ISBN; ","")&amp;IF(AND(Catalog!B48&lt;&gt;"",COUNTIF(Catalog!$B$2:$B$501,Catalog!B48)&gt;1),"Duplicate Accession; ",""))</f>
        <v/>
      </c>
    </row>
    <row r="73">
      <c r="A73" s="23">
        <f>Catalog!A49</f>
        <v/>
      </c>
      <c r="B73" s="24">
        <f>Catalog!D49</f>
        <v/>
      </c>
      <c r="C73" s="25">
        <f>IF(Catalog!D49="","",IF(ISBLANK(Catalog!F49),"Missing Creator; ","")&amp;IF(ISBLANK(Catalog!K49),"Missing Type; ","")&amp;IF(ISBLANK(Catalog!L49),"Missing Genre; ","")&amp;IF(ISBLANK(Catalog!W49),"Missing Location Type; ","")&amp;IF(ISBLANK(Catalog!X49),"Missing Location Id; ","")&amp;IF(AND(Catalog!S49&lt;&gt;"",COUNTIF(Catalog!$S$2:$S$501,Catalog!S49)&gt;1),"Duplicate ISBN; ","")&amp;IF(AND(Catalog!B49&lt;&gt;"",COUNTIF(Catalog!$B$2:$B$501,Catalog!B49)&gt;1),"Duplicate Accession; ",""))</f>
        <v/>
      </c>
    </row>
    <row r="74">
      <c r="A74" s="23">
        <f>Catalog!A50</f>
        <v/>
      </c>
      <c r="B74" s="24">
        <f>Catalog!D50</f>
        <v/>
      </c>
      <c r="C74" s="25">
        <f>IF(Catalog!D50="","",IF(ISBLANK(Catalog!F50),"Missing Creator; ","")&amp;IF(ISBLANK(Catalog!K50),"Missing Type; ","")&amp;IF(ISBLANK(Catalog!L50),"Missing Genre; ","")&amp;IF(ISBLANK(Catalog!W50),"Missing Location Type; ","")&amp;IF(ISBLANK(Catalog!X50),"Missing Location Id; ","")&amp;IF(AND(Catalog!S50&lt;&gt;"",COUNTIF(Catalog!$S$2:$S$501,Catalog!S50)&gt;1),"Duplicate ISBN; ","")&amp;IF(AND(Catalog!B50&lt;&gt;"",COUNTIF(Catalog!$B$2:$B$501,Catalog!B50)&gt;1),"Duplicate Accession; ",""))</f>
        <v/>
      </c>
    </row>
    <row r="75">
      <c r="A75" s="23">
        <f>Catalog!A51</f>
        <v/>
      </c>
      <c r="B75" s="24">
        <f>Catalog!D51</f>
        <v/>
      </c>
      <c r="C75" s="25">
        <f>IF(Catalog!D51="","",IF(ISBLANK(Catalog!F51),"Missing Creator; ","")&amp;IF(ISBLANK(Catalog!K51),"Missing Type; ","")&amp;IF(ISBLANK(Catalog!L51),"Missing Genre; ","")&amp;IF(ISBLANK(Catalog!W51),"Missing Location Type; ","")&amp;IF(ISBLANK(Catalog!X51),"Missing Location Id; ","")&amp;IF(AND(Catalog!S51&lt;&gt;"",COUNTIF(Catalog!$S$2:$S$501,Catalog!S51)&gt;1),"Duplicate ISBN; ","")&amp;IF(AND(Catalog!B51&lt;&gt;"",COUNTIF(Catalog!$B$2:$B$501,Catalog!B51)&gt;1),"Duplicate Accession; ",""))</f>
        <v/>
      </c>
    </row>
    <row r="76">
      <c r="A76" s="23">
        <f>Catalog!A52</f>
        <v/>
      </c>
      <c r="B76" s="24">
        <f>Catalog!D52</f>
        <v/>
      </c>
      <c r="C76" s="25">
        <f>IF(Catalog!D52="","",IF(ISBLANK(Catalog!F52),"Missing Creator; ","")&amp;IF(ISBLANK(Catalog!K52),"Missing Type; ","")&amp;IF(ISBLANK(Catalog!L52),"Missing Genre; ","")&amp;IF(ISBLANK(Catalog!W52),"Missing Location Type; ","")&amp;IF(ISBLANK(Catalog!X52),"Missing Location Id; ","")&amp;IF(AND(Catalog!S52&lt;&gt;"",COUNTIF(Catalog!$S$2:$S$501,Catalog!S52)&gt;1),"Duplicate ISBN; ","")&amp;IF(AND(Catalog!B52&lt;&gt;"",COUNTIF(Catalog!$B$2:$B$501,Catalog!B52)&gt;1),"Duplicate Accession; ",""))</f>
        <v/>
      </c>
    </row>
    <row r="77">
      <c r="A77" s="23">
        <f>Catalog!A53</f>
        <v/>
      </c>
      <c r="B77" s="24">
        <f>Catalog!D53</f>
        <v/>
      </c>
      <c r="C77" s="25">
        <f>IF(Catalog!D53="","",IF(ISBLANK(Catalog!F53),"Missing Creator; ","")&amp;IF(ISBLANK(Catalog!K53),"Missing Type; ","")&amp;IF(ISBLANK(Catalog!L53),"Missing Genre; ","")&amp;IF(ISBLANK(Catalog!W53),"Missing Location Type; ","")&amp;IF(ISBLANK(Catalog!X53),"Missing Location Id; ","")&amp;IF(AND(Catalog!S53&lt;&gt;"",COUNTIF(Catalog!$S$2:$S$501,Catalog!S53)&gt;1),"Duplicate ISBN; ","")&amp;IF(AND(Catalog!B53&lt;&gt;"",COUNTIF(Catalog!$B$2:$B$501,Catalog!B53)&gt;1),"Duplicate Accession; ",""))</f>
        <v/>
      </c>
    </row>
    <row r="78">
      <c r="A78" s="23">
        <f>Catalog!A54</f>
        <v/>
      </c>
      <c r="B78" s="24">
        <f>Catalog!D54</f>
        <v/>
      </c>
      <c r="C78" s="25">
        <f>IF(Catalog!D54="","",IF(ISBLANK(Catalog!F54),"Missing Creator; ","")&amp;IF(ISBLANK(Catalog!K54),"Missing Type; ","")&amp;IF(ISBLANK(Catalog!L54),"Missing Genre; ","")&amp;IF(ISBLANK(Catalog!W54),"Missing Location Type; ","")&amp;IF(ISBLANK(Catalog!X54),"Missing Location Id; ","")&amp;IF(AND(Catalog!S54&lt;&gt;"",COUNTIF(Catalog!$S$2:$S$501,Catalog!S54)&gt;1),"Duplicate ISBN; ","")&amp;IF(AND(Catalog!B54&lt;&gt;"",COUNTIF(Catalog!$B$2:$B$501,Catalog!B54)&gt;1),"Duplicate Accession; ",""))</f>
        <v/>
      </c>
    </row>
    <row r="79">
      <c r="A79" s="23">
        <f>Catalog!A55</f>
        <v/>
      </c>
      <c r="B79" s="24">
        <f>Catalog!D55</f>
        <v/>
      </c>
      <c r="C79" s="25">
        <f>IF(Catalog!D55="","",IF(ISBLANK(Catalog!F55),"Missing Creator; ","")&amp;IF(ISBLANK(Catalog!K55),"Missing Type; ","")&amp;IF(ISBLANK(Catalog!L55),"Missing Genre; ","")&amp;IF(ISBLANK(Catalog!W55),"Missing Location Type; ","")&amp;IF(ISBLANK(Catalog!X55),"Missing Location Id; ","")&amp;IF(AND(Catalog!S55&lt;&gt;"",COUNTIF(Catalog!$S$2:$S$501,Catalog!S55)&gt;1),"Duplicate ISBN; ","")&amp;IF(AND(Catalog!B55&lt;&gt;"",COUNTIF(Catalog!$B$2:$B$501,Catalog!B55)&gt;1),"Duplicate Accession; ",""))</f>
        <v/>
      </c>
    </row>
    <row r="80">
      <c r="A80" s="23">
        <f>Catalog!A56</f>
        <v/>
      </c>
      <c r="B80" s="24">
        <f>Catalog!D56</f>
        <v/>
      </c>
      <c r="C80" s="25">
        <f>IF(Catalog!D56="","",IF(ISBLANK(Catalog!F56),"Missing Creator; ","")&amp;IF(ISBLANK(Catalog!K56),"Missing Type; ","")&amp;IF(ISBLANK(Catalog!L56),"Missing Genre; ","")&amp;IF(ISBLANK(Catalog!W56),"Missing Location Type; ","")&amp;IF(ISBLANK(Catalog!X56),"Missing Location Id; ","")&amp;IF(AND(Catalog!S56&lt;&gt;"",COUNTIF(Catalog!$S$2:$S$501,Catalog!S56)&gt;1),"Duplicate ISBN; ","")&amp;IF(AND(Catalog!B56&lt;&gt;"",COUNTIF(Catalog!$B$2:$B$501,Catalog!B56)&gt;1),"Duplicate Accession; ",""))</f>
        <v/>
      </c>
    </row>
    <row r="81">
      <c r="A81" s="23">
        <f>Catalog!A57</f>
        <v/>
      </c>
      <c r="B81" s="24">
        <f>Catalog!D57</f>
        <v/>
      </c>
      <c r="C81" s="25">
        <f>IF(Catalog!D57="","",IF(ISBLANK(Catalog!F57),"Missing Creator; ","")&amp;IF(ISBLANK(Catalog!K57),"Missing Type; ","")&amp;IF(ISBLANK(Catalog!L57),"Missing Genre; ","")&amp;IF(ISBLANK(Catalog!W57),"Missing Location Type; ","")&amp;IF(ISBLANK(Catalog!X57),"Missing Location Id; ","")&amp;IF(AND(Catalog!S57&lt;&gt;"",COUNTIF(Catalog!$S$2:$S$501,Catalog!S57)&gt;1),"Duplicate ISBN; ","")&amp;IF(AND(Catalog!B57&lt;&gt;"",COUNTIF(Catalog!$B$2:$B$501,Catalog!B57)&gt;1),"Duplicate Accession; ",""))</f>
        <v/>
      </c>
    </row>
    <row r="82">
      <c r="A82" s="23">
        <f>Catalog!A58</f>
        <v/>
      </c>
      <c r="B82" s="24">
        <f>Catalog!D58</f>
        <v/>
      </c>
      <c r="C82" s="25">
        <f>IF(Catalog!D58="","",IF(ISBLANK(Catalog!F58),"Missing Creator; ","")&amp;IF(ISBLANK(Catalog!K58),"Missing Type; ","")&amp;IF(ISBLANK(Catalog!L58),"Missing Genre; ","")&amp;IF(ISBLANK(Catalog!W58),"Missing Location Type; ","")&amp;IF(ISBLANK(Catalog!X58),"Missing Location Id; ","")&amp;IF(AND(Catalog!S58&lt;&gt;"",COUNTIF(Catalog!$S$2:$S$501,Catalog!S58)&gt;1),"Duplicate ISBN; ","")&amp;IF(AND(Catalog!B58&lt;&gt;"",COUNTIF(Catalog!$B$2:$B$501,Catalog!B58)&gt;1),"Duplicate Accession; ",""))</f>
        <v/>
      </c>
    </row>
    <row r="83">
      <c r="A83" s="23">
        <f>Catalog!A59</f>
        <v/>
      </c>
      <c r="B83" s="24">
        <f>Catalog!D59</f>
        <v/>
      </c>
      <c r="C83" s="25">
        <f>IF(Catalog!D59="","",IF(ISBLANK(Catalog!F59),"Missing Creator; ","")&amp;IF(ISBLANK(Catalog!K59),"Missing Type; ","")&amp;IF(ISBLANK(Catalog!L59),"Missing Genre; ","")&amp;IF(ISBLANK(Catalog!W59),"Missing Location Type; ","")&amp;IF(ISBLANK(Catalog!X59),"Missing Location Id; ","")&amp;IF(AND(Catalog!S59&lt;&gt;"",COUNTIF(Catalog!$S$2:$S$501,Catalog!S59)&gt;1),"Duplicate ISBN; ","")&amp;IF(AND(Catalog!B59&lt;&gt;"",COUNTIF(Catalog!$B$2:$B$501,Catalog!B59)&gt;1),"Duplicate Accession; ",""))</f>
        <v/>
      </c>
    </row>
    <row r="84">
      <c r="A84" s="23">
        <f>Catalog!A60</f>
        <v/>
      </c>
      <c r="B84" s="24">
        <f>Catalog!D60</f>
        <v/>
      </c>
      <c r="C84" s="25">
        <f>IF(Catalog!D60="","",IF(ISBLANK(Catalog!F60),"Missing Creator; ","")&amp;IF(ISBLANK(Catalog!K60),"Missing Type; ","")&amp;IF(ISBLANK(Catalog!L60),"Missing Genre; ","")&amp;IF(ISBLANK(Catalog!W60),"Missing Location Type; ","")&amp;IF(ISBLANK(Catalog!X60),"Missing Location Id; ","")&amp;IF(AND(Catalog!S60&lt;&gt;"",COUNTIF(Catalog!$S$2:$S$501,Catalog!S60)&gt;1),"Duplicate ISBN; ","")&amp;IF(AND(Catalog!B60&lt;&gt;"",COUNTIF(Catalog!$B$2:$B$501,Catalog!B60)&gt;1),"Duplicate Accession; ",""))</f>
        <v/>
      </c>
    </row>
    <row r="85">
      <c r="A85" s="23">
        <f>Catalog!A61</f>
        <v/>
      </c>
      <c r="B85" s="24">
        <f>Catalog!D61</f>
        <v/>
      </c>
      <c r="C85" s="25">
        <f>IF(Catalog!D61="","",IF(ISBLANK(Catalog!F61),"Missing Creator; ","")&amp;IF(ISBLANK(Catalog!K61),"Missing Type; ","")&amp;IF(ISBLANK(Catalog!L61),"Missing Genre; ","")&amp;IF(ISBLANK(Catalog!W61),"Missing Location Type; ","")&amp;IF(ISBLANK(Catalog!X61),"Missing Location Id; ","")&amp;IF(AND(Catalog!S61&lt;&gt;"",COUNTIF(Catalog!$S$2:$S$501,Catalog!S61)&gt;1),"Duplicate ISBN; ","")&amp;IF(AND(Catalog!B61&lt;&gt;"",COUNTIF(Catalog!$B$2:$B$501,Catalog!B61)&gt;1),"Duplicate Accession; ",""))</f>
        <v/>
      </c>
    </row>
    <row r="86">
      <c r="A86" s="23">
        <f>Catalog!A62</f>
        <v/>
      </c>
      <c r="B86" s="24">
        <f>Catalog!D62</f>
        <v/>
      </c>
      <c r="C86" s="25">
        <f>IF(Catalog!D62="","",IF(ISBLANK(Catalog!F62),"Missing Creator; ","")&amp;IF(ISBLANK(Catalog!K62),"Missing Type; ","")&amp;IF(ISBLANK(Catalog!L62),"Missing Genre; ","")&amp;IF(ISBLANK(Catalog!W62),"Missing Location Type; ","")&amp;IF(ISBLANK(Catalog!X62),"Missing Location Id; ","")&amp;IF(AND(Catalog!S62&lt;&gt;"",COUNTIF(Catalog!$S$2:$S$501,Catalog!S62)&gt;1),"Duplicate ISBN; ","")&amp;IF(AND(Catalog!B62&lt;&gt;"",COUNTIF(Catalog!$B$2:$B$501,Catalog!B62)&gt;1),"Duplicate Accession; ",""))</f>
        <v/>
      </c>
    </row>
    <row r="87">
      <c r="A87" s="23">
        <f>Catalog!A63</f>
        <v/>
      </c>
      <c r="B87" s="24">
        <f>Catalog!D63</f>
        <v/>
      </c>
      <c r="C87" s="25">
        <f>IF(Catalog!D63="","",IF(ISBLANK(Catalog!F63),"Missing Creator; ","")&amp;IF(ISBLANK(Catalog!K63),"Missing Type; ","")&amp;IF(ISBLANK(Catalog!L63),"Missing Genre; ","")&amp;IF(ISBLANK(Catalog!W63),"Missing Location Type; ","")&amp;IF(ISBLANK(Catalog!X63),"Missing Location Id; ","")&amp;IF(AND(Catalog!S63&lt;&gt;"",COUNTIF(Catalog!$S$2:$S$501,Catalog!S63)&gt;1),"Duplicate ISBN; ","")&amp;IF(AND(Catalog!B63&lt;&gt;"",COUNTIF(Catalog!$B$2:$B$501,Catalog!B63)&gt;1),"Duplicate Accession; ",""))</f>
        <v/>
      </c>
    </row>
    <row r="88">
      <c r="A88" s="23">
        <f>Catalog!A64</f>
        <v/>
      </c>
      <c r="B88" s="24">
        <f>Catalog!D64</f>
        <v/>
      </c>
      <c r="C88" s="25">
        <f>IF(Catalog!D64="","",IF(ISBLANK(Catalog!F64),"Missing Creator; ","")&amp;IF(ISBLANK(Catalog!K64),"Missing Type; ","")&amp;IF(ISBLANK(Catalog!L64),"Missing Genre; ","")&amp;IF(ISBLANK(Catalog!W64),"Missing Location Type; ","")&amp;IF(ISBLANK(Catalog!X64),"Missing Location Id; ","")&amp;IF(AND(Catalog!S64&lt;&gt;"",COUNTIF(Catalog!$S$2:$S$501,Catalog!S64)&gt;1),"Duplicate ISBN; ","")&amp;IF(AND(Catalog!B64&lt;&gt;"",COUNTIF(Catalog!$B$2:$B$501,Catalog!B64)&gt;1),"Duplicate Accession; ",""))</f>
        <v/>
      </c>
    </row>
    <row r="89">
      <c r="A89" s="23">
        <f>Catalog!A65</f>
        <v/>
      </c>
      <c r="B89" s="24">
        <f>Catalog!D65</f>
        <v/>
      </c>
      <c r="C89" s="25">
        <f>IF(Catalog!D65="","",IF(ISBLANK(Catalog!F65),"Missing Creator; ","")&amp;IF(ISBLANK(Catalog!K65),"Missing Type; ","")&amp;IF(ISBLANK(Catalog!L65),"Missing Genre; ","")&amp;IF(ISBLANK(Catalog!W65),"Missing Location Type; ","")&amp;IF(ISBLANK(Catalog!X65),"Missing Location Id; ","")&amp;IF(AND(Catalog!S65&lt;&gt;"",COUNTIF(Catalog!$S$2:$S$501,Catalog!S65)&gt;1),"Duplicate ISBN; ","")&amp;IF(AND(Catalog!B65&lt;&gt;"",COUNTIF(Catalog!$B$2:$B$501,Catalog!B65)&gt;1),"Duplicate Accession; ",""))</f>
        <v/>
      </c>
    </row>
    <row r="90">
      <c r="A90" s="23">
        <f>Catalog!A66</f>
        <v/>
      </c>
      <c r="B90" s="24">
        <f>Catalog!D66</f>
        <v/>
      </c>
      <c r="C90" s="25">
        <f>IF(Catalog!D66="","",IF(ISBLANK(Catalog!F66),"Missing Creator; ","")&amp;IF(ISBLANK(Catalog!K66),"Missing Type; ","")&amp;IF(ISBLANK(Catalog!L66),"Missing Genre; ","")&amp;IF(ISBLANK(Catalog!W66),"Missing Location Type; ","")&amp;IF(ISBLANK(Catalog!X66),"Missing Location Id; ","")&amp;IF(AND(Catalog!S66&lt;&gt;"",COUNTIF(Catalog!$S$2:$S$501,Catalog!S66)&gt;1),"Duplicate ISBN; ","")&amp;IF(AND(Catalog!B66&lt;&gt;"",COUNTIF(Catalog!$B$2:$B$501,Catalog!B66)&gt;1),"Duplicate Accession; ",""))</f>
        <v/>
      </c>
    </row>
    <row r="91">
      <c r="A91" s="23">
        <f>Catalog!A67</f>
        <v/>
      </c>
      <c r="B91" s="24">
        <f>Catalog!D67</f>
        <v/>
      </c>
      <c r="C91" s="25">
        <f>IF(Catalog!D67="","",IF(ISBLANK(Catalog!F67),"Missing Creator; ","")&amp;IF(ISBLANK(Catalog!K67),"Missing Type; ","")&amp;IF(ISBLANK(Catalog!L67),"Missing Genre; ","")&amp;IF(ISBLANK(Catalog!W67),"Missing Location Type; ","")&amp;IF(ISBLANK(Catalog!X67),"Missing Location Id; ","")&amp;IF(AND(Catalog!S67&lt;&gt;"",COUNTIF(Catalog!$S$2:$S$501,Catalog!S67)&gt;1),"Duplicate ISBN; ","")&amp;IF(AND(Catalog!B67&lt;&gt;"",COUNTIF(Catalog!$B$2:$B$501,Catalog!B67)&gt;1),"Duplicate Accession; ",""))</f>
        <v/>
      </c>
    </row>
    <row r="92">
      <c r="A92" s="23">
        <f>Catalog!A68</f>
        <v/>
      </c>
      <c r="B92" s="24">
        <f>Catalog!D68</f>
        <v/>
      </c>
      <c r="C92" s="25">
        <f>IF(Catalog!D68="","",IF(ISBLANK(Catalog!F68),"Missing Creator; ","")&amp;IF(ISBLANK(Catalog!K68),"Missing Type; ","")&amp;IF(ISBLANK(Catalog!L68),"Missing Genre; ","")&amp;IF(ISBLANK(Catalog!W68),"Missing Location Type; ","")&amp;IF(ISBLANK(Catalog!X68),"Missing Location Id; ","")&amp;IF(AND(Catalog!S68&lt;&gt;"",COUNTIF(Catalog!$S$2:$S$501,Catalog!S68)&gt;1),"Duplicate ISBN; ","")&amp;IF(AND(Catalog!B68&lt;&gt;"",COUNTIF(Catalog!$B$2:$B$501,Catalog!B68)&gt;1),"Duplicate Accession; ",""))</f>
        <v/>
      </c>
    </row>
    <row r="93">
      <c r="A93" s="23">
        <f>Catalog!A69</f>
        <v/>
      </c>
      <c r="B93" s="24">
        <f>Catalog!D69</f>
        <v/>
      </c>
      <c r="C93" s="25">
        <f>IF(Catalog!D69="","",IF(ISBLANK(Catalog!F69),"Missing Creator; ","")&amp;IF(ISBLANK(Catalog!K69),"Missing Type; ","")&amp;IF(ISBLANK(Catalog!L69),"Missing Genre; ","")&amp;IF(ISBLANK(Catalog!W69),"Missing Location Type; ","")&amp;IF(ISBLANK(Catalog!X69),"Missing Location Id; ","")&amp;IF(AND(Catalog!S69&lt;&gt;"",COUNTIF(Catalog!$S$2:$S$501,Catalog!S69)&gt;1),"Duplicate ISBN; ","")&amp;IF(AND(Catalog!B69&lt;&gt;"",COUNTIF(Catalog!$B$2:$B$501,Catalog!B69)&gt;1),"Duplicate Accession; ",""))</f>
        <v/>
      </c>
    </row>
    <row r="94">
      <c r="A94" s="23">
        <f>Catalog!A70</f>
        <v/>
      </c>
      <c r="B94" s="24">
        <f>Catalog!D70</f>
        <v/>
      </c>
      <c r="C94" s="25">
        <f>IF(Catalog!D70="","",IF(ISBLANK(Catalog!F70),"Missing Creator; ","")&amp;IF(ISBLANK(Catalog!K70),"Missing Type; ","")&amp;IF(ISBLANK(Catalog!L70),"Missing Genre; ","")&amp;IF(ISBLANK(Catalog!W70),"Missing Location Type; ","")&amp;IF(ISBLANK(Catalog!X70),"Missing Location Id; ","")&amp;IF(AND(Catalog!S70&lt;&gt;"",COUNTIF(Catalog!$S$2:$S$501,Catalog!S70)&gt;1),"Duplicate ISBN; ","")&amp;IF(AND(Catalog!B70&lt;&gt;"",COUNTIF(Catalog!$B$2:$B$501,Catalog!B70)&gt;1),"Duplicate Accession; ",""))</f>
        <v/>
      </c>
    </row>
    <row r="95">
      <c r="A95" s="23">
        <f>Catalog!A71</f>
        <v/>
      </c>
      <c r="B95" s="24">
        <f>Catalog!D71</f>
        <v/>
      </c>
      <c r="C95" s="25">
        <f>IF(Catalog!D71="","",IF(ISBLANK(Catalog!F71),"Missing Creator; ","")&amp;IF(ISBLANK(Catalog!K71),"Missing Type; ","")&amp;IF(ISBLANK(Catalog!L71),"Missing Genre; ","")&amp;IF(ISBLANK(Catalog!W71),"Missing Location Type; ","")&amp;IF(ISBLANK(Catalog!X71),"Missing Location Id; ","")&amp;IF(AND(Catalog!S71&lt;&gt;"",COUNTIF(Catalog!$S$2:$S$501,Catalog!S71)&gt;1),"Duplicate ISBN; ","")&amp;IF(AND(Catalog!B71&lt;&gt;"",COUNTIF(Catalog!$B$2:$B$501,Catalog!B71)&gt;1),"Duplicate Accession; ",""))</f>
        <v/>
      </c>
    </row>
    <row r="96">
      <c r="A96" s="23">
        <f>Catalog!A72</f>
        <v/>
      </c>
      <c r="B96" s="24">
        <f>Catalog!D72</f>
        <v/>
      </c>
      <c r="C96" s="25">
        <f>IF(Catalog!D72="","",IF(ISBLANK(Catalog!F72),"Missing Creator; ","")&amp;IF(ISBLANK(Catalog!K72),"Missing Type; ","")&amp;IF(ISBLANK(Catalog!L72),"Missing Genre; ","")&amp;IF(ISBLANK(Catalog!W72),"Missing Location Type; ","")&amp;IF(ISBLANK(Catalog!X72),"Missing Location Id; ","")&amp;IF(AND(Catalog!S72&lt;&gt;"",COUNTIF(Catalog!$S$2:$S$501,Catalog!S72)&gt;1),"Duplicate ISBN; ","")&amp;IF(AND(Catalog!B72&lt;&gt;"",COUNTIF(Catalog!$B$2:$B$501,Catalog!B72)&gt;1),"Duplicate Accession; ",""))</f>
        <v/>
      </c>
    </row>
    <row r="97">
      <c r="A97" s="23">
        <f>Catalog!A73</f>
        <v/>
      </c>
      <c r="B97" s="24">
        <f>Catalog!D73</f>
        <v/>
      </c>
      <c r="C97" s="25">
        <f>IF(Catalog!D73="","",IF(ISBLANK(Catalog!F73),"Missing Creator; ","")&amp;IF(ISBLANK(Catalog!K73),"Missing Type; ","")&amp;IF(ISBLANK(Catalog!L73),"Missing Genre; ","")&amp;IF(ISBLANK(Catalog!W73),"Missing Location Type; ","")&amp;IF(ISBLANK(Catalog!X73),"Missing Location Id; ","")&amp;IF(AND(Catalog!S73&lt;&gt;"",COUNTIF(Catalog!$S$2:$S$501,Catalog!S73)&gt;1),"Duplicate ISBN; ","")&amp;IF(AND(Catalog!B73&lt;&gt;"",COUNTIF(Catalog!$B$2:$B$501,Catalog!B73)&gt;1),"Duplicate Accession; ",""))</f>
        <v/>
      </c>
    </row>
    <row r="98">
      <c r="A98" s="23">
        <f>Catalog!A74</f>
        <v/>
      </c>
      <c r="B98" s="24">
        <f>Catalog!D74</f>
        <v/>
      </c>
      <c r="C98" s="25">
        <f>IF(Catalog!D74="","",IF(ISBLANK(Catalog!F74),"Missing Creator; ","")&amp;IF(ISBLANK(Catalog!K74),"Missing Type; ","")&amp;IF(ISBLANK(Catalog!L74),"Missing Genre; ","")&amp;IF(ISBLANK(Catalog!W74),"Missing Location Type; ","")&amp;IF(ISBLANK(Catalog!X74),"Missing Location Id; ","")&amp;IF(AND(Catalog!S74&lt;&gt;"",COUNTIF(Catalog!$S$2:$S$501,Catalog!S74)&gt;1),"Duplicate ISBN; ","")&amp;IF(AND(Catalog!B74&lt;&gt;"",COUNTIF(Catalog!$B$2:$B$501,Catalog!B74)&gt;1),"Duplicate Accession; ",""))</f>
        <v/>
      </c>
    </row>
    <row r="99">
      <c r="A99" s="23">
        <f>Catalog!A75</f>
        <v/>
      </c>
      <c r="B99" s="24">
        <f>Catalog!D75</f>
        <v/>
      </c>
      <c r="C99" s="25">
        <f>IF(Catalog!D75="","",IF(ISBLANK(Catalog!F75),"Missing Creator; ","")&amp;IF(ISBLANK(Catalog!K75),"Missing Type; ","")&amp;IF(ISBLANK(Catalog!L75),"Missing Genre; ","")&amp;IF(ISBLANK(Catalog!W75),"Missing Location Type; ","")&amp;IF(ISBLANK(Catalog!X75),"Missing Location Id; ","")&amp;IF(AND(Catalog!S75&lt;&gt;"",COUNTIF(Catalog!$S$2:$S$501,Catalog!S75)&gt;1),"Duplicate ISBN; ","")&amp;IF(AND(Catalog!B75&lt;&gt;"",COUNTIF(Catalog!$B$2:$B$501,Catalog!B75)&gt;1),"Duplicate Accession; ",""))</f>
        <v/>
      </c>
    </row>
    <row r="100">
      <c r="A100" s="23">
        <f>Catalog!A76</f>
        <v/>
      </c>
      <c r="B100" s="24">
        <f>Catalog!D76</f>
        <v/>
      </c>
      <c r="C100" s="25">
        <f>IF(Catalog!D76="","",IF(ISBLANK(Catalog!F76),"Missing Creator; ","")&amp;IF(ISBLANK(Catalog!K76),"Missing Type; ","")&amp;IF(ISBLANK(Catalog!L76),"Missing Genre; ","")&amp;IF(ISBLANK(Catalog!W76),"Missing Location Type; ","")&amp;IF(ISBLANK(Catalog!X76),"Missing Location Id; ","")&amp;IF(AND(Catalog!S76&lt;&gt;"",COUNTIF(Catalog!$S$2:$S$501,Catalog!S76)&gt;1),"Duplicate ISBN; ","")&amp;IF(AND(Catalog!B76&lt;&gt;"",COUNTIF(Catalog!$B$2:$B$501,Catalog!B76)&gt;1),"Duplicate Accession; ",""))</f>
        <v/>
      </c>
    </row>
    <row r="101">
      <c r="A101" s="23">
        <f>Catalog!A77</f>
        <v/>
      </c>
      <c r="B101" s="24">
        <f>Catalog!D77</f>
        <v/>
      </c>
      <c r="C101" s="25">
        <f>IF(Catalog!D77="","",IF(ISBLANK(Catalog!F77),"Missing Creator; ","")&amp;IF(ISBLANK(Catalog!K77),"Missing Type; ","")&amp;IF(ISBLANK(Catalog!L77),"Missing Genre; ","")&amp;IF(ISBLANK(Catalog!W77),"Missing Location Type; ","")&amp;IF(ISBLANK(Catalog!X77),"Missing Location Id; ","")&amp;IF(AND(Catalog!S77&lt;&gt;"",COUNTIF(Catalog!$S$2:$S$501,Catalog!S77)&gt;1),"Duplicate ISBN; ","")&amp;IF(AND(Catalog!B77&lt;&gt;"",COUNTIF(Catalog!$B$2:$B$501,Catalog!B77)&gt;1),"Duplicate Accession; ",""))</f>
        <v/>
      </c>
    </row>
    <row r="102">
      <c r="A102" s="23">
        <f>Catalog!A78</f>
        <v/>
      </c>
      <c r="B102" s="24">
        <f>Catalog!D78</f>
        <v/>
      </c>
      <c r="C102" s="25">
        <f>IF(Catalog!D78="","",IF(ISBLANK(Catalog!F78),"Missing Creator; ","")&amp;IF(ISBLANK(Catalog!K78),"Missing Type; ","")&amp;IF(ISBLANK(Catalog!L78),"Missing Genre; ","")&amp;IF(ISBLANK(Catalog!W78),"Missing Location Type; ","")&amp;IF(ISBLANK(Catalog!X78),"Missing Location Id; ","")&amp;IF(AND(Catalog!S78&lt;&gt;"",COUNTIF(Catalog!$S$2:$S$501,Catalog!S78)&gt;1),"Duplicate ISBN; ","")&amp;IF(AND(Catalog!B78&lt;&gt;"",COUNTIF(Catalog!$B$2:$B$501,Catalog!B78)&gt;1),"Duplicate Accession; ",""))</f>
        <v/>
      </c>
    </row>
    <row r="103">
      <c r="A103" s="23">
        <f>Catalog!A79</f>
        <v/>
      </c>
      <c r="B103" s="24">
        <f>Catalog!D79</f>
        <v/>
      </c>
      <c r="C103" s="25">
        <f>IF(Catalog!D79="","",IF(ISBLANK(Catalog!F79),"Missing Creator; ","")&amp;IF(ISBLANK(Catalog!K79),"Missing Type; ","")&amp;IF(ISBLANK(Catalog!L79),"Missing Genre; ","")&amp;IF(ISBLANK(Catalog!W79),"Missing Location Type; ","")&amp;IF(ISBLANK(Catalog!X79),"Missing Location Id; ","")&amp;IF(AND(Catalog!S79&lt;&gt;"",COUNTIF(Catalog!$S$2:$S$501,Catalog!S79)&gt;1),"Duplicate ISBN; ","")&amp;IF(AND(Catalog!B79&lt;&gt;"",COUNTIF(Catalog!$B$2:$B$501,Catalog!B79)&gt;1),"Duplicate Accession; ",""))</f>
        <v/>
      </c>
    </row>
    <row r="104">
      <c r="A104" s="23">
        <f>Catalog!A80</f>
        <v/>
      </c>
      <c r="B104" s="24">
        <f>Catalog!D80</f>
        <v/>
      </c>
      <c r="C104" s="25">
        <f>IF(Catalog!D80="","",IF(ISBLANK(Catalog!F80),"Missing Creator; ","")&amp;IF(ISBLANK(Catalog!K80),"Missing Type; ","")&amp;IF(ISBLANK(Catalog!L80),"Missing Genre; ","")&amp;IF(ISBLANK(Catalog!W80),"Missing Location Type; ","")&amp;IF(ISBLANK(Catalog!X80),"Missing Location Id; ","")&amp;IF(AND(Catalog!S80&lt;&gt;"",COUNTIF(Catalog!$S$2:$S$501,Catalog!S80)&gt;1),"Duplicate ISBN; ","")&amp;IF(AND(Catalog!B80&lt;&gt;"",COUNTIF(Catalog!$B$2:$B$501,Catalog!B80)&gt;1),"Duplicate Accession; ",""))</f>
        <v/>
      </c>
    </row>
    <row r="105">
      <c r="A105" s="23">
        <f>Catalog!A81</f>
        <v/>
      </c>
      <c r="B105" s="24">
        <f>Catalog!D81</f>
        <v/>
      </c>
      <c r="C105" s="25">
        <f>IF(Catalog!D81="","",IF(ISBLANK(Catalog!F81),"Missing Creator; ","")&amp;IF(ISBLANK(Catalog!K81),"Missing Type; ","")&amp;IF(ISBLANK(Catalog!L81),"Missing Genre; ","")&amp;IF(ISBLANK(Catalog!W81),"Missing Location Type; ","")&amp;IF(ISBLANK(Catalog!X81),"Missing Location Id; ","")&amp;IF(AND(Catalog!S81&lt;&gt;"",COUNTIF(Catalog!$S$2:$S$501,Catalog!S81)&gt;1),"Duplicate ISBN; ","")&amp;IF(AND(Catalog!B81&lt;&gt;"",COUNTIF(Catalog!$B$2:$B$501,Catalog!B81)&gt;1),"Duplicate Accession; ",""))</f>
        <v/>
      </c>
    </row>
    <row r="106">
      <c r="A106" s="23">
        <f>Catalog!A82</f>
        <v/>
      </c>
      <c r="B106" s="24">
        <f>Catalog!D82</f>
        <v/>
      </c>
      <c r="C106" s="25">
        <f>IF(Catalog!D82="","",IF(ISBLANK(Catalog!F82),"Missing Creator; ","")&amp;IF(ISBLANK(Catalog!K82),"Missing Type; ","")&amp;IF(ISBLANK(Catalog!L82),"Missing Genre; ","")&amp;IF(ISBLANK(Catalog!W82),"Missing Location Type; ","")&amp;IF(ISBLANK(Catalog!X82),"Missing Location Id; ","")&amp;IF(AND(Catalog!S82&lt;&gt;"",COUNTIF(Catalog!$S$2:$S$501,Catalog!S82)&gt;1),"Duplicate ISBN; ","")&amp;IF(AND(Catalog!B82&lt;&gt;"",COUNTIF(Catalog!$B$2:$B$501,Catalog!B82)&gt;1),"Duplicate Accession; ",""))</f>
        <v/>
      </c>
    </row>
    <row r="107">
      <c r="A107" s="23">
        <f>Catalog!A83</f>
        <v/>
      </c>
      <c r="B107" s="24">
        <f>Catalog!D83</f>
        <v/>
      </c>
      <c r="C107" s="25">
        <f>IF(Catalog!D83="","",IF(ISBLANK(Catalog!F83),"Missing Creator; ","")&amp;IF(ISBLANK(Catalog!K83),"Missing Type; ","")&amp;IF(ISBLANK(Catalog!L83),"Missing Genre; ","")&amp;IF(ISBLANK(Catalog!W83),"Missing Location Type; ","")&amp;IF(ISBLANK(Catalog!X83),"Missing Location Id; ","")&amp;IF(AND(Catalog!S83&lt;&gt;"",COUNTIF(Catalog!$S$2:$S$501,Catalog!S83)&gt;1),"Duplicate ISBN; ","")&amp;IF(AND(Catalog!B83&lt;&gt;"",COUNTIF(Catalog!$B$2:$B$501,Catalog!B83)&gt;1),"Duplicate Accession; ",""))</f>
        <v/>
      </c>
    </row>
    <row r="108">
      <c r="A108" s="23">
        <f>Catalog!A84</f>
        <v/>
      </c>
      <c r="B108" s="24">
        <f>Catalog!D84</f>
        <v/>
      </c>
      <c r="C108" s="25">
        <f>IF(Catalog!D84="","",IF(ISBLANK(Catalog!F84),"Missing Creator; ","")&amp;IF(ISBLANK(Catalog!K84),"Missing Type; ","")&amp;IF(ISBLANK(Catalog!L84),"Missing Genre; ","")&amp;IF(ISBLANK(Catalog!W84),"Missing Location Type; ","")&amp;IF(ISBLANK(Catalog!X84),"Missing Location Id; ","")&amp;IF(AND(Catalog!S84&lt;&gt;"",COUNTIF(Catalog!$S$2:$S$501,Catalog!S84)&gt;1),"Duplicate ISBN; ","")&amp;IF(AND(Catalog!B84&lt;&gt;"",COUNTIF(Catalog!$B$2:$B$501,Catalog!B84)&gt;1),"Duplicate Accession; ",""))</f>
        <v/>
      </c>
    </row>
    <row r="109">
      <c r="A109" s="23">
        <f>Catalog!A85</f>
        <v/>
      </c>
      <c r="B109" s="24">
        <f>Catalog!D85</f>
        <v/>
      </c>
      <c r="C109" s="25">
        <f>IF(Catalog!D85="","",IF(ISBLANK(Catalog!F85),"Missing Creator; ","")&amp;IF(ISBLANK(Catalog!K85),"Missing Type; ","")&amp;IF(ISBLANK(Catalog!L85),"Missing Genre; ","")&amp;IF(ISBLANK(Catalog!W85),"Missing Location Type; ","")&amp;IF(ISBLANK(Catalog!X85),"Missing Location Id; ","")&amp;IF(AND(Catalog!S85&lt;&gt;"",COUNTIF(Catalog!$S$2:$S$501,Catalog!S85)&gt;1),"Duplicate ISBN; ","")&amp;IF(AND(Catalog!B85&lt;&gt;"",COUNTIF(Catalog!$B$2:$B$501,Catalog!B85)&gt;1),"Duplicate Accession; ",""))</f>
        <v/>
      </c>
    </row>
    <row r="110">
      <c r="A110" s="23">
        <f>Catalog!A86</f>
        <v/>
      </c>
      <c r="B110" s="24">
        <f>Catalog!D86</f>
        <v/>
      </c>
      <c r="C110" s="25">
        <f>IF(Catalog!D86="","",IF(ISBLANK(Catalog!F86),"Missing Creator; ","")&amp;IF(ISBLANK(Catalog!K86),"Missing Type; ","")&amp;IF(ISBLANK(Catalog!L86),"Missing Genre; ","")&amp;IF(ISBLANK(Catalog!W86),"Missing Location Type; ","")&amp;IF(ISBLANK(Catalog!X86),"Missing Location Id; ","")&amp;IF(AND(Catalog!S86&lt;&gt;"",COUNTIF(Catalog!$S$2:$S$501,Catalog!S86)&gt;1),"Duplicate ISBN; ","")&amp;IF(AND(Catalog!B86&lt;&gt;"",COUNTIF(Catalog!$B$2:$B$501,Catalog!B86)&gt;1),"Duplicate Accession; ",""))</f>
        <v/>
      </c>
    </row>
    <row r="111">
      <c r="A111" s="23">
        <f>Catalog!A87</f>
        <v/>
      </c>
      <c r="B111" s="24">
        <f>Catalog!D87</f>
        <v/>
      </c>
      <c r="C111" s="25">
        <f>IF(Catalog!D87="","",IF(ISBLANK(Catalog!F87),"Missing Creator; ","")&amp;IF(ISBLANK(Catalog!K87),"Missing Type; ","")&amp;IF(ISBLANK(Catalog!L87),"Missing Genre; ","")&amp;IF(ISBLANK(Catalog!W87),"Missing Location Type; ","")&amp;IF(ISBLANK(Catalog!X87),"Missing Location Id; ","")&amp;IF(AND(Catalog!S87&lt;&gt;"",COUNTIF(Catalog!$S$2:$S$501,Catalog!S87)&gt;1),"Duplicate ISBN; ","")&amp;IF(AND(Catalog!B87&lt;&gt;"",COUNTIF(Catalog!$B$2:$B$501,Catalog!B87)&gt;1),"Duplicate Accession; ",""))</f>
        <v/>
      </c>
    </row>
    <row r="112">
      <c r="A112" s="23">
        <f>Catalog!A88</f>
        <v/>
      </c>
      <c r="B112" s="24">
        <f>Catalog!D88</f>
        <v/>
      </c>
      <c r="C112" s="25">
        <f>IF(Catalog!D88="","",IF(ISBLANK(Catalog!F88),"Missing Creator; ","")&amp;IF(ISBLANK(Catalog!K88),"Missing Type; ","")&amp;IF(ISBLANK(Catalog!L88),"Missing Genre; ","")&amp;IF(ISBLANK(Catalog!W88),"Missing Location Type; ","")&amp;IF(ISBLANK(Catalog!X88),"Missing Location Id; ","")&amp;IF(AND(Catalog!S88&lt;&gt;"",COUNTIF(Catalog!$S$2:$S$501,Catalog!S88)&gt;1),"Duplicate ISBN; ","")&amp;IF(AND(Catalog!B88&lt;&gt;"",COUNTIF(Catalog!$B$2:$B$501,Catalog!B88)&gt;1),"Duplicate Accession; ",""))</f>
        <v/>
      </c>
    </row>
    <row r="113">
      <c r="A113" s="23">
        <f>Catalog!A89</f>
        <v/>
      </c>
      <c r="B113" s="24">
        <f>Catalog!D89</f>
        <v/>
      </c>
      <c r="C113" s="25">
        <f>IF(Catalog!D89="","",IF(ISBLANK(Catalog!F89),"Missing Creator; ","")&amp;IF(ISBLANK(Catalog!K89),"Missing Type; ","")&amp;IF(ISBLANK(Catalog!L89),"Missing Genre; ","")&amp;IF(ISBLANK(Catalog!W89),"Missing Location Type; ","")&amp;IF(ISBLANK(Catalog!X89),"Missing Location Id; ","")&amp;IF(AND(Catalog!S89&lt;&gt;"",COUNTIF(Catalog!$S$2:$S$501,Catalog!S89)&gt;1),"Duplicate ISBN; ","")&amp;IF(AND(Catalog!B89&lt;&gt;"",COUNTIF(Catalog!$B$2:$B$501,Catalog!B89)&gt;1),"Duplicate Accession; ",""))</f>
        <v/>
      </c>
    </row>
    <row r="114">
      <c r="A114" s="23">
        <f>Catalog!A90</f>
        <v/>
      </c>
      <c r="B114" s="24">
        <f>Catalog!D90</f>
        <v/>
      </c>
      <c r="C114" s="25">
        <f>IF(Catalog!D90="","",IF(ISBLANK(Catalog!F90),"Missing Creator; ","")&amp;IF(ISBLANK(Catalog!K90),"Missing Type; ","")&amp;IF(ISBLANK(Catalog!L90),"Missing Genre; ","")&amp;IF(ISBLANK(Catalog!W90),"Missing Location Type; ","")&amp;IF(ISBLANK(Catalog!X90),"Missing Location Id; ","")&amp;IF(AND(Catalog!S90&lt;&gt;"",COUNTIF(Catalog!$S$2:$S$501,Catalog!S90)&gt;1),"Duplicate ISBN; ","")&amp;IF(AND(Catalog!B90&lt;&gt;"",COUNTIF(Catalog!$B$2:$B$501,Catalog!B90)&gt;1),"Duplicate Accession; ",""))</f>
        <v/>
      </c>
    </row>
    <row r="115">
      <c r="A115" s="23">
        <f>Catalog!A91</f>
        <v/>
      </c>
      <c r="B115" s="24">
        <f>Catalog!D91</f>
        <v/>
      </c>
      <c r="C115" s="25">
        <f>IF(Catalog!D91="","",IF(ISBLANK(Catalog!F91),"Missing Creator; ","")&amp;IF(ISBLANK(Catalog!K91),"Missing Type; ","")&amp;IF(ISBLANK(Catalog!L91),"Missing Genre; ","")&amp;IF(ISBLANK(Catalog!W91),"Missing Location Type; ","")&amp;IF(ISBLANK(Catalog!X91),"Missing Location Id; ","")&amp;IF(AND(Catalog!S91&lt;&gt;"",COUNTIF(Catalog!$S$2:$S$501,Catalog!S91)&gt;1),"Duplicate ISBN; ","")&amp;IF(AND(Catalog!B91&lt;&gt;"",COUNTIF(Catalog!$B$2:$B$501,Catalog!B91)&gt;1),"Duplicate Accession; ",""))</f>
        <v/>
      </c>
    </row>
    <row r="116">
      <c r="A116" s="23">
        <f>Catalog!A92</f>
        <v/>
      </c>
      <c r="B116" s="24">
        <f>Catalog!D92</f>
        <v/>
      </c>
      <c r="C116" s="25">
        <f>IF(Catalog!D92="","",IF(ISBLANK(Catalog!F92),"Missing Creator; ","")&amp;IF(ISBLANK(Catalog!K92),"Missing Type; ","")&amp;IF(ISBLANK(Catalog!L92),"Missing Genre; ","")&amp;IF(ISBLANK(Catalog!W92),"Missing Location Type; ","")&amp;IF(ISBLANK(Catalog!X92),"Missing Location Id; ","")&amp;IF(AND(Catalog!S92&lt;&gt;"",COUNTIF(Catalog!$S$2:$S$501,Catalog!S92)&gt;1),"Duplicate ISBN; ","")&amp;IF(AND(Catalog!B92&lt;&gt;"",COUNTIF(Catalog!$B$2:$B$501,Catalog!B92)&gt;1),"Duplicate Accession; ",""))</f>
        <v/>
      </c>
    </row>
    <row r="117">
      <c r="A117" s="23">
        <f>Catalog!A93</f>
        <v/>
      </c>
      <c r="B117" s="24">
        <f>Catalog!D93</f>
        <v/>
      </c>
      <c r="C117" s="25">
        <f>IF(Catalog!D93="","",IF(ISBLANK(Catalog!F93),"Missing Creator; ","")&amp;IF(ISBLANK(Catalog!K93),"Missing Type; ","")&amp;IF(ISBLANK(Catalog!L93),"Missing Genre; ","")&amp;IF(ISBLANK(Catalog!W93),"Missing Location Type; ","")&amp;IF(ISBLANK(Catalog!X93),"Missing Location Id; ","")&amp;IF(AND(Catalog!S93&lt;&gt;"",COUNTIF(Catalog!$S$2:$S$501,Catalog!S93)&gt;1),"Duplicate ISBN; ","")&amp;IF(AND(Catalog!B93&lt;&gt;"",COUNTIF(Catalog!$B$2:$B$501,Catalog!B93)&gt;1),"Duplicate Accession; ",""))</f>
        <v/>
      </c>
    </row>
    <row r="118">
      <c r="A118" s="23">
        <f>Catalog!A94</f>
        <v/>
      </c>
      <c r="B118" s="24">
        <f>Catalog!D94</f>
        <v/>
      </c>
      <c r="C118" s="25">
        <f>IF(Catalog!D94="","",IF(ISBLANK(Catalog!F94),"Missing Creator; ","")&amp;IF(ISBLANK(Catalog!K94),"Missing Type; ","")&amp;IF(ISBLANK(Catalog!L94),"Missing Genre; ","")&amp;IF(ISBLANK(Catalog!W94),"Missing Location Type; ","")&amp;IF(ISBLANK(Catalog!X94),"Missing Location Id; ","")&amp;IF(AND(Catalog!S94&lt;&gt;"",COUNTIF(Catalog!$S$2:$S$501,Catalog!S94)&gt;1),"Duplicate ISBN; ","")&amp;IF(AND(Catalog!B94&lt;&gt;"",COUNTIF(Catalog!$B$2:$B$501,Catalog!B94)&gt;1),"Duplicate Accession; ",""))</f>
        <v/>
      </c>
    </row>
    <row r="119">
      <c r="A119" s="23">
        <f>Catalog!A95</f>
        <v/>
      </c>
      <c r="B119" s="24">
        <f>Catalog!D95</f>
        <v/>
      </c>
      <c r="C119" s="25">
        <f>IF(Catalog!D95="","",IF(ISBLANK(Catalog!F95),"Missing Creator; ","")&amp;IF(ISBLANK(Catalog!K95),"Missing Type; ","")&amp;IF(ISBLANK(Catalog!L95),"Missing Genre; ","")&amp;IF(ISBLANK(Catalog!W95),"Missing Location Type; ","")&amp;IF(ISBLANK(Catalog!X95),"Missing Location Id; ","")&amp;IF(AND(Catalog!S95&lt;&gt;"",COUNTIF(Catalog!$S$2:$S$501,Catalog!S95)&gt;1),"Duplicate ISBN; ","")&amp;IF(AND(Catalog!B95&lt;&gt;"",COUNTIF(Catalog!$B$2:$B$501,Catalog!B95)&gt;1),"Duplicate Accession; ",""))</f>
        <v/>
      </c>
    </row>
    <row r="120">
      <c r="A120" s="23">
        <f>Catalog!A96</f>
        <v/>
      </c>
      <c r="B120" s="24">
        <f>Catalog!D96</f>
        <v/>
      </c>
      <c r="C120" s="25">
        <f>IF(Catalog!D96="","",IF(ISBLANK(Catalog!F96),"Missing Creator; ","")&amp;IF(ISBLANK(Catalog!K96),"Missing Type; ","")&amp;IF(ISBLANK(Catalog!L96),"Missing Genre; ","")&amp;IF(ISBLANK(Catalog!W96),"Missing Location Type; ","")&amp;IF(ISBLANK(Catalog!X96),"Missing Location Id; ","")&amp;IF(AND(Catalog!S96&lt;&gt;"",COUNTIF(Catalog!$S$2:$S$501,Catalog!S96)&gt;1),"Duplicate ISBN; ","")&amp;IF(AND(Catalog!B96&lt;&gt;"",COUNTIF(Catalog!$B$2:$B$501,Catalog!B96)&gt;1),"Duplicate Accession; ",""))</f>
        <v/>
      </c>
    </row>
    <row r="121">
      <c r="A121" s="23">
        <f>Catalog!A97</f>
        <v/>
      </c>
      <c r="B121" s="24">
        <f>Catalog!D97</f>
        <v/>
      </c>
      <c r="C121" s="25">
        <f>IF(Catalog!D97="","",IF(ISBLANK(Catalog!F97),"Missing Creator; ","")&amp;IF(ISBLANK(Catalog!K97),"Missing Type; ","")&amp;IF(ISBLANK(Catalog!L97),"Missing Genre; ","")&amp;IF(ISBLANK(Catalog!W97),"Missing Location Type; ","")&amp;IF(ISBLANK(Catalog!X97),"Missing Location Id; ","")&amp;IF(AND(Catalog!S97&lt;&gt;"",COUNTIF(Catalog!$S$2:$S$501,Catalog!S97)&gt;1),"Duplicate ISBN; ","")&amp;IF(AND(Catalog!B97&lt;&gt;"",COUNTIF(Catalog!$B$2:$B$501,Catalog!B97)&gt;1),"Duplicate Accession; ",""))</f>
        <v/>
      </c>
    </row>
    <row r="122">
      <c r="A122" s="23">
        <f>Catalog!A98</f>
        <v/>
      </c>
      <c r="B122" s="24">
        <f>Catalog!D98</f>
        <v/>
      </c>
      <c r="C122" s="25">
        <f>IF(Catalog!D98="","",IF(ISBLANK(Catalog!F98),"Missing Creator; ","")&amp;IF(ISBLANK(Catalog!K98),"Missing Type; ","")&amp;IF(ISBLANK(Catalog!L98),"Missing Genre; ","")&amp;IF(ISBLANK(Catalog!W98),"Missing Location Type; ","")&amp;IF(ISBLANK(Catalog!X98),"Missing Location Id; ","")&amp;IF(AND(Catalog!S98&lt;&gt;"",COUNTIF(Catalog!$S$2:$S$501,Catalog!S98)&gt;1),"Duplicate ISBN; ","")&amp;IF(AND(Catalog!B98&lt;&gt;"",COUNTIF(Catalog!$B$2:$B$501,Catalog!B98)&gt;1),"Duplicate Accession; ",""))</f>
        <v/>
      </c>
    </row>
    <row r="123">
      <c r="A123" s="23">
        <f>Catalog!A99</f>
        <v/>
      </c>
      <c r="B123" s="24">
        <f>Catalog!D99</f>
        <v/>
      </c>
      <c r="C123" s="25">
        <f>IF(Catalog!D99="","",IF(ISBLANK(Catalog!F99),"Missing Creator; ","")&amp;IF(ISBLANK(Catalog!K99),"Missing Type; ","")&amp;IF(ISBLANK(Catalog!L99),"Missing Genre; ","")&amp;IF(ISBLANK(Catalog!W99),"Missing Location Type; ","")&amp;IF(ISBLANK(Catalog!X99),"Missing Location Id; ","")&amp;IF(AND(Catalog!S99&lt;&gt;"",COUNTIF(Catalog!$S$2:$S$501,Catalog!S99)&gt;1),"Duplicate ISBN; ","")&amp;IF(AND(Catalog!B99&lt;&gt;"",COUNTIF(Catalog!$B$2:$B$501,Catalog!B99)&gt;1),"Duplicate Accession; ",""))</f>
        <v/>
      </c>
    </row>
    <row r="124">
      <c r="A124" s="23">
        <f>Catalog!A100</f>
        <v/>
      </c>
      <c r="B124" s="24">
        <f>Catalog!D100</f>
        <v/>
      </c>
      <c r="C124" s="25">
        <f>IF(Catalog!D100="","",IF(ISBLANK(Catalog!F100),"Missing Creator; ","")&amp;IF(ISBLANK(Catalog!K100),"Missing Type; ","")&amp;IF(ISBLANK(Catalog!L100),"Missing Genre; ","")&amp;IF(ISBLANK(Catalog!W100),"Missing Location Type; ","")&amp;IF(ISBLANK(Catalog!X100),"Missing Location Id; ","")&amp;IF(AND(Catalog!S100&lt;&gt;"",COUNTIF(Catalog!$S$2:$S$501,Catalog!S100)&gt;1),"Duplicate ISBN; ","")&amp;IF(AND(Catalog!B100&lt;&gt;"",COUNTIF(Catalog!$B$2:$B$501,Catalog!B100)&gt;1),"Duplicate Accession; ",""))</f>
        <v/>
      </c>
    </row>
    <row r="125">
      <c r="A125" s="23">
        <f>Catalog!A101</f>
        <v/>
      </c>
      <c r="B125" s="24">
        <f>Catalog!D101</f>
        <v/>
      </c>
      <c r="C125" s="25">
        <f>IF(Catalog!D101="","",IF(ISBLANK(Catalog!F101),"Missing Creator; ","")&amp;IF(ISBLANK(Catalog!K101),"Missing Type; ","")&amp;IF(ISBLANK(Catalog!L101),"Missing Genre; ","")&amp;IF(ISBLANK(Catalog!W101),"Missing Location Type; ","")&amp;IF(ISBLANK(Catalog!X101),"Missing Location Id; ","")&amp;IF(AND(Catalog!S101&lt;&gt;"",COUNTIF(Catalog!$S$2:$S$501,Catalog!S101)&gt;1),"Duplicate ISBN; ","")&amp;IF(AND(Catalog!B101&lt;&gt;"",COUNTIF(Catalog!$B$2:$B$501,Catalog!B101)&gt;1),"Duplicate Accession; ",""))</f>
        <v/>
      </c>
    </row>
    <row r="126">
      <c r="A126" s="23">
        <f>Catalog!A102</f>
        <v/>
      </c>
      <c r="B126" s="24">
        <f>Catalog!D102</f>
        <v/>
      </c>
      <c r="C126" s="25">
        <f>IF(Catalog!D102="","",IF(ISBLANK(Catalog!F102),"Missing Creator; ","")&amp;IF(ISBLANK(Catalog!K102),"Missing Type; ","")&amp;IF(ISBLANK(Catalog!L102),"Missing Genre; ","")&amp;IF(ISBLANK(Catalog!W102),"Missing Location Type; ","")&amp;IF(ISBLANK(Catalog!X102),"Missing Location Id; ","")&amp;IF(AND(Catalog!S102&lt;&gt;"",COUNTIF(Catalog!$S$2:$S$501,Catalog!S102)&gt;1),"Duplicate ISBN; ","")&amp;IF(AND(Catalog!B102&lt;&gt;"",COUNTIF(Catalog!$B$2:$B$501,Catalog!B102)&gt;1),"Duplicate Accession; ",""))</f>
        <v/>
      </c>
    </row>
    <row r="127">
      <c r="A127" s="23">
        <f>Catalog!A103</f>
        <v/>
      </c>
      <c r="B127" s="24">
        <f>Catalog!D103</f>
        <v/>
      </c>
      <c r="C127" s="25">
        <f>IF(Catalog!D103="","",IF(ISBLANK(Catalog!F103),"Missing Creator; ","")&amp;IF(ISBLANK(Catalog!K103),"Missing Type; ","")&amp;IF(ISBLANK(Catalog!L103),"Missing Genre; ","")&amp;IF(ISBLANK(Catalog!W103),"Missing Location Type; ","")&amp;IF(ISBLANK(Catalog!X103),"Missing Location Id; ","")&amp;IF(AND(Catalog!S103&lt;&gt;"",COUNTIF(Catalog!$S$2:$S$501,Catalog!S103)&gt;1),"Duplicate ISBN; ","")&amp;IF(AND(Catalog!B103&lt;&gt;"",COUNTIF(Catalog!$B$2:$B$501,Catalog!B103)&gt;1),"Duplicate Accession; ",""))</f>
        <v/>
      </c>
    </row>
    <row r="128">
      <c r="A128" s="23">
        <f>Catalog!A104</f>
        <v/>
      </c>
      <c r="B128" s="24">
        <f>Catalog!D104</f>
        <v/>
      </c>
      <c r="C128" s="25">
        <f>IF(Catalog!D104="","",IF(ISBLANK(Catalog!F104),"Missing Creator; ","")&amp;IF(ISBLANK(Catalog!K104),"Missing Type; ","")&amp;IF(ISBLANK(Catalog!L104),"Missing Genre; ","")&amp;IF(ISBLANK(Catalog!W104),"Missing Location Type; ","")&amp;IF(ISBLANK(Catalog!X104),"Missing Location Id; ","")&amp;IF(AND(Catalog!S104&lt;&gt;"",COUNTIF(Catalog!$S$2:$S$501,Catalog!S104)&gt;1),"Duplicate ISBN; ","")&amp;IF(AND(Catalog!B104&lt;&gt;"",COUNTIF(Catalog!$B$2:$B$501,Catalog!B104)&gt;1),"Duplicate Accession; ",""))</f>
        <v/>
      </c>
    </row>
    <row r="129">
      <c r="A129" s="23">
        <f>Catalog!A105</f>
        <v/>
      </c>
      <c r="B129" s="24">
        <f>Catalog!D105</f>
        <v/>
      </c>
      <c r="C129" s="25">
        <f>IF(Catalog!D105="","",IF(ISBLANK(Catalog!F105),"Missing Creator; ","")&amp;IF(ISBLANK(Catalog!K105),"Missing Type; ","")&amp;IF(ISBLANK(Catalog!L105),"Missing Genre; ","")&amp;IF(ISBLANK(Catalog!W105),"Missing Location Type; ","")&amp;IF(ISBLANK(Catalog!X105),"Missing Location Id; ","")&amp;IF(AND(Catalog!S105&lt;&gt;"",COUNTIF(Catalog!$S$2:$S$501,Catalog!S105)&gt;1),"Duplicate ISBN; ","")&amp;IF(AND(Catalog!B105&lt;&gt;"",COUNTIF(Catalog!$B$2:$B$501,Catalog!B105)&gt;1),"Duplicate Accession; ",""))</f>
        <v/>
      </c>
    </row>
    <row r="130">
      <c r="A130" s="23">
        <f>Catalog!A106</f>
        <v/>
      </c>
      <c r="B130" s="24">
        <f>Catalog!D106</f>
        <v/>
      </c>
      <c r="C130" s="25">
        <f>IF(Catalog!D106="","",IF(ISBLANK(Catalog!F106),"Missing Creator; ","")&amp;IF(ISBLANK(Catalog!K106),"Missing Type; ","")&amp;IF(ISBLANK(Catalog!L106),"Missing Genre; ","")&amp;IF(ISBLANK(Catalog!W106),"Missing Location Type; ","")&amp;IF(ISBLANK(Catalog!X106),"Missing Location Id; ","")&amp;IF(AND(Catalog!S106&lt;&gt;"",COUNTIF(Catalog!$S$2:$S$501,Catalog!S106)&gt;1),"Duplicate ISBN; ","")&amp;IF(AND(Catalog!B106&lt;&gt;"",COUNTIF(Catalog!$B$2:$B$501,Catalog!B106)&gt;1),"Duplicate Accession; ",""))</f>
        <v/>
      </c>
    </row>
    <row r="131">
      <c r="A131" s="23">
        <f>Catalog!A107</f>
        <v/>
      </c>
      <c r="B131" s="24">
        <f>Catalog!D107</f>
        <v/>
      </c>
      <c r="C131" s="25">
        <f>IF(Catalog!D107="","",IF(ISBLANK(Catalog!F107),"Missing Creator; ","")&amp;IF(ISBLANK(Catalog!K107),"Missing Type; ","")&amp;IF(ISBLANK(Catalog!L107),"Missing Genre; ","")&amp;IF(ISBLANK(Catalog!W107),"Missing Location Type; ","")&amp;IF(ISBLANK(Catalog!X107),"Missing Location Id; ","")&amp;IF(AND(Catalog!S107&lt;&gt;"",COUNTIF(Catalog!$S$2:$S$501,Catalog!S107)&gt;1),"Duplicate ISBN; ","")&amp;IF(AND(Catalog!B107&lt;&gt;"",COUNTIF(Catalog!$B$2:$B$501,Catalog!B107)&gt;1),"Duplicate Accession; ",""))</f>
        <v/>
      </c>
    </row>
    <row r="132">
      <c r="A132" s="23">
        <f>Catalog!A108</f>
        <v/>
      </c>
      <c r="B132" s="24">
        <f>Catalog!D108</f>
        <v/>
      </c>
      <c r="C132" s="25">
        <f>IF(Catalog!D108="","",IF(ISBLANK(Catalog!F108),"Missing Creator; ","")&amp;IF(ISBLANK(Catalog!K108),"Missing Type; ","")&amp;IF(ISBLANK(Catalog!L108),"Missing Genre; ","")&amp;IF(ISBLANK(Catalog!W108),"Missing Location Type; ","")&amp;IF(ISBLANK(Catalog!X108),"Missing Location Id; ","")&amp;IF(AND(Catalog!S108&lt;&gt;"",COUNTIF(Catalog!$S$2:$S$501,Catalog!S108)&gt;1),"Duplicate ISBN; ","")&amp;IF(AND(Catalog!B108&lt;&gt;"",COUNTIF(Catalog!$B$2:$B$501,Catalog!B108)&gt;1),"Duplicate Accession; ",""))</f>
        <v/>
      </c>
    </row>
    <row r="133">
      <c r="A133" s="23">
        <f>Catalog!A109</f>
        <v/>
      </c>
      <c r="B133" s="24">
        <f>Catalog!D109</f>
        <v/>
      </c>
      <c r="C133" s="25">
        <f>IF(Catalog!D109="","",IF(ISBLANK(Catalog!F109),"Missing Creator; ","")&amp;IF(ISBLANK(Catalog!K109),"Missing Type; ","")&amp;IF(ISBLANK(Catalog!L109),"Missing Genre; ","")&amp;IF(ISBLANK(Catalog!W109),"Missing Location Type; ","")&amp;IF(ISBLANK(Catalog!X109),"Missing Location Id; ","")&amp;IF(AND(Catalog!S109&lt;&gt;"",COUNTIF(Catalog!$S$2:$S$501,Catalog!S109)&gt;1),"Duplicate ISBN; ","")&amp;IF(AND(Catalog!B109&lt;&gt;"",COUNTIF(Catalog!$B$2:$B$501,Catalog!B109)&gt;1),"Duplicate Accession; ",""))</f>
        <v/>
      </c>
    </row>
    <row r="134">
      <c r="A134" s="23">
        <f>Catalog!A110</f>
        <v/>
      </c>
      <c r="B134" s="24">
        <f>Catalog!D110</f>
        <v/>
      </c>
      <c r="C134" s="25">
        <f>IF(Catalog!D110="","",IF(ISBLANK(Catalog!F110),"Missing Creator; ","")&amp;IF(ISBLANK(Catalog!K110),"Missing Type; ","")&amp;IF(ISBLANK(Catalog!L110),"Missing Genre; ","")&amp;IF(ISBLANK(Catalog!W110),"Missing Location Type; ","")&amp;IF(ISBLANK(Catalog!X110),"Missing Location Id; ","")&amp;IF(AND(Catalog!S110&lt;&gt;"",COUNTIF(Catalog!$S$2:$S$501,Catalog!S110)&gt;1),"Duplicate ISBN; ","")&amp;IF(AND(Catalog!B110&lt;&gt;"",COUNTIF(Catalog!$B$2:$B$501,Catalog!B110)&gt;1),"Duplicate Accession; ",""))</f>
        <v/>
      </c>
    </row>
    <row r="135">
      <c r="A135" s="23">
        <f>Catalog!A111</f>
        <v/>
      </c>
      <c r="B135" s="24">
        <f>Catalog!D111</f>
        <v/>
      </c>
      <c r="C135" s="25">
        <f>IF(Catalog!D111="","",IF(ISBLANK(Catalog!F111),"Missing Creator; ","")&amp;IF(ISBLANK(Catalog!K111),"Missing Type; ","")&amp;IF(ISBLANK(Catalog!L111),"Missing Genre; ","")&amp;IF(ISBLANK(Catalog!W111),"Missing Location Type; ","")&amp;IF(ISBLANK(Catalog!X111),"Missing Location Id; ","")&amp;IF(AND(Catalog!S111&lt;&gt;"",COUNTIF(Catalog!$S$2:$S$501,Catalog!S111)&gt;1),"Duplicate ISBN; ","")&amp;IF(AND(Catalog!B111&lt;&gt;"",COUNTIF(Catalog!$B$2:$B$501,Catalog!B111)&gt;1),"Duplicate Accession; ",""))</f>
        <v/>
      </c>
    </row>
    <row r="136">
      <c r="A136" s="23">
        <f>Catalog!A112</f>
        <v/>
      </c>
      <c r="B136" s="24">
        <f>Catalog!D112</f>
        <v/>
      </c>
      <c r="C136" s="25">
        <f>IF(Catalog!D112="","",IF(ISBLANK(Catalog!F112),"Missing Creator; ","")&amp;IF(ISBLANK(Catalog!K112),"Missing Type; ","")&amp;IF(ISBLANK(Catalog!L112),"Missing Genre; ","")&amp;IF(ISBLANK(Catalog!W112),"Missing Location Type; ","")&amp;IF(ISBLANK(Catalog!X112),"Missing Location Id; ","")&amp;IF(AND(Catalog!S112&lt;&gt;"",COUNTIF(Catalog!$S$2:$S$501,Catalog!S112)&gt;1),"Duplicate ISBN; ","")&amp;IF(AND(Catalog!B112&lt;&gt;"",COUNTIF(Catalog!$B$2:$B$501,Catalog!B112)&gt;1),"Duplicate Accession; ",""))</f>
        <v/>
      </c>
    </row>
    <row r="137">
      <c r="A137" s="23">
        <f>Catalog!A113</f>
        <v/>
      </c>
      <c r="B137" s="24">
        <f>Catalog!D113</f>
        <v/>
      </c>
      <c r="C137" s="25">
        <f>IF(Catalog!D113="","",IF(ISBLANK(Catalog!F113),"Missing Creator; ","")&amp;IF(ISBLANK(Catalog!K113),"Missing Type; ","")&amp;IF(ISBLANK(Catalog!L113),"Missing Genre; ","")&amp;IF(ISBLANK(Catalog!W113),"Missing Location Type; ","")&amp;IF(ISBLANK(Catalog!X113),"Missing Location Id; ","")&amp;IF(AND(Catalog!S113&lt;&gt;"",COUNTIF(Catalog!$S$2:$S$501,Catalog!S113)&gt;1),"Duplicate ISBN; ","")&amp;IF(AND(Catalog!B113&lt;&gt;"",COUNTIF(Catalog!$B$2:$B$501,Catalog!B113)&gt;1),"Duplicate Accession; ",""))</f>
        <v/>
      </c>
    </row>
    <row r="138">
      <c r="A138" s="23">
        <f>Catalog!A114</f>
        <v/>
      </c>
      <c r="B138" s="24">
        <f>Catalog!D114</f>
        <v/>
      </c>
      <c r="C138" s="25">
        <f>IF(Catalog!D114="","",IF(ISBLANK(Catalog!F114),"Missing Creator; ","")&amp;IF(ISBLANK(Catalog!K114),"Missing Type; ","")&amp;IF(ISBLANK(Catalog!L114),"Missing Genre; ","")&amp;IF(ISBLANK(Catalog!W114),"Missing Location Type; ","")&amp;IF(ISBLANK(Catalog!X114),"Missing Location Id; ","")&amp;IF(AND(Catalog!S114&lt;&gt;"",COUNTIF(Catalog!$S$2:$S$501,Catalog!S114)&gt;1),"Duplicate ISBN; ","")&amp;IF(AND(Catalog!B114&lt;&gt;"",COUNTIF(Catalog!$B$2:$B$501,Catalog!B114)&gt;1),"Duplicate Accession; ",""))</f>
        <v/>
      </c>
    </row>
    <row r="139">
      <c r="A139" s="23">
        <f>Catalog!A115</f>
        <v/>
      </c>
      <c r="B139" s="24">
        <f>Catalog!D115</f>
        <v/>
      </c>
      <c r="C139" s="25">
        <f>IF(Catalog!D115="","",IF(ISBLANK(Catalog!F115),"Missing Creator; ","")&amp;IF(ISBLANK(Catalog!K115),"Missing Type; ","")&amp;IF(ISBLANK(Catalog!L115),"Missing Genre; ","")&amp;IF(ISBLANK(Catalog!W115),"Missing Location Type; ","")&amp;IF(ISBLANK(Catalog!X115),"Missing Location Id; ","")&amp;IF(AND(Catalog!S115&lt;&gt;"",COUNTIF(Catalog!$S$2:$S$501,Catalog!S115)&gt;1),"Duplicate ISBN; ","")&amp;IF(AND(Catalog!B115&lt;&gt;"",COUNTIF(Catalog!$B$2:$B$501,Catalog!B115)&gt;1),"Duplicate Accession; ",""))</f>
        <v/>
      </c>
    </row>
    <row r="140">
      <c r="A140" s="23">
        <f>Catalog!A116</f>
        <v/>
      </c>
      <c r="B140" s="24">
        <f>Catalog!D116</f>
        <v/>
      </c>
      <c r="C140" s="25">
        <f>IF(Catalog!D116="","",IF(ISBLANK(Catalog!F116),"Missing Creator; ","")&amp;IF(ISBLANK(Catalog!K116),"Missing Type; ","")&amp;IF(ISBLANK(Catalog!L116),"Missing Genre; ","")&amp;IF(ISBLANK(Catalog!W116),"Missing Location Type; ","")&amp;IF(ISBLANK(Catalog!X116),"Missing Location Id; ","")&amp;IF(AND(Catalog!S116&lt;&gt;"",COUNTIF(Catalog!$S$2:$S$501,Catalog!S116)&gt;1),"Duplicate ISBN; ","")&amp;IF(AND(Catalog!B116&lt;&gt;"",COUNTIF(Catalog!$B$2:$B$501,Catalog!B116)&gt;1),"Duplicate Accession; ",""))</f>
        <v/>
      </c>
    </row>
    <row r="141">
      <c r="A141" s="23">
        <f>Catalog!A117</f>
        <v/>
      </c>
      <c r="B141" s="24">
        <f>Catalog!D117</f>
        <v/>
      </c>
      <c r="C141" s="25">
        <f>IF(Catalog!D117="","",IF(ISBLANK(Catalog!F117),"Missing Creator; ","")&amp;IF(ISBLANK(Catalog!K117),"Missing Type; ","")&amp;IF(ISBLANK(Catalog!L117),"Missing Genre; ","")&amp;IF(ISBLANK(Catalog!W117),"Missing Location Type; ","")&amp;IF(ISBLANK(Catalog!X117),"Missing Location Id; ","")&amp;IF(AND(Catalog!S117&lt;&gt;"",COUNTIF(Catalog!$S$2:$S$501,Catalog!S117)&gt;1),"Duplicate ISBN; ","")&amp;IF(AND(Catalog!B117&lt;&gt;"",COUNTIF(Catalog!$B$2:$B$501,Catalog!B117)&gt;1),"Duplicate Accession; ",""))</f>
        <v/>
      </c>
    </row>
    <row r="142">
      <c r="A142" s="23">
        <f>Catalog!A118</f>
        <v/>
      </c>
      <c r="B142" s="24">
        <f>Catalog!D118</f>
        <v/>
      </c>
      <c r="C142" s="25">
        <f>IF(Catalog!D118="","",IF(ISBLANK(Catalog!F118),"Missing Creator; ","")&amp;IF(ISBLANK(Catalog!K118),"Missing Type; ","")&amp;IF(ISBLANK(Catalog!L118),"Missing Genre; ","")&amp;IF(ISBLANK(Catalog!W118),"Missing Location Type; ","")&amp;IF(ISBLANK(Catalog!X118),"Missing Location Id; ","")&amp;IF(AND(Catalog!S118&lt;&gt;"",COUNTIF(Catalog!$S$2:$S$501,Catalog!S118)&gt;1),"Duplicate ISBN; ","")&amp;IF(AND(Catalog!B118&lt;&gt;"",COUNTIF(Catalog!$B$2:$B$501,Catalog!B118)&gt;1),"Duplicate Accession; ",""))</f>
        <v/>
      </c>
    </row>
    <row r="143">
      <c r="A143" s="23">
        <f>Catalog!A119</f>
        <v/>
      </c>
      <c r="B143" s="24">
        <f>Catalog!D119</f>
        <v/>
      </c>
      <c r="C143" s="25">
        <f>IF(Catalog!D119="","",IF(ISBLANK(Catalog!F119),"Missing Creator; ","")&amp;IF(ISBLANK(Catalog!K119),"Missing Type; ","")&amp;IF(ISBLANK(Catalog!L119),"Missing Genre; ","")&amp;IF(ISBLANK(Catalog!W119),"Missing Location Type; ","")&amp;IF(ISBLANK(Catalog!X119),"Missing Location Id; ","")&amp;IF(AND(Catalog!S119&lt;&gt;"",COUNTIF(Catalog!$S$2:$S$501,Catalog!S119)&gt;1),"Duplicate ISBN; ","")&amp;IF(AND(Catalog!B119&lt;&gt;"",COUNTIF(Catalog!$B$2:$B$501,Catalog!B119)&gt;1),"Duplicate Accession; ",""))</f>
        <v/>
      </c>
    </row>
    <row r="144">
      <c r="A144" s="23">
        <f>Catalog!A120</f>
        <v/>
      </c>
      <c r="B144" s="24">
        <f>Catalog!D120</f>
        <v/>
      </c>
      <c r="C144" s="25">
        <f>IF(Catalog!D120="","",IF(ISBLANK(Catalog!F120),"Missing Creator; ","")&amp;IF(ISBLANK(Catalog!K120),"Missing Type; ","")&amp;IF(ISBLANK(Catalog!L120),"Missing Genre; ","")&amp;IF(ISBLANK(Catalog!W120),"Missing Location Type; ","")&amp;IF(ISBLANK(Catalog!X120),"Missing Location Id; ","")&amp;IF(AND(Catalog!S120&lt;&gt;"",COUNTIF(Catalog!$S$2:$S$501,Catalog!S120)&gt;1),"Duplicate ISBN; ","")&amp;IF(AND(Catalog!B120&lt;&gt;"",COUNTIF(Catalog!$B$2:$B$501,Catalog!B120)&gt;1),"Duplicate Accession; ",""))</f>
        <v/>
      </c>
    </row>
    <row r="145">
      <c r="A145" s="23">
        <f>Catalog!A121</f>
        <v/>
      </c>
      <c r="B145" s="24">
        <f>Catalog!D121</f>
        <v/>
      </c>
      <c r="C145" s="25">
        <f>IF(Catalog!D121="","",IF(ISBLANK(Catalog!F121),"Missing Creator; ","")&amp;IF(ISBLANK(Catalog!K121),"Missing Type; ","")&amp;IF(ISBLANK(Catalog!L121),"Missing Genre; ","")&amp;IF(ISBLANK(Catalog!W121),"Missing Location Type; ","")&amp;IF(ISBLANK(Catalog!X121),"Missing Location Id; ","")&amp;IF(AND(Catalog!S121&lt;&gt;"",COUNTIF(Catalog!$S$2:$S$501,Catalog!S121)&gt;1),"Duplicate ISBN; ","")&amp;IF(AND(Catalog!B121&lt;&gt;"",COUNTIF(Catalog!$B$2:$B$501,Catalog!B121)&gt;1),"Duplicate Accession; ",""))</f>
        <v/>
      </c>
    </row>
    <row r="146">
      <c r="A146" s="23">
        <f>Catalog!A122</f>
        <v/>
      </c>
      <c r="B146" s="24">
        <f>Catalog!D122</f>
        <v/>
      </c>
      <c r="C146" s="25">
        <f>IF(Catalog!D122="","",IF(ISBLANK(Catalog!F122),"Missing Creator; ","")&amp;IF(ISBLANK(Catalog!K122),"Missing Type; ","")&amp;IF(ISBLANK(Catalog!L122),"Missing Genre; ","")&amp;IF(ISBLANK(Catalog!W122),"Missing Location Type; ","")&amp;IF(ISBLANK(Catalog!X122),"Missing Location Id; ","")&amp;IF(AND(Catalog!S122&lt;&gt;"",COUNTIF(Catalog!$S$2:$S$501,Catalog!S122)&gt;1),"Duplicate ISBN; ","")&amp;IF(AND(Catalog!B122&lt;&gt;"",COUNTIF(Catalog!$B$2:$B$501,Catalog!B122)&gt;1),"Duplicate Accession; ",""))</f>
        <v/>
      </c>
    </row>
    <row r="147">
      <c r="A147" s="23">
        <f>Catalog!A123</f>
        <v/>
      </c>
      <c r="B147" s="24">
        <f>Catalog!D123</f>
        <v/>
      </c>
      <c r="C147" s="25">
        <f>IF(Catalog!D123="","",IF(ISBLANK(Catalog!F123),"Missing Creator; ","")&amp;IF(ISBLANK(Catalog!K123),"Missing Type; ","")&amp;IF(ISBLANK(Catalog!L123),"Missing Genre; ","")&amp;IF(ISBLANK(Catalog!W123),"Missing Location Type; ","")&amp;IF(ISBLANK(Catalog!X123),"Missing Location Id; ","")&amp;IF(AND(Catalog!S123&lt;&gt;"",COUNTIF(Catalog!$S$2:$S$501,Catalog!S123)&gt;1),"Duplicate ISBN; ","")&amp;IF(AND(Catalog!B123&lt;&gt;"",COUNTIF(Catalog!$B$2:$B$501,Catalog!B123)&gt;1),"Duplicate Accession; ",""))</f>
        <v/>
      </c>
    </row>
    <row r="148">
      <c r="A148" s="23">
        <f>Catalog!A124</f>
        <v/>
      </c>
      <c r="B148" s="24">
        <f>Catalog!D124</f>
        <v/>
      </c>
      <c r="C148" s="25">
        <f>IF(Catalog!D124="","",IF(ISBLANK(Catalog!F124),"Missing Creator; ","")&amp;IF(ISBLANK(Catalog!K124),"Missing Type; ","")&amp;IF(ISBLANK(Catalog!L124),"Missing Genre; ","")&amp;IF(ISBLANK(Catalog!W124),"Missing Location Type; ","")&amp;IF(ISBLANK(Catalog!X124),"Missing Location Id; ","")&amp;IF(AND(Catalog!S124&lt;&gt;"",COUNTIF(Catalog!$S$2:$S$501,Catalog!S124)&gt;1),"Duplicate ISBN; ","")&amp;IF(AND(Catalog!B124&lt;&gt;"",COUNTIF(Catalog!$B$2:$B$501,Catalog!B124)&gt;1),"Duplicate Accession; ",""))</f>
        <v/>
      </c>
    </row>
    <row r="149">
      <c r="A149" s="23">
        <f>Catalog!A125</f>
        <v/>
      </c>
      <c r="B149" s="24">
        <f>Catalog!D125</f>
        <v/>
      </c>
      <c r="C149" s="25">
        <f>IF(Catalog!D125="","",IF(ISBLANK(Catalog!F125),"Missing Creator; ","")&amp;IF(ISBLANK(Catalog!K125),"Missing Type; ","")&amp;IF(ISBLANK(Catalog!L125),"Missing Genre; ","")&amp;IF(ISBLANK(Catalog!W125),"Missing Location Type; ","")&amp;IF(ISBLANK(Catalog!X125),"Missing Location Id; ","")&amp;IF(AND(Catalog!S125&lt;&gt;"",COUNTIF(Catalog!$S$2:$S$501,Catalog!S125)&gt;1),"Duplicate ISBN; ","")&amp;IF(AND(Catalog!B125&lt;&gt;"",COUNTIF(Catalog!$B$2:$B$501,Catalog!B125)&gt;1),"Duplicate Accession; ",""))</f>
        <v/>
      </c>
    </row>
    <row r="150">
      <c r="A150" s="23">
        <f>Catalog!A126</f>
        <v/>
      </c>
      <c r="B150" s="24">
        <f>Catalog!D126</f>
        <v/>
      </c>
      <c r="C150" s="25">
        <f>IF(Catalog!D126="","",IF(ISBLANK(Catalog!F126),"Missing Creator; ","")&amp;IF(ISBLANK(Catalog!K126),"Missing Type; ","")&amp;IF(ISBLANK(Catalog!L126),"Missing Genre; ","")&amp;IF(ISBLANK(Catalog!W126),"Missing Location Type; ","")&amp;IF(ISBLANK(Catalog!X126),"Missing Location Id; ","")&amp;IF(AND(Catalog!S126&lt;&gt;"",COUNTIF(Catalog!$S$2:$S$501,Catalog!S126)&gt;1),"Duplicate ISBN; ","")&amp;IF(AND(Catalog!B126&lt;&gt;"",COUNTIF(Catalog!$B$2:$B$501,Catalog!B126)&gt;1),"Duplicate Accession; ",""))</f>
        <v/>
      </c>
    </row>
    <row r="151">
      <c r="A151" s="23">
        <f>Catalog!A127</f>
        <v/>
      </c>
      <c r="B151" s="24">
        <f>Catalog!D127</f>
        <v/>
      </c>
      <c r="C151" s="25">
        <f>IF(Catalog!D127="","",IF(ISBLANK(Catalog!F127),"Missing Creator; ","")&amp;IF(ISBLANK(Catalog!K127),"Missing Type; ","")&amp;IF(ISBLANK(Catalog!L127),"Missing Genre; ","")&amp;IF(ISBLANK(Catalog!W127),"Missing Location Type; ","")&amp;IF(ISBLANK(Catalog!X127),"Missing Location Id; ","")&amp;IF(AND(Catalog!S127&lt;&gt;"",COUNTIF(Catalog!$S$2:$S$501,Catalog!S127)&gt;1),"Duplicate ISBN; ","")&amp;IF(AND(Catalog!B127&lt;&gt;"",COUNTIF(Catalog!$B$2:$B$501,Catalog!B127)&gt;1),"Duplicate Accession; ",""))</f>
        <v/>
      </c>
    </row>
    <row r="152">
      <c r="A152" s="23">
        <f>Catalog!A128</f>
        <v/>
      </c>
      <c r="B152" s="24">
        <f>Catalog!D128</f>
        <v/>
      </c>
      <c r="C152" s="25">
        <f>IF(Catalog!D128="","",IF(ISBLANK(Catalog!F128),"Missing Creator; ","")&amp;IF(ISBLANK(Catalog!K128),"Missing Type; ","")&amp;IF(ISBLANK(Catalog!L128),"Missing Genre; ","")&amp;IF(ISBLANK(Catalog!W128),"Missing Location Type; ","")&amp;IF(ISBLANK(Catalog!X128),"Missing Location Id; ","")&amp;IF(AND(Catalog!S128&lt;&gt;"",COUNTIF(Catalog!$S$2:$S$501,Catalog!S128)&gt;1),"Duplicate ISBN; ","")&amp;IF(AND(Catalog!B128&lt;&gt;"",COUNTIF(Catalog!$B$2:$B$501,Catalog!B128)&gt;1),"Duplicate Accession; ",""))</f>
        <v/>
      </c>
    </row>
    <row r="153">
      <c r="A153" s="23">
        <f>Catalog!A129</f>
        <v/>
      </c>
      <c r="B153" s="24">
        <f>Catalog!D129</f>
        <v/>
      </c>
      <c r="C153" s="25">
        <f>IF(Catalog!D129="","",IF(ISBLANK(Catalog!F129),"Missing Creator; ","")&amp;IF(ISBLANK(Catalog!K129),"Missing Type; ","")&amp;IF(ISBLANK(Catalog!L129),"Missing Genre; ","")&amp;IF(ISBLANK(Catalog!W129),"Missing Location Type; ","")&amp;IF(ISBLANK(Catalog!X129),"Missing Location Id; ","")&amp;IF(AND(Catalog!S129&lt;&gt;"",COUNTIF(Catalog!$S$2:$S$501,Catalog!S129)&gt;1),"Duplicate ISBN; ","")&amp;IF(AND(Catalog!B129&lt;&gt;"",COUNTIF(Catalog!$B$2:$B$501,Catalog!B129)&gt;1),"Duplicate Accession; ",""))</f>
        <v/>
      </c>
    </row>
    <row r="154">
      <c r="A154" s="23">
        <f>Catalog!A130</f>
        <v/>
      </c>
      <c r="B154" s="24">
        <f>Catalog!D130</f>
        <v/>
      </c>
      <c r="C154" s="25">
        <f>IF(Catalog!D130="","",IF(ISBLANK(Catalog!F130),"Missing Creator; ","")&amp;IF(ISBLANK(Catalog!K130),"Missing Type; ","")&amp;IF(ISBLANK(Catalog!L130),"Missing Genre; ","")&amp;IF(ISBLANK(Catalog!W130),"Missing Location Type; ","")&amp;IF(ISBLANK(Catalog!X130),"Missing Location Id; ","")&amp;IF(AND(Catalog!S130&lt;&gt;"",COUNTIF(Catalog!$S$2:$S$501,Catalog!S130)&gt;1),"Duplicate ISBN; ","")&amp;IF(AND(Catalog!B130&lt;&gt;"",COUNTIF(Catalog!$B$2:$B$501,Catalog!B130)&gt;1),"Duplicate Accession; ",""))</f>
        <v/>
      </c>
    </row>
    <row r="155">
      <c r="A155" s="23">
        <f>Catalog!A131</f>
        <v/>
      </c>
      <c r="B155" s="24">
        <f>Catalog!D131</f>
        <v/>
      </c>
      <c r="C155" s="25">
        <f>IF(Catalog!D131="","",IF(ISBLANK(Catalog!F131),"Missing Creator; ","")&amp;IF(ISBLANK(Catalog!K131),"Missing Type; ","")&amp;IF(ISBLANK(Catalog!L131),"Missing Genre; ","")&amp;IF(ISBLANK(Catalog!W131),"Missing Location Type; ","")&amp;IF(ISBLANK(Catalog!X131),"Missing Location Id; ","")&amp;IF(AND(Catalog!S131&lt;&gt;"",COUNTIF(Catalog!$S$2:$S$501,Catalog!S131)&gt;1),"Duplicate ISBN; ","")&amp;IF(AND(Catalog!B131&lt;&gt;"",COUNTIF(Catalog!$B$2:$B$501,Catalog!B131)&gt;1),"Duplicate Accession; ",""))</f>
        <v/>
      </c>
    </row>
    <row r="156">
      <c r="A156" s="23">
        <f>Catalog!A132</f>
        <v/>
      </c>
      <c r="B156" s="24">
        <f>Catalog!D132</f>
        <v/>
      </c>
      <c r="C156" s="25">
        <f>IF(Catalog!D132="","",IF(ISBLANK(Catalog!F132),"Missing Creator; ","")&amp;IF(ISBLANK(Catalog!K132),"Missing Type; ","")&amp;IF(ISBLANK(Catalog!L132),"Missing Genre; ","")&amp;IF(ISBLANK(Catalog!W132),"Missing Location Type; ","")&amp;IF(ISBLANK(Catalog!X132),"Missing Location Id; ","")&amp;IF(AND(Catalog!S132&lt;&gt;"",COUNTIF(Catalog!$S$2:$S$501,Catalog!S132)&gt;1),"Duplicate ISBN; ","")&amp;IF(AND(Catalog!B132&lt;&gt;"",COUNTIF(Catalog!$B$2:$B$501,Catalog!B132)&gt;1),"Duplicate Accession; ",""))</f>
        <v/>
      </c>
    </row>
    <row r="157">
      <c r="A157" s="23">
        <f>Catalog!A133</f>
        <v/>
      </c>
      <c r="B157" s="24">
        <f>Catalog!D133</f>
        <v/>
      </c>
      <c r="C157" s="25">
        <f>IF(Catalog!D133="","",IF(ISBLANK(Catalog!F133),"Missing Creator; ","")&amp;IF(ISBLANK(Catalog!K133),"Missing Type; ","")&amp;IF(ISBLANK(Catalog!L133),"Missing Genre; ","")&amp;IF(ISBLANK(Catalog!W133),"Missing Location Type; ","")&amp;IF(ISBLANK(Catalog!X133),"Missing Location Id; ","")&amp;IF(AND(Catalog!S133&lt;&gt;"",COUNTIF(Catalog!$S$2:$S$501,Catalog!S133)&gt;1),"Duplicate ISBN; ","")&amp;IF(AND(Catalog!B133&lt;&gt;"",COUNTIF(Catalog!$B$2:$B$501,Catalog!B133)&gt;1),"Duplicate Accession; ",""))</f>
        <v/>
      </c>
    </row>
    <row r="158">
      <c r="A158" s="23">
        <f>Catalog!A134</f>
        <v/>
      </c>
      <c r="B158" s="24">
        <f>Catalog!D134</f>
        <v/>
      </c>
      <c r="C158" s="25">
        <f>IF(Catalog!D134="","",IF(ISBLANK(Catalog!F134),"Missing Creator; ","")&amp;IF(ISBLANK(Catalog!K134),"Missing Type; ","")&amp;IF(ISBLANK(Catalog!L134),"Missing Genre; ","")&amp;IF(ISBLANK(Catalog!W134),"Missing Location Type; ","")&amp;IF(ISBLANK(Catalog!X134),"Missing Location Id; ","")&amp;IF(AND(Catalog!S134&lt;&gt;"",COUNTIF(Catalog!$S$2:$S$501,Catalog!S134)&gt;1),"Duplicate ISBN; ","")&amp;IF(AND(Catalog!B134&lt;&gt;"",COUNTIF(Catalog!$B$2:$B$501,Catalog!B134)&gt;1),"Duplicate Accession; ",""))</f>
        <v/>
      </c>
    </row>
    <row r="159">
      <c r="A159" s="23">
        <f>Catalog!A135</f>
        <v/>
      </c>
      <c r="B159" s="24">
        <f>Catalog!D135</f>
        <v/>
      </c>
      <c r="C159" s="25">
        <f>IF(Catalog!D135="","",IF(ISBLANK(Catalog!F135),"Missing Creator; ","")&amp;IF(ISBLANK(Catalog!K135),"Missing Type; ","")&amp;IF(ISBLANK(Catalog!L135),"Missing Genre; ","")&amp;IF(ISBLANK(Catalog!W135),"Missing Location Type; ","")&amp;IF(ISBLANK(Catalog!X135),"Missing Location Id; ","")&amp;IF(AND(Catalog!S135&lt;&gt;"",COUNTIF(Catalog!$S$2:$S$501,Catalog!S135)&gt;1),"Duplicate ISBN; ","")&amp;IF(AND(Catalog!B135&lt;&gt;"",COUNTIF(Catalog!$B$2:$B$501,Catalog!B135)&gt;1),"Duplicate Accession; ",""))</f>
        <v/>
      </c>
    </row>
    <row r="160">
      <c r="A160" s="23">
        <f>Catalog!A136</f>
        <v/>
      </c>
      <c r="B160" s="24">
        <f>Catalog!D136</f>
        <v/>
      </c>
      <c r="C160" s="25">
        <f>IF(Catalog!D136="","",IF(ISBLANK(Catalog!F136),"Missing Creator; ","")&amp;IF(ISBLANK(Catalog!K136),"Missing Type; ","")&amp;IF(ISBLANK(Catalog!L136),"Missing Genre; ","")&amp;IF(ISBLANK(Catalog!W136),"Missing Location Type; ","")&amp;IF(ISBLANK(Catalog!X136),"Missing Location Id; ","")&amp;IF(AND(Catalog!S136&lt;&gt;"",COUNTIF(Catalog!$S$2:$S$501,Catalog!S136)&gt;1),"Duplicate ISBN; ","")&amp;IF(AND(Catalog!B136&lt;&gt;"",COUNTIF(Catalog!$B$2:$B$501,Catalog!B136)&gt;1),"Duplicate Accession; ",""))</f>
        <v/>
      </c>
    </row>
    <row r="161">
      <c r="A161" s="23">
        <f>Catalog!A137</f>
        <v/>
      </c>
      <c r="B161" s="24">
        <f>Catalog!D137</f>
        <v/>
      </c>
      <c r="C161" s="25">
        <f>IF(Catalog!D137="","",IF(ISBLANK(Catalog!F137),"Missing Creator; ","")&amp;IF(ISBLANK(Catalog!K137),"Missing Type; ","")&amp;IF(ISBLANK(Catalog!L137),"Missing Genre; ","")&amp;IF(ISBLANK(Catalog!W137),"Missing Location Type; ","")&amp;IF(ISBLANK(Catalog!X137),"Missing Location Id; ","")&amp;IF(AND(Catalog!S137&lt;&gt;"",COUNTIF(Catalog!$S$2:$S$501,Catalog!S137)&gt;1),"Duplicate ISBN; ","")&amp;IF(AND(Catalog!B137&lt;&gt;"",COUNTIF(Catalog!$B$2:$B$501,Catalog!B137)&gt;1),"Duplicate Accession; ",""))</f>
        <v/>
      </c>
    </row>
    <row r="162">
      <c r="A162" s="23">
        <f>Catalog!A138</f>
        <v/>
      </c>
      <c r="B162" s="24">
        <f>Catalog!D138</f>
        <v/>
      </c>
      <c r="C162" s="25">
        <f>IF(Catalog!D138="","",IF(ISBLANK(Catalog!F138),"Missing Creator; ","")&amp;IF(ISBLANK(Catalog!K138),"Missing Type; ","")&amp;IF(ISBLANK(Catalog!L138),"Missing Genre; ","")&amp;IF(ISBLANK(Catalog!W138),"Missing Location Type; ","")&amp;IF(ISBLANK(Catalog!X138),"Missing Location Id; ","")&amp;IF(AND(Catalog!S138&lt;&gt;"",COUNTIF(Catalog!$S$2:$S$501,Catalog!S138)&gt;1),"Duplicate ISBN; ","")&amp;IF(AND(Catalog!B138&lt;&gt;"",COUNTIF(Catalog!$B$2:$B$501,Catalog!B138)&gt;1),"Duplicate Accession; ",""))</f>
        <v/>
      </c>
    </row>
    <row r="163">
      <c r="A163" s="23">
        <f>Catalog!A139</f>
        <v/>
      </c>
      <c r="B163" s="24">
        <f>Catalog!D139</f>
        <v/>
      </c>
      <c r="C163" s="25">
        <f>IF(Catalog!D139="","",IF(ISBLANK(Catalog!F139),"Missing Creator; ","")&amp;IF(ISBLANK(Catalog!K139),"Missing Type; ","")&amp;IF(ISBLANK(Catalog!L139),"Missing Genre; ","")&amp;IF(ISBLANK(Catalog!W139),"Missing Location Type; ","")&amp;IF(ISBLANK(Catalog!X139),"Missing Location Id; ","")&amp;IF(AND(Catalog!S139&lt;&gt;"",COUNTIF(Catalog!$S$2:$S$501,Catalog!S139)&gt;1),"Duplicate ISBN; ","")&amp;IF(AND(Catalog!B139&lt;&gt;"",COUNTIF(Catalog!$B$2:$B$501,Catalog!B139)&gt;1),"Duplicate Accession; ",""))</f>
        <v/>
      </c>
    </row>
    <row r="164">
      <c r="A164" s="23">
        <f>Catalog!A140</f>
        <v/>
      </c>
      <c r="B164" s="24">
        <f>Catalog!D140</f>
        <v/>
      </c>
      <c r="C164" s="25">
        <f>IF(Catalog!D140="","",IF(ISBLANK(Catalog!F140),"Missing Creator; ","")&amp;IF(ISBLANK(Catalog!K140),"Missing Type; ","")&amp;IF(ISBLANK(Catalog!L140),"Missing Genre; ","")&amp;IF(ISBLANK(Catalog!W140),"Missing Location Type; ","")&amp;IF(ISBLANK(Catalog!X140),"Missing Location Id; ","")&amp;IF(AND(Catalog!S140&lt;&gt;"",COUNTIF(Catalog!$S$2:$S$501,Catalog!S140)&gt;1),"Duplicate ISBN; ","")&amp;IF(AND(Catalog!B140&lt;&gt;"",COUNTIF(Catalog!$B$2:$B$501,Catalog!B140)&gt;1),"Duplicate Accession; ",""))</f>
        <v/>
      </c>
    </row>
    <row r="165">
      <c r="A165" s="23">
        <f>Catalog!A141</f>
        <v/>
      </c>
      <c r="B165" s="24">
        <f>Catalog!D141</f>
        <v/>
      </c>
      <c r="C165" s="25">
        <f>IF(Catalog!D141="","",IF(ISBLANK(Catalog!F141),"Missing Creator; ","")&amp;IF(ISBLANK(Catalog!K141),"Missing Type; ","")&amp;IF(ISBLANK(Catalog!L141),"Missing Genre; ","")&amp;IF(ISBLANK(Catalog!W141),"Missing Location Type; ","")&amp;IF(ISBLANK(Catalog!X141),"Missing Location Id; ","")&amp;IF(AND(Catalog!S141&lt;&gt;"",COUNTIF(Catalog!$S$2:$S$501,Catalog!S141)&gt;1),"Duplicate ISBN; ","")&amp;IF(AND(Catalog!B141&lt;&gt;"",COUNTIF(Catalog!$B$2:$B$501,Catalog!B141)&gt;1),"Duplicate Accession; ",""))</f>
        <v/>
      </c>
    </row>
    <row r="166">
      <c r="A166" s="23">
        <f>Catalog!A142</f>
        <v/>
      </c>
      <c r="B166" s="24">
        <f>Catalog!D142</f>
        <v/>
      </c>
      <c r="C166" s="25">
        <f>IF(Catalog!D142="","",IF(ISBLANK(Catalog!F142),"Missing Creator; ","")&amp;IF(ISBLANK(Catalog!K142),"Missing Type; ","")&amp;IF(ISBLANK(Catalog!L142),"Missing Genre; ","")&amp;IF(ISBLANK(Catalog!W142),"Missing Location Type; ","")&amp;IF(ISBLANK(Catalog!X142),"Missing Location Id; ","")&amp;IF(AND(Catalog!S142&lt;&gt;"",COUNTIF(Catalog!$S$2:$S$501,Catalog!S142)&gt;1),"Duplicate ISBN; ","")&amp;IF(AND(Catalog!B142&lt;&gt;"",COUNTIF(Catalog!$B$2:$B$501,Catalog!B142)&gt;1),"Duplicate Accession; ",""))</f>
        <v/>
      </c>
    </row>
    <row r="167">
      <c r="A167" s="23">
        <f>Catalog!A143</f>
        <v/>
      </c>
      <c r="B167" s="24">
        <f>Catalog!D143</f>
        <v/>
      </c>
      <c r="C167" s="25">
        <f>IF(Catalog!D143="","",IF(ISBLANK(Catalog!F143),"Missing Creator; ","")&amp;IF(ISBLANK(Catalog!K143),"Missing Type; ","")&amp;IF(ISBLANK(Catalog!L143),"Missing Genre; ","")&amp;IF(ISBLANK(Catalog!W143),"Missing Location Type; ","")&amp;IF(ISBLANK(Catalog!X143),"Missing Location Id; ","")&amp;IF(AND(Catalog!S143&lt;&gt;"",COUNTIF(Catalog!$S$2:$S$501,Catalog!S143)&gt;1),"Duplicate ISBN; ","")&amp;IF(AND(Catalog!B143&lt;&gt;"",COUNTIF(Catalog!$B$2:$B$501,Catalog!B143)&gt;1),"Duplicate Accession; ",""))</f>
        <v/>
      </c>
    </row>
    <row r="168">
      <c r="A168" s="23">
        <f>Catalog!A144</f>
        <v/>
      </c>
      <c r="B168" s="24">
        <f>Catalog!D144</f>
        <v/>
      </c>
      <c r="C168" s="25">
        <f>IF(Catalog!D144="","",IF(ISBLANK(Catalog!F144),"Missing Creator; ","")&amp;IF(ISBLANK(Catalog!K144),"Missing Type; ","")&amp;IF(ISBLANK(Catalog!L144),"Missing Genre; ","")&amp;IF(ISBLANK(Catalog!W144),"Missing Location Type; ","")&amp;IF(ISBLANK(Catalog!X144),"Missing Location Id; ","")&amp;IF(AND(Catalog!S144&lt;&gt;"",COUNTIF(Catalog!$S$2:$S$501,Catalog!S144)&gt;1),"Duplicate ISBN; ","")&amp;IF(AND(Catalog!B144&lt;&gt;"",COUNTIF(Catalog!$B$2:$B$501,Catalog!B144)&gt;1),"Duplicate Accession; ",""))</f>
        <v/>
      </c>
    </row>
    <row r="169">
      <c r="A169" s="23">
        <f>Catalog!A145</f>
        <v/>
      </c>
      <c r="B169" s="24">
        <f>Catalog!D145</f>
        <v/>
      </c>
      <c r="C169" s="25">
        <f>IF(Catalog!D145="","",IF(ISBLANK(Catalog!F145),"Missing Creator; ","")&amp;IF(ISBLANK(Catalog!K145),"Missing Type; ","")&amp;IF(ISBLANK(Catalog!L145),"Missing Genre; ","")&amp;IF(ISBLANK(Catalog!W145),"Missing Location Type; ","")&amp;IF(ISBLANK(Catalog!X145),"Missing Location Id; ","")&amp;IF(AND(Catalog!S145&lt;&gt;"",COUNTIF(Catalog!$S$2:$S$501,Catalog!S145)&gt;1),"Duplicate ISBN; ","")&amp;IF(AND(Catalog!B145&lt;&gt;"",COUNTIF(Catalog!$B$2:$B$501,Catalog!B145)&gt;1),"Duplicate Accession; ",""))</f>
        <v/>
      </c>
    </row>
    <row r="170">
      <c r="A170" s="23">
        <f>Catalog!A146</f>
        <v/>
      </c>
      <c r="B170" s="24">
        <f>Catalog!D146</f>
        <v/>
      </c>
      <c r="C170" s="25">
        <f>IF(Catalog!D146="","",IF(ISBLANK(Catalog!F146),"Missing Creator; ","")&amp;IF(ISBLANK(Catalog!K146),"Missing Type; ","")&amp;IF(ISBLANK(Catalog!L146),"Missing Genre; ","")&amp;IF(ISBLANK(Catalog!W146),"Missing Location Type; ","")&amp;IF(ISBLANK(Catalog!X146),"Missing Location Id; ","")&amp;IF(AND(Catalog!S146&lt;&gt;"",COUNTIF(Catalog!$S$2:$S$501,Catalog!S146)&gt;1),"Duplicate ISBN; ","")&amp;IF(AND(Catalog!B146&lt;&gt;"",COUNTIF(Catalog!$B$2:$B$501,Catalog!B146)&gt;1),"Duplicate Accession; ",""))</f>
        <v/>
      </c>
    </row>
    <row r="171">
      <c r="A171" s="23">
        <f>Catalog!A147</f>
        <v/>
      </c>
      <c r="B171" s="24">
        <f>Catalog!D147</f>
        <v/>
      </c>
      <c r="C171" s="25">
        <f>IF(Catalog!D147="","",IF(ISBLANK(Catalog!F147),"Missing Creator; ","")&amp;IF(ISBLANK(Catalog!K147),"Missing Type; ","")&amp;IF(ISBLANK(Catalog!L147),"Missing Genre; ","")&amp;IF(ISBLANK(Catalog!W147),"Missing Location Type; ","")&amp;IF(ISBLANK(Catalog!X147),"Missing Location Id; ","")&amp;IF(AND(Catalog!S147&lt;&gt;"",COUNTIF(Catalog!$S$2:$S$501,Catalog!S147)&gt;1),"Duplicate ISBN; ","")&amp;IF(AND(Catalog!B147&lt;&gt;"",COUNTIF(Catalog!$B$2:$B$501,Catalog!B147)&gt;1),"Duplicate Accession; ",""))</f>
        <v/>
      </c>
    </row>
    <row r="172">
      <c r="A172" s="23">
        <f>Catalog!A148</f>
        <v/>
      </c>
      <c r="B172" s="24">
        <f>Catalog!D148</f>
        <v/>
      </c>
      <c r="C172" s="25">
        <f>IF(Catalog!D148="","",IF(ISBLANK(Catalog!F148),"Missing Creator; ","")&amp;IF(ISBLANK(Catalog!K148),"Missing Type; ","")&amp;IF(ISBLANK(Catalog!L148),"Missing Genre; ","")&amp;IF(ISBLANK(Catalog!W148),"Missing Location Type; ","")&amp;IF(ISBLANK(Catalog!X148),"Missing Location Id; ","")&amp;IF(AND(Catalog!S148&lt;&gt;"",COUNTIF(Catalog!$S$2:$S$501,Catalog!S148)&gt;1),"Duplicate ISBN; ","")&amp;IF(AND(Catalog!B148&lt;&gt;"",COUNTIF(Catalog!$B$2:$B$501,Catalog!B148)&gt;1),"Duplicate Accession; ",""))</f>
        <v/>
      </c>
    </row>
    <row r="173">
      <c r="A173" s="23">
        <f>Catalog!A149</f>
        <v/>
      </c>
      <c r="B173" s="24">
        <f>Catalog!D149</f>
        <v/>
      </c>
      <c r="C173" s="25">
        <f>IF(Catalog!D149="","",IF(ISBLANK(Catalog!F149),"Missing Creator; ","")&amp;IF(ISBLANK(Catalog!K149),"Missing Type; ","")&amp;IF(ISBLANK(Catalog!L149),"Missing Genre; ","")&amp;IF(ISBLANK(Catalog!W149),"Missing Location Type; ","")&amp;IF(ISBLANK(Catalog!X149),"Missing Location Id; ","")&amp;IF(AND(Catalog!S149&lt;&gt;"",COUNTIF(Catalog!$S$2:$S$501,Catalog!S149)&gt;1),"Duplicate ISBN; ","")&amp;IF(AND(Catalog!B149&lt;&gt;"",COUNTIF(Catalog!$B$2:$B$501,Catalog!B149)&gt;1),"Duplicate Accession; ",""))</f>
        <v/>
      </c>
    </row>
    <row r="174">
      <c r="A174" s="23">
        <f>Catalog!A150</f>
        <v/>
      </c>
      <c r="B174" s="24">
        <f>Catalog!D150</f>
        <v/>
      </c>
      <c r="C174" s="25">
        <f>IF(Catalog!D150="","",IF(ISBLANK(Catalog!F150),"Missing Creator; ","")&amp;IF(ISBLANK(Catalog!K150),"Missing Type; ","")&amp;IF(ISBLANK(Catalog!L150),"Missing Genre; ","")&amp;IF(ISBLANK(Catalog!W150),"Missing Location Type; ","")&amp;IF(ISBLANK(Catalog!X150),"Missing Location Id; ","")&amp;IF(AND(Catalog!S150&lt;&gt;"",COUNTIF(Catalog!$S$2:$S$501,Catalog!S150)&gt;1),"Duplicate ISBN; ","")&amp;IF(AND(Catalog!B150&lt;&gt;"",COUNTIF(Catalog!$B$2:$B$501,Catalog!B150)&gt;1),"Duplicate Accession; ",""))</f>
        <v/>
      </c>
    </row>
    <row r="175">
      <c r="A175" s="23">
        <f>Catalog!A151</f>
        <v/>
      </c>
      <c r="B175" s="24">
        <f>Catalog!D151</f>
        <v/>
      </c>
      <c r="C175" s="25">
        <f>IF(Catalog!D151="","",IF(ISBLANK(Catalog!F151),"Missing Creator; ","")&amp;IF(ISBLANK(Catalog!K151),"Missing Type; ","")&amp;IF(ISBLANK(Catalog!L151),"Missing Genre; ","")&amp;IF(ISBLANK(Catalog!W151),"Missing Location Type; ","")&amp;IF(ISBLANK(Catalog!X151),"Missing Location Id; ","")&amp;IF(AND(Catalog!S151&lt;&gt;"",COUNTIF(Catalog!$S$2:$S$501,Catalog!S151)&gt;1),"Duplicate ISBN; ","")&amp;IF(AND(Catalog!B151&lt;&gt;"",COUNTIF(Catalog!$B$2:$B$501,Catalog!B151)&gt;1),"Duplicate Accession; ",""))</f>
        <v/>
      </c>
    </row>
    <row r="176">
      <c r="A176" s="23">
        <f>Catalog!A152</f>
        <v/>
      </c>
      <c r="B176" s="24">
        <f>Catalog!D152</f>
        <v/>
      </c>
      <c r="C176" s="25">
        <f>IF(Catalog!D152="","",IF(ISBLANK(Catalog!F152),"Missing Creator; ","")&amp;IF(ISBLANK(Catalog!K152),"Missing Type; ","")&amp;IF(ISBLANK(Catalog!L152),"Missing Genre; ","")&amp;IF(ISBLANK(Catalog!W152),"Missing Location Type; ","")&amp;IF(ISBLANK(Catalog!X152),"Missing Location Id; ","")&amp;IF(AND(Catalog!S152&lt;&gt;"",COUNTIF(Catalog!$S$2:$S$501,Catalog!S152)&gt;1),"Duplicate ISBN; ","")&amp;IF(AND(Catalog!B152&lt;&gt;"",COUNTIF(Catalog!$B$2:$B$501,Catalog!B152)&gt;1),"Duplicate Accession; ",""))</f>
        <v/>
      </c>
    </row>
    <row r="177">
      <c r="A177" s="23">
        <f>Catalog!A153</f>
        <v/>
      </c>
      <c r="B177" s="24">
        <f>Catalog!D153</f>
        <v/>
      </c>
      <c r="C177" s="25">
        <f>IF(Catalog!D153="","",IF(ISBLANK(Catalog!F153),"Missing Creator; ","")&amp;IF(ISBLANK(Catalog!K153),"Missing Type; ","")&amp;IF(ISBLANK(Catalog!L153),"Missing Genre; ","")&amp;IF(ISBLANK(Catalog!W153),"Missing Location Type; ","")&amp;IF(ISBLANK(Catalog!X153),"Missing Location Id; ","")&amp;IF(AND(Catalog!S153&lt;&gt;"",COUNTIF(Catalog!$S$2:$S$501,Catalog!S153)&gt;1),"Duplicate ISBN; ","")&amp;IF(AND(Catalog!B153&lt;&gt;"",COUNTIF(Catalog!$B$2:$B$501,Catalog!B153)&gt;1),"Duplicate Accession; ",""))</f>
        <v/>
      </c>
    </row>
    <row r="178">
      <c r="A178" s="23">
        <f>Catalog!A154</f>
        <v/>
      </c>
      <c r="B178" s="24">
        <f>Catalog!D154</f>
        <v/>
      </c>
      <c r="C178" s="25">
        <f>IF(Catalog!D154="","",IF(ISBLANK(Catalog!F154),"Missing Creator; ","")&amp;IF(ISBLANK(Catalog!K154),"Missing Type; ","")&amp;IF(ISBLANK(Catalog!L154),"Missing Genre; ","")&amp;IF(ISBLANK(Catalog!W154),"Missing Location Type; ","")&amp;IF(ISBLANK(Catalog!X154),"Missing Location Id; ","")&amp;IF(AND(Catalog!S154&lt;&gt;"",COUNTIF(Catalog!$S$2:$S$501,Catalog!S154)&gt;1),"Duplicate ISBN; ","")&amp;IF(AND(Catalog!B154&lt;&gt;"",COUNTIF(Catalog!$B$2:$B$501,Catalog!B154)&gt;1),"Duplicate Accession; ",""))</f>
        <v/>
      </c>
    </row>
    <row r="179">
      <c r="A179" s="23">
        <f>Catalog!A155</f>
        <v/>
      </c>
      <c r="B179" s="24">
        <f>Catalog!D155</f>
        <v/>
      </c>
      <c r="C179" s="25">
        <f>IF(Catalog!D155="","",IF(ISBLANK(Catalog!F155),"Missing Creator; ","")&amp;IF(ISBLANK(Catalog!K155),"Missing Type; ","")&amp;IF(ISBLANK(Catalog!L155),"Missing Genre; ","")&amp;IF(ISBLANK(Catalog!W155),"Missing Location Type; ","")&amp;IF(ISBLANK(Catalog!X155),"Missing Location Id; ","")&amp;IF(AND(Catalog!S155&lt;&gt;"",COUNTIF(Catalog!$S$2:$S$501,Catalog!S155)&gt;1),"Duplicate ISBN; ","")&amp;IF(AND(Catalog!B155&lt;&gt;"",COUNTIF(Catalog!$B$2:$B$501,Catalog!B155)&gt;1),"Duplicate Accession; ",""))</f>
        <v/>
      </c>
    </row>
    <row r="180">
      <c r="A180" s="23">
        <f>Catalog!A156</f>
        <v/>
      </c>
      <c r="B180" s="24">
        <f>Catalog!D156</f>
        <v/>
      </c>
      <c r="C180" s="25">
        <f>IF(Catalog!D156="","",IF(ISBLANK(Catalog!F156),"Missing Creator; ","")&amp;IF(ISBLANK(Catalog!K156),"Missing Type; ","")&amp;IF(ISBLANK(Catalog!L156),"Missing Genre; ","")&amp;IF(ISBLANK(Catalog!W156),"Missing Location Type; ","")&amp;IF(ISBLANK(Catalog!X156),"Missing Location Id; ","")&amp;IF(AND(Catalog!S156&lt;&gt;"",COUNTIF(Catalog!$S$2:$S$501,Catalog!S156)&gt;1),"Duplicate ISBN; ","")&amp;IF(AND(Catalog!B156&lt;&gt;"",COUNTIF(Catalog!$B$2:$B$501,Catalog!B156)&gt;1),"Duplicate Accession; ",""))</f>
        <v/>
      </c>
    </row>
    <row r="181">
      <c r="A181" s="23">
        <f>Catalog!A157</f>
        <v/>
      </c>
      <c r="B181" s="24">
        <f>Catalog!D157</f>
        <v/>
      </c>
      <c r="C181" s="25">
        <f>IF(Catalog!D157="","",IF(ISBLANK(Catalog!F157),"Missing Creator; ","")&amp;IF(ISBLANK(Catalog!K157),"Missing Type; ","")&amp;IF(ISBLANK(Catalog!L157),"Missing Genre; ","")&amp;IF(ISBLANK(Catalog!W157),"Missing Location Type; ","")&amp;IF(ISBLANK(Catalog!X157),"Missing Location Id; ","")&amp;IF(AND(Catalog!S157&lt;&gt;"",COUNTIF(Catalog!$S$2:$S$501,Catalog!S157)&gt;1),"Duplicate ISBN; ","")&amp;IF(AND(Catalog!B157&lt;&gt;"",COUNTIF(Catalog!$B$2:$B$501,Catalog!B157)&gt;1),"Duplicate Accession; ",""))</f>
        <v/>
      </c>
    </row>
    <row r="182">
      <c r="A182" s="23">
        <f>Catalog!A158</f>
        <v/>
      </c>
      <c r="B182" s="24">
        <f>Catalog!D158</f>
        <v/>
      </c>
      <c r="C182" s="25">
        <f>IF(Catalog!D158="","",IF(ISBLANK(Catalog!F158),"Missing Creator; ","")&amp;IF(ISBLANK(Catalog!K158),"Missing Type; ","")&amp;IF(ISBLANK(Catalog!L158),"Missing Genre; ","")&amp;IF(ISBLANK(Catalog!W158),"Missing Location Type; ","")&amp;IF(ISBLANK(Catalog!X158),"Missing Location Id; ","")&amp;IF(AND(Catalog!S158&lt;&gt;"",COUNTIF(Catalog!$S$2:$S$501,Catalog!S158)&gt;1),"Duplicate ISBN; ","")&amp;IF(AND(Catalog!B158&lt;&gt;"",COUNTIF(Catalog!$B$2:$B$501,Catalog!B158)&gt;1),"Duplicate Accession; ",""))</f>
        <v/>
      </c>
    </row>
    <row r="183">
      <c r="A183" s="23">
        <f>Catalog!A159</f>
        <v/>
      </c>
      <c r="B183" s="24">
        <f>Catalog!D159</f>
        <v/>
      </c>
      <c r="C183" s="25">
        <f>IF(Catalog!D159="","",IF(ISBLANK(Catalog!F159),"Missing Creator; ","")&amp;IF(ISBLANK(Catalog!K159),"Missing Type; ","")&amp;IF(ISBLANK(Catalog!L159),"Missing Genre; ","")&amp;IF(ISBLANK(Catalog!W159),"Missing Location Type; ","")&amp;IF(ISBLANK(Catalog!X159),"Missing Location Id; ","")&amp;IF(AND(Catalog!S159&lt;&gt;"",COUNTIF(Catalog!$S$2:$S$501,Catalog!S159)&gt;1),"Duplicate ISBN; ","")&amp;IF(AND(Catalog!B159&lt;&gt;"",COUNTIF(Catalog!$B$2:$B$501,Catalog!B159)&gt;1),"Duplicate Accession; ",""))</f>
        <v/>
      </c>
    </row>
    <row r="184">
      <c r="A184" s="23">
        <f>Catalog!A160</f>
        <v/>
      </c>
      <c r="B184" s="24">
        <f>Catalog!D160</f>
        <v/>
      </c>
      <c r="C184" s="25">
        <f>IF(Catalog!D160="","",IF(ISBLANK(Catalog!F160),"Missing Creator; ","")&amp;IF(ISBLANK(Catalog!K160),"Missing Type; ","")&amp;IF(ISBLANK(Catalog!L160),"Missing Genre; ","")&amp;IF(ISBLANK(Catalog!W160),"Missing Location Type; ","")&amp;IF(ISBLANK(Catalog!X160),"Missing Location Id; ","")&amp;IF(AND(Catalog!S160&lt;&gt;"",COUNTIF(Catalog!$S$2:$S$501,Catalog!S160)&gt;1),"Duplicate ISBN; ","")&amp;IF(AND(Catalog!B160&lt;&gt;"",COUNTIF(Catalog!$B$2:$B$501,Catalog!B160)&gt;1),"Duplicate Accession; ",""))</f>
        <v/>
      </c>
    </row>
    <row r="185">
      <c r="A185" s="23">
        <f>Catalog!A161</f>
        <v/>
      </c>
      <c r="B185" s="24">
        <f>Catalog!D161</f>
        <v/>
      </c>
      <c r="C185" s="25">
        <f>IF(Catalog!D161="","",IF(ISBLANK(Catalog!F161),"Missing Creator; ","")&amp;IF(ISBLANK(Catalog!K161),"Missing Type; ","")&amp;IF(ISBLANK(Catalog!L161),"Missing Genre; ","")&amp;IF(ISBLANK(Catalog!W161),"Missing Location Type; ","")&amp;IF(ISBLANK(Catalog!X161),"Missing Location Id; ","")&amp;IF(AND(Catalog!S161&lt;&gt;"",COUNTIF(Catalog!$S$2:$S$501,Catalog!S161)&gt;1),"Duplicate ISBN; ","")&amp;IF(AND(Catalog!B161&lt;&gt;"",COUNTIF(Catalog!$B$2:$B$501,Catalog!B161)&gt;1),"Duplicate Accession; ",""))</f>
        <v/>
      </c>
    </row>
    <row r="186">
      <c r="A186" s="23">
        <f>Catalog!A162</f>
        <v/>
      </c>
      <c r="B186" s="24">
        <f>Catalog!D162</f>
        <v/>
      </c>
      <c r="C186" s="25">
        <f>IF(Catalog!D162="","",IF(ISBLANK(Catalog!F162),"Missing Creator; ","")&amp;IF(ISBLANK(Catalog!K162),"Missing Type; ","")&amp;IF(ISBLANK(Catalog!L162),"Missing Genre; ","")&amp;IF(ISBLANK(Catalog!W162),"Missing Location Type; ","")&amp;IF(ISBLANK(Catalog!X162),"Missing Location Id; ","")&amp;IF(AND(Catalog!S162&lt;&gt;"",COUNTIF(Catalog!$S$2:$S$501,Catalog!S162)&gt;1),"Duplicate ISBN; ","")&amp;IF(AND(Catalog!B162&lt;&gt;"",COUNTIF(Catalog!$B$2:$B$501,Catalog!B162)&gt;1),"Duplicate Accession; ",""))</f>
        <v/>
      </c>
    </row>
    <row r="187">
      <c r="A187" s="23">
        <f>Catalog!A163</f>
        <v/>
      </c>
      <c r="B187" s="24">
        <f>Catalog!D163</f>
        <v/>
      </c>
      <c r="C187" s="25">
        <f>IF(Catalog!D163="","",IF(ISBLANK(Catalog!F163),"Missing Creator; ","")&amp;IF(ISBLANK(Catalog!K163),"Missing Type; ","")&amp;IF(ISBLANK(Catalog!L163),"Missing Genre; ","")&amp;IF(ISBLANK(Catalog!W163),"Missing Location Type; ","")&amp;IF(ISBLANK(Catalog!X163),"Missing Location Id; ","")&amp;IF(AND(Catalog!S163&lt;&gt;"",COUNTIF(Catalog!$S$2:$S$501,Catalog!S163)&gt;1),"Duplicate ISBN; ","")&amp;IF(AND(Catalog!B163&lt;&gt;"",COUNTIF(Catalog!$B$2:$B$501,Catalog!B163)&gt;1),"Duplicate Accession; ",""))</f>
        <v/>
      </c>
    </row>
    <row r="188">
      <c r="A188" s="23">
        <f>Catalog!A164</f>
        <v/>
      </c>
      <c r="B188" s="24">
        <f>Catalog!D164</f>
        <v/>
      </c>
      <c r="C188" s="25">
        <f>IF(Catalog!D164="","",IF(ISBLANK(Catalog!F164),"Missing Creator; ","")&amp;IF(ISBLANK(Catalog!K164),"Missing Type; ","")&amp;IF(ISBLANK(Catalog!L164),"Missing Genre; ","")&amp;IF(ISBLANK(Catalog!W164),"Missing Location Type; ","")&amp;IF(ISBLANK(Catalog!X164),"Missing Location Id; ","")&amp;IF(AND(Catalog!S164&lt;&gt;"",COUNTIF(Catalog!$S$2:$S$501,Catalog!S164)&gt;1),"Duplicate ISBN; ","")&amp;IF(AND(Catalog!B164&lt;&gt;"",COUNTIF(Catalog!$B$2:$B$501,Catalog!B164)&gt;1),"Duplicate Accession; ",""))</f>
        <v/>
      </c>
    </row>
    <row r="189">
      <c r="A189" s="23">
        <f>Catalog!A165</f>
        <v/>
      </c>
      <c r="B189" s="24">
        <f>Catalog!D165</f>
        <v/>
      </c>
      <c r="C189" s="25">
        <f>IF(Catalog!D165="","",IF(ISBLANK(Catalog!F165),"Missing Creator; ","")&amp;IF(ISBLANK(Catalog!K165),"Missing Type; ","")&amp;IF(ISBLANK(Catalog!L165),"Missing Genre; ","")&amp;IF(ISBLANK(Catalog!W165),"Missing Location Type; ","")&amp;IF(ISBLANK(Catalog!X165),"Missing Location Id; ","")&amp;IF(AND(Catalog!S165&lt;&gt;"",COUNTIF(Catalog!$S$2:$S$501,Catalog!S165)&gt;1),"Duplicate ISBN; ","")&amp;IF(AND(Catalog!B165&lt;&gt;"",COUNTIF(Catalog!$B$2:$B$501,Catalog!B165)&gt;1),"Duplicate Accession; ",""))</f>
        <v/>
      </c>
    </row>
    <row r="190">
      <c r="A190" s="23">
        <f>Catalog!A166</f>
        <v/>
      </c>
      <c r="B190" s="24">
        <f>Catalog!D166</f>
        <v/>
      </c>
      <c r="C190" s="25">
        <f>IF(Catalog!D166="","",IF(ISBLANK(Catalog!F166),"Missing Creator; ","")&amp;IF(ISBLANK(Catalog!K166),"Missing Type; ","")&amp;IF(ISBLANK(Catalog!L166),"Missing Genre; ","")&amp;IF(ISBLANK(Catalog!W166),"Missing Location Type; ","")&amp;IF(ISBLANK(Catalog!X166),"Missing Location Id; ","")&amp;IF(AND(Catalog!S166&lt;&gt;"",COUNTIF(Catalog!$S$2:$S$501,Catalog!S166)&gt;1),"Duplicate ISBN; ","")&amp;IF(AND(Catalog!B166&lt;&gt;"",COUNTIF(Catalog!$B$2:$B$501,Catalog!B166)&gt;1),"Duplicate Accession; ",""))</f>
        <v/>
      </c>
    </row>
    <row r="191">
      <c r="A191" s="23">
        <f>Catalog!A167</f>
        <v/>
      </c>
      <c r="B191" s="24">
        <f>Catalog!D167</f>
        <v/>
      </c>
      <c r="C191" s="25">
        <f>IF(Catalog!D167="","",IF(ISBLANK(Catalog!F167),"Missing Creator; ","")&amp;IF(ISBLANK(Catalog!K167),"Missing Type; ","")&amp;IF(ISBLANK(Catalog!L167),"Missing Genre; ","")&amp;IF(ISBLANK(Catalog!W167),"Missing Location Type; ","")&amp;IF(ISBLANK(Catalog!X167),"Missing Location Id; ","")&amp;IF(AND(Catalog!S167&lt;&gt;"",COUNTIF(Catalog!$S$2:$S$501,Catalog!S167)&gt;1),"Duplicate ISBN; ","")&amp;IF(AND(Catalog!B167&lt;&gt;"",COUNTIF(Catalog!$B$2:$B$501,Catalog!B167)&gt;1),"Duplicate Accession; ",""))</f>
        <v/>
      </c>
    </row>
    <row r="192">
      <c r="A192" s="23">
        <f>Catalog!A168</f>
        <v/>
      </c>
      <c r="B192" s="24">
        <f>Catalog!D168</f>
        <v/>
      </c>
      <c r="C192" s="25">
        <f>IF(Catalog!D168="","",IF(ISBLANK(Catalog!F168),"Missing Creator; ","")&amp;IF(ISBLANK(Catalog!K168),"Missing Type; ","")&amp;IF(ISBLANK(Catalog!L168),"Missing Genre; ","")&amp;IF(ISBLANK(Catalog!W168),"Missing Location Type; ","")&amp;IF(ISBLANK(Catalog!X168),"Missing Location Id; ","")&amp;IF(AND(Catalog!S168&lt;&gt;"",COUNTIF(Catalog!$S$2:$S$501,Catalog!S168)&gt;1),"Duplicate ISBN; ","")&amp;IF(AND(Catalog!B168&lt;&gt;"",COUNTIF(Catalog!$B$2:$B$501,Catalog!B168)&gt;1),"Duplicate Accession; ",""))</f>
        <v/>
      </c>
    </row>
    <row r="193">
      <c r="A193" s="23">
        <f>Catalog!A169</f>
        <v/>
      </c>
      <c r="B193" s="24">
        <f>Catalog!D169</f>
        <v/>
      </c>
      <c r="C193" s="25">
        <f>IF(Catalog!D169="","",IF(ISBLANK(Catalog!F169),"Missing Creator; ","")&amp;IF(ISBLANK(Catalog!K169),"Missing Type; ","")&amp;IF(ISBLANK(Catalog!L169),"Missing Genre; ","")&amp;IF(ISBLANK(Catalog!W169),"Missing Location Type; ","")&amp;IF(ISBLANK(Catalog!X169),"Missing Location Id; ","")&amp;IF(AND(Catalog!S169&lt;&gt;"",COUNTIF(Catalog!$S$2:$S$501,Catalog!S169)&gt;1),"Duplicate ISBN; ","")&amp;IF(AND(Catalog!B169&lt;&gt;"",COUNTIF(Catalog!$B$2:$B$501,Catalog!B169)&gt;1),"Duplicate Accession; ",""))</f>
        <v/>
      </c>
    </row>
    <row r="194">
      <c r="A194" s="23">
        <f>Catalog!A170</f>
        <v/>
      </c>
      <c r="B194" s="24">
        <f>Catalog!D170</f>
        <v/>
      </c>
      <c r="C194" s="25">
        <f>IF(Catalog!D170="","",IF(ISBLANK(Catalog!F170),"Missing Creator; ","")&amp;IF(ISBLANK(Catalog!K170),"Missing Type; ","")&amp;IF(ISBLANK(Catalog!L170),"Missing Genre; ","")&amp;IF(ISBLANK(Catalog!W170),"Missing Location Type; ","")&amp;IF(ISBLANK(Catalog!X170),"Missing Location Id; ","")&amp;IF(AND(Catalog!S170&lt;&gt;"",COUNTIF(Catalog!$S$2:$S$501,Catalog!S170)&gt;1),"Duplicate ISBN; ","")&amp;IF(AND(Catalog!B170&lt;&gt;"",COUNTIF(Catalog!$B$2:$B$501,Catalog!B170)&gt;1),"Duplicate Accession; ",""))</f>
        <v/>
      </c>
    </row>
    <row r="195">
      <c r="A195" s="23">
        <f>Catalog!A171</f>
        <v/>
      </c>
      <c r="B195" s="24">
        <f>Catalog!D171</f>
        <v/>
      </c>
      <c r="C195" s="25">
        <f>IF(Catalog!D171="","",IF(ISBLANK(Catalog!F171),"Missing Creator; ","")&amp;IF(ISBLANK(Catalog!K171),"Missing Type; ","")&amp;IF(ISBLANK(Catalog!L171),"Missing Genre; ","")&amp;IF(ISBLANK(Catalog!W171),"Missing Location Type; ","")&amp;IF(ISBLANK(Catalog!X171),"Missing Location Id; ","")&amp;IF(AND(Catalog!S171&lt;&gt;"",COUNTIF(Catalog!$S$2:$S$501,Catalog!S171)&gt;1),"Duplicate ISBN; ","")&amp;IF(AND(Catalog!B171&lt;&gt;"",COUNTIF(Catalog!$B$2:$B$501,Catalog!B171)&gt;1),"Duplicate Accession; ",""))</f>
        <v/>
      </c>
    </row>
    <row r="196">
      <c r="A196" s="23">
        <f>Catalog!A172</f>
        <v/>
      </c>
      <c r="B196" s="24">
        <f>Catalog!D172</f>
        <v/>
      </c>
      <c r="C196" s="25">
        <f>IF(Catalog!D172="","",IF(ISBLANK(Catalog!F172),"Missing Creator; ","")&amp;IF(ISBLANK(Catalog!K172),"Missing Type; ","")&amp;IF(ISBLANK(Catalog!L172),"Missing Genre; ","")&amp;IF(ISBLANK(Catalog!W172),"Missing Location Type; ","")&amp;IF(ISBLANK(Catalog!X172),"Missing Location Id; ","")&amp;IF(AND(Catalog!S172&lt;&gt;"",COUNTIF(Catalog!$S$2:$S$501,Catalog!S172)&gt;1),"Duplicate ISBN; ","")&amp;IF(AND(Catalog!B172&lt;&gt;"",COUNTIF(Catalog!$B$2:$B$501,Catalog!B172)&gt;1),"Duplicate Accession; ",""))</f>
        <v/>
      </c>
    </row>
    <row r="197">
      <c r="A197" s="23">
        <f>Catalog!A173</f>
        <v/>
      </c>
      <c r="B197" s="24">
        <f>Catalog!D173</f>
        <v/>
      </c>
      <c r="C197" s="25">
        <f>IF(Catalog!D173="","",IF(ISBLANK(Catalog!F173),"Missing Creator; ","")&amp;IF(ISBLANK(Catalog!K173),"Missing Type; ","")&amp;IF(ISBLANK(Catalog!L173),"Missing Genre; ","")&amp;IF(ISBLANK(Catalog!W173),"Missing Location Type; ","")&amp;IF(ISBLANK(Catalog!X173),"Missing Location Id; ","")&amp;IF(AND(Catalog!S173&lt;&gt;"",COUNTIF(Catalog!$S$2:$S$501,Catalog!S173)&gt;1),"Duplicate ISBN; ","")&amp;IF(AND(Catalog!B173&lt;&gt;"",COUNTIF(Catalog!$B$2:$B$501,Catalog!B173)&gt;1),"Duplicate Accession; ",""))</f>
        <v/>
      </c>
    </row>
    <row r="198">
      <c r="A198" s="23">
        <f>Catalog!A174</f>
        <v/>
      </c>
      <c r="B198" s="24">
        <f>Catalog!D174</f>
        <v/>
      </c>
      <c r="C198" s="25">
        <f>IF(Catalog!D174="","",IF(ISBLANK(Catalog!F174),"Missing Creator; ","")&amp;IF(ISBLANK(Catalog!K174),"Missing Type; ","")&amp;IF(ISBLANK(Catalog!L174),"Missing Genre; ","")&amp;IF(ISBLANK(Catalog!W174),"Missing Location Type; ","")&amp;IF(ISBLANK(Catalog!X174),"Missing Location Id; ","")&amp;IF(AND(Catalog!S174&lt;&gt;"",COUNTIF(Catalog!$S$2:$S$501,Catalog!S174)&gt;1),"Duplicate ISBN; ","")&amp;IF(AND(Catalog!B174&lt;&gt;"",COUNTIF(Catalog!$B$2:$B$501,Catalog!B174)&gt;1),"Duplicate Accession; ",""))</f>
        <v/>
      </c>
    </row>
    <row r="199">
      <c r="A199" s="23">
        <f>Catalog!A175</f>
        <v/>
      </c>
      <c r="B199" s="24">
        <f>Catalog!D175</f>
        <v/>
      </c>
      <c r="C199" s="25">
        <f>IF(Catalog!D175="","",IF(ISBLANK(Catalog!F175),"Missing Creator; ","")&amp;IF(ISBLANK(Catalog!K175),"Missing Type; ","")&amp;IF(ISBLANK(Catalog!L175),"Missing Genre; ","")&amp;IF(ISBLANK(Catalog!W175),"Missing Location Type; ","")&amp;IF(ISBLANK(Catalog!X175),"Missing Location Id; ","")&amp;IF(AND(Catalog!S175&lt;&gt;"",COUNTIF(Catalog!$S$2:$S$501,Catalog!S175)&gt;1),"Duplicate ISBN; ","")&amp;IF(AND(Catalog!B175&lt;&gt;"",COUNTIF(Catalog!$B$2:$B$501,Catalog!B175)&gt;1),"Duplicate Accession; ",""))</f>
        <v/>
      </c>
    </row>
    <row r="200">
      <c r="A200" s="23">
        <f>Catalog!A176</f>
        <v/>
      </c>
      <c r="B200" s="24">
        <f>Catalog!D176</f>
        <v/>
      </c>
      <c r="C200" s="25">
        <f>IF(Catalog!D176="","",IF(ISBLANK(Catalog!F176),"Missing Creator; ","")&amp;IF(ISBLANK(Catalog!K176),"Missing Type; ","")&amp;IF(ISBLANK(Catalog!L176),"Missing Genre; ","")&amp;IF(ISBLANK(Catalog!W176),"Missing Location Type; ","")&amp;IF(ISBLANK(Catalog!X176),"Missing Location Id; ","")&amp;IF(AND(Catalog!S176&lt;&gt;"",COUNTIF(Catalog!$S$2:$S$501,Catalog!S176)&gt;1),"Duplicate ISBN; ","")&amp;IF(AND(Catalog!B176&lt;&gt;"",COUNTIF(Catalog!$B$2:$B$501,Catalog!B176)&gt;1),"Duplicate Accession; ",""))</f>
        <v/>
      </c>
    </row>
    <row r="201">
      <c r="A201" s="23">
        <f>Catalog!A177</f>
        <v/>
      </c>
      <c r="B201" s="24">
        <f>Catalog!D177</f>
        <v/>
      </c>
      <c r="C201" s="25">
        <f>IF(Catalog!D177="","",IF(ISBLANK(Catalog!F177),"Missing Creator; ","")&amp;IF(ISBLANK(Catalog!K177),"Missing Type; ","")&amp;IF(ISBLANK(Catalog!L177),"Missing Genre; ","")&amp;IF(ISBLANK(Catalog!W177),"Missing Location Type; ","")&amp;IF(ISBLANK(Catalog!X177),"Missing Location Id; ","")&amp;IF(AND(Catalog!S177&lt;&gt;"",COUNTIF(Catalog!$S$2:$S$501,Catalog!S177)&gt;1),"Duplicate ISBN; ","")&amp;IF(AND(Catalog!B177&lt;&gt;"",COUNTIF(Catalog!$B$2:$B$501,Catalog!B177)&gt;1),"Duplicate Accession; ",""))</f>
        <v/>
      </c>
    </row>
    <row r="202">
      <c r="A202" s="23">
        <f>Catalog!A178</f>
        <v/>
      </c>
      <c r="B202" s="24">
        <f>Catalog!D178</f>
        <v/>
      </c>
      <c r="C202" s="25">
        <f>IF(Catalog!D178="","",IF(ISBLANK(Catalog!F178),"Missing Creator; ","")&amp;IF(ISBLANK(Catalog!K178),"Missing Type; ","")&amp;IF(ISBLANK(Catalog!L178),"Missing Genre; ","")&amp;IF(ISBLANK(Catalog!W178),"Missing Location Type; ","")&amp;IF(ISBLANK(Catalog!X178),"Missing Location Id; ","")&amp;IF(AND(Catalog!S178&lt;&gt;"",COUNTIF(Catalog!$S$2:$S$501,Catalog!S178)&gt;1),"Duplicate ISBN; ","")&amp;IF(AND(Catalog!B178&lt;&gt;"",COUNTIF(Catalog!$B$2:$B$501,Catalog!B178)&gt;1),"Duplicate Accession; ",""))</f>
        <v/>
      </c>
    </row>
    <row r="203">
      <c r="A203" s="23">
        <f>Catalog!A179</f>
        <v/>
      </c>
      <c r="B203" s="24">
        <f>Catalog!D179</f>
        <v/>
      </c>
      <c r="C203" s="25">
        <f>IF(Catalog!D179="","",IF(ISBLANK(Catalog!F179),"Missing Creator; ","")&amp;IF(ISBLANK(Catalog!K179),"Missing Type; ","")&amp;IF(ISBLANK(Catalog!L179),"Missing Genre; ","")&amp;IF(ISBLANK(Catalog!W179),"Missing Location Type; ","")&amp;IF(ISBLANK(Catalog!X179),"Missing Location Id; ","")&amp;IF(AND(Catalog!S179&lt;&gt;"",COUNTIF(Catalog!$S$2:$S$501,Catalog!S179)&gt;1),"Duplicate ISBN; ","")&amp;IF(AND(Catalog!B179&lt;&gt;"",COUNTIF(Catalog!$B$2:$B$501,Catalog!B179)&gt;1),"Duplicate Accession; ",""))</f>
        <v/>
      </c>
    </row>
    <row r="204">
      <c r="A204" s="23">
        <f>Catalog!A180</f>
        <v/>
      </c>
      <c r="B204" s="24">
        <f>Catalog!D180</f>
        <v/>
      </c>
      <c r="C204" s="25">
        <f>IF(Catalog!D180="","",IF(ISBLANK(Catalog!F180),"Missing Creator; ","")&amp;IF(ISBLANK(Catalog!K180),"Missing Type; ","")&amp;IF(ISBLANK(Catalog!L180),"Missing Genre; ","")&amp;IF(ISBLANK(Catalog!W180),"Missing Location Type; ","")&amp;IF(ISBLANK(Catalog!X180),"Missing Location Id; ","")&amp;IF(AND(Catalog!S180&lt;&gt;"",COUNTIF(Catalog!$S$2:$S$501,Catalog!S180)&gt;1),"Duplicate ISBN; ","")&amp;IF(AND(Catalog!B180&lt;&gt;"",COUNTIF(Catalog!$B$2:$B$501,Catalog!B180)&gt;1),"Duplicate Accession; ",""))</f>
        <v/>
      </c>
    </row>
    <row r="205">
      <c r="A205" s="23">
        <f>Catalog!A181</f>
        <v/>
      </c>
      <c r="B205" s="24">
        <f>Catalog!D181</f>
        <v/>
      </c>
      <c r="C205" s="25">
        <f>IF(Catalog!D181="","",IF(ISBLANK(Catalog!F181),"Missing Creator; ","")&amp;IF(ISBLANK(Catalog!K181),"Missing Type; ","")&amp;IF(ISBLANK(Catalog!L181),"Missing Genre; ","")&amp;IF(ISBLANK(Catalog!W181),"Missing Location Type; ","")&amp;IF(ISBLANK(Catalog!X181),"Missing Location Id; ","")&amp;IF(AND(Catalog!S181&lt;&gt;"",COUNTIF(Catalog!$S$2:$S$501,Catalog!S181)&gt;1),"Duplicate ISBN; ","")&amp;IF(AND(Catalog!B181&lt;&gt;"",COUNTIF(Catalog!$B$2:$B$501,Catalog!B181)&gt;1),"Duplicate Accession; ",""))</f>
        <v/>
      </c>
    </row>
    <row r="206">
      <c r="A206" s="23">
        <f>Catalog!A182</f>
        <v/>
      </c>
      <c r="B206" s="24">
        <f>Catalog!D182</f>
        <v/>
      </c>
      <c r="C206" s="25">
        <f>IF(Catalog!D182="","",IF(ISBLANK(Catalog!F182),"Missing Creator; ","")&amp;IF(ISBLANK(Catalog!K182),"Missing Type; ","")&amp;IF(ISBLANK(Catalog!L182),"Missing Genre; ","")&amp;IF(ISBLANK(Catalog!W182),"Missing Location Type; ","")&amp;IF(ISBLANK(Catalog!X182),"Missing Location Id; ","")&amp;IF(AND(Catalog!S182&lt;&gt;"",COUNTIF(Catalog!$S$2:$S$501,Catalog!S182)&gt;1),"Duplicate ISBN; ","")&amp;IF(AND(Catalog!B182&lt;&gt;"",COUNTIF(Catalog!$B$2:$B$501,Catalog!B182)&gt;1),"Duplicate Accession; ",""))</f>
        <v/>
      </c>
    </row>
    <row r="207">
      <c r="A207" s="23">
        <f>Catalog!A183</f>
        <v/>
      </c>
      <c r="B207" s="24">
        <f>Catalog!D183</f>
        <v/>
      </c>
      <c r="C207" s="25">
        <f>IF(Catalog!D183="","",IF(ISBLANK(Catalog!F183),"Missing Creator; ","")&amp;IF(ISBLANK(Catalog!K183),"Missing Type; ","")&amp;IF(ISBLANK(Catalog!L183),"Missing Genre; ","")&amp;IF(ISBLANK(Catalog!W183),"Missing Location Type; ","")&amp;IF(ISBLANK(Catalog!X183),"Missing Location Id; ","")&amp;IF(AND(Catalog!S183&lt;&gt;"",COUNTIF(Catalog!$S$2:$S$501,Catalog!S183)&gt;1),"Duplicate ISBN; ","")&amp;IF(AND(Catalog!B183&lt;&gt;"",COUNTIF(Catalog!$B$2:$B$501,Catalog!B183)&gt;1),"Duplicate Accession; ",""))</f>
        <v/>
      </c>
    </row>
    <row r="208">
      <c r="A208" s="23">
        <f>Catalog!A184</f>
        <v/>
      </c>
      <c r="B208" s="24">
        <f>Catalog!D184</f>
        <v/>
      </c>
      <c r="C208" s="25">
        <f>IF(Catalog!D184="","",IF(ISBLANK(Catalog!F184),"Missing Creator; ","")&amp;IF(ISBLANK(Catalog!K184),"Missing Type; ","")&amp;IF(ISBLANK(Catalog!L184),"Missing Genre; ","")&amp;IF(ISBLANK(Catalog!W184),"Missing Location Type; ","")&amp;IF(ISBLANK(Catalog!X184),"Missing Location Id; ","")&amp;IF(AND(Catalog!S184&lt;&gt;"",COUNTIF(Catalog!$S$2:$S$501,Catalog!S184)&gt;1),"Duplicate ISBN; ","")&amp;IF(AND(Catalog!B184&lt;&gt;"",COUNTIF(Catalog!$B$2:$B$501,Catalog!B184)&gt;1),"Duplicate Accession; ",""))</f>
        <v/>
      </c>
    </row>
    <row r="209">
      <c r="A209" s="23">
        <f>Catalog!A185</f>
        <v/>
      </c>
      <c r="B209" s="24">
        <f>Catalog!D185</f>
        <v/>
      </c>
      <c r="C209" s="25">
        <f>IF(Catalog!D185="","",IF(ISBLANK(Catalog!F185),"Missing Creator; ","")&amp;IF(ISBLANK(Catalog!K185),"Missing Type; ","")&amp;IF(ISBLANK(Catalog!L185),"Missing Genre; ","")&amp;IF(ISBLANK(Catalog!W185),"Missing Location Type; ","")&amp;IF(ISBLANK(Catalog!X185),"Missing Location Id; ","")&amp;IF(AND(Catalog!S185&lt;&gt;"",COUNTIF(Catalog!$S$2:$S$501,Catalog!S185)&gt;1),"Duplicate ISBN; ","")&amp;IF(AND(Catalog!B185&lt;&gt;"",COUNTIF(Catalog!$B$2:$B$501,Catalog!B185)&gt;1),"Duplicate Accession; ",""))</f>
        <v/>
      </c>
    </row>
    <row r="210">
      <c r="A210" s="23">
        <f>Catalog!A186</f>
        <v/>
      </c>
      <c r="B210" s="24">
        <f>Catalog!D186</f>
        <v/>
      </c>
      <c r="C210" s="25">
        <f>IF(Catalog!D186="","",IF(ISBLANK(Catalog!F186),"Missing Creator; ","")&amp;IF(ISBLANK(Catalog!K186),"Missing Type; ","")&amp;IF(ISBLANK(Catalog!L186),"Missing Genre; ","")&amp;IF(ISBLANK(Catalog!W186),"Missing Location Type; ","")&amp;IF(ISBLANK(Catalog!X186),"Missing Location Id; ","")&amp;IF(AND(Catalog!S186&lt;&gt;"",COUNTIF(Catalog!$S$2:$S$501,Catalog!S186)&gt;1),"Duplicate ISBN; ","")&amp;IF(AND(Catalog!B186&lt;&gt;"",COUNTIF(Catalog!$B$2:$B$501,Catalog!B186)&gt;1),"Duplicate Accession; ",""))</f>
        <v/>
      </c>
    </row>
    <row r="211">
      <c r="A211" s="23">
        <f>Catalog!A187</f>
        <v/>
      </c>
      <c r="B211" s="24">
        <f>Catalog!D187</f>
        <v/>
      </c>
      <c r="C211" s="25">
        <f>IF(Catalog!D187="","",IF(ISBLANK(Catalog!F187),"Missing Creator; ","")&amp;IF(ISBLANK(Catalog!K187),"Missing Type; ","")&amp;IF(ISBLANK(Catalog!L187),"Missing Genre; ","")&amp;IF(ISBLANK(Catalog!W187),"Missing Location Type; ","")&amp;IF(ISBLANK(Catalog!X187),"Missing Location Id; ","")&amp;IF(AND(Catalog!S187&lt;&gt;"",COUNTIF(Catalog!$S$2:$S$501,Catalog!S187)&gt;1),"Duplicate ISBN; ","")&amp;IF(AND(Catalog!B187&lt;&gt;"",COUNTIF(Catalog!$B$2:$B$501,Catalog!B187)&gt;1),"Duplicate Accession; ",""))</f>
        <v/>
      </c>
    </row>
    <row r="212">
      <c r="A212" s="23">
        <f>Catalog!A188</f>
        <v/>
      </c>
      <c r="B212" s="24">
        <f>Catalog!D188</f>
        <v/>
      </c>
      <c r="C212" s="25">
        <f>IF(Catalog!D188="","",IF(ISBLANK(Catalog!F188),"Missing Creator; ","")&amp;IF(ISBLANK(Catalog!K188),"Missing Type; ","")&amp;IF(ISBLANK(Catalog!L188),"Missing Genre; ","")&amp;IF(ISBLANK(Catalog!W188),"Missing Location Type; ","")&amp;IF(ISBLANK(Catalog!X188),"Missing Location Id; ","")&amp;IF(AND(Catalog!S188&lt;&gt;"",COUNTIF(Catalog!$S$2:$S$501,Catalog!S188)&gt;1),"Duplicate ISBN; ","")&amp;IF(AND(Catalog!B188&lt;&gt;"",COUNTIF(Catalog!$B$2:$B$501,Catalog!B188)&gt;1),"Duplicate Accession; ",""))</f>
        <v/>
      </c>
    </row>
    <row r="213">
      <c r="A213" s="23">
        <f>Catalog!A189</f>
        <v/>
      </c>
      <c r="B213" s="24">
        <f>Catalog!D189</f>
        <v/>
      </c>
      <c r="C213" s="25">
        <f>IF(Catalog!D189="","",IF(ISBLANK(Catalog!F189),"Missing Creator; ","")&amp;IF(ISBLANK(Catalog!K189),"Missing Type; ","")&amp;IF(ISBLANK(Catalog!L189),"Missing Genre; ","")&amp;IF(ISBLANK(Catalog!W189),"Missing Location Type; ","")&amp;IF(ISBLANK(Catalog!X189),"Missing Location Id; ","")&amp;IF(AND(Catalog!S189&lt;&gt;"",COUNTIF(Catalog!$S$2:$S$501,Catalog!S189)&gt;1),"Duplicate ISBN; ","")&amp;IF(AND(Catalog!B189&lt;&gt;"",COUNTIF(Catalog!$B$2:$B$501,Catalog!B189)&gt;1),"Duplicate Accession; ",""))</f>
        <v/>
      </c>
    </row>
    <row r="214">
      <c r="A214" s="23">
        <f>Catalog!A190</f>
        <v/>
      </c>
      <c r="B214" s="24">
        <f>Catalog!D190</f>
        <v/>
      </c>
      <c r="C214" s="25">
        <f>IF(Catalog!D190="","",IF(ISBLANK(Catalog!F190),"Missing Creator; ","")&amp;IF(ISBLANK(Catalog!K190),"Missing Type; ","")&amp;IF(ISBLANK(Catalog!L190),"Missing Genre; ","")&amp;IF(ISBLANK(Catalog!W190),"Missing Location Type; ","")&amp;IF(ISBLANK(Catalog!X190),"Missing Location Id; ","")&amp;IF(AND(Catalog!S190&lt;&gt;"",COUNTIF(Catalog!$S$2:$S$501,Catalog!S190)&gt;1),"Duplicate ISBN; ","")&amp;IF(AND(Catalog!B190&lt;&gt;"",COUNTIF(Catalog!$B$2:$B$501,Catalog!B190)&gt;1),"Duplicate Accession; ",""))</f>
        <v/>
      </c>
    </row>
    <row r="215">
      <c r="A215" s="23">
        <f>Catalog!A191</f>
        <v/>
      </c>
      <c r="B215" s="24">
        <f>Catalog!D191</f>
        <v/>
      </c>
      <c r="C215" s="25">
        <f>IF(Catalog!D191="","",IF(ISBLANK(Catalog!F191),"Missing Creator; ","")&amp;IF(ISBLANK(Catalog!K191),"Missing Type; ","")&amp;IF(ISBLANK(Catalog!L191),"Missing Genre; ","")&amp;IF(ISBLANK(Catalog!W191),"Missing Location Type; ","")&amp;IF(ISBLANK(Catalog!X191),"Missing Location Id; ","")&amp;IF(AND(Catalog!S191&lt;&gt;"",COUNTIF(Catalog!$S$2:$S$501,Catalog!S191)&gt;1),"Duplicate ISBN; ","")&amp;IF(AND(Catalog!B191&lt;&gt;"",COUNTIF(Catalog!$B$2:$B$501,Catalog!B191)&gt;1),"Duplicate Accession; ",""))</f>
        <v/>
      </c>
    </row>
    <row r="216">
      <c r="A216" s="23">
        <f>Catalog!A192</f>
        <v/>
      </c>
      <c r="B216" s="24">
        <f>Catalog!D192</f>
        <v/>
      </c>
      <c r="C216" s="25">
        <f>IF(Catalog!D192="","",IF(ISBLANK(Catalog!F192),"Missing Creator; ","")&amp;IF(ISBLANK(Catalog!K192),"Missing Type; ","")&amp;IF(ISBLANK(Catalog!L192),"Missing Genre; ","")&amp;IF(ISBLANK(Catalog!W192),"Missing Location Type; ","")&amp;IF(ISBLANK(Catalog!X192),"Missing Location Id; ","")&amp;IF(AND(Catalog!S192&lt;&gt;"",COUNTIF(Catalog!$S$2:$S$501,Catalog!S192)&gt;1),"Duplicate ISBN; ","")&amp;IF(AND(Catalog!B192&lt;&gt;"",COUNTIF(Catalog!$B$2:$B$501,Catalog!B192)&gt;1),"Duplicate Accession; ",""))</f>
        <v/>
      </c>
    </row>
    <row r="217">
      <c r="A217" s="23">
        <f>Catalog!A193</f>
        <v/>
      </c>
      <c r="B217" s="24">
        <f>Catalog!D193</f>
        <v/>
      </c>
      <c r="C217" s="25">
        <f>IF(Catalog!D193="","",IF(ISBLANK(Catalog!F193),"Missing Creator; ","")&amp;IF(ISBLANK(Catalog!K193),"Missing Type; ","")&amp;IF(ISBLANK(Catalog!L193),"Missing Genre; ","")&amp;IF(ISBLANK(Catalog!W193),"Missing Location Type; ","")&amp;IF(ISBLANK(Catalog!X193),"Missing Location Id; ","")&amp;IF(AND(Catalog!S193&lt;&gt;"",COUNTIF(Catalog!$S$2:$S$501,Catalog!S193)&gt;1),"Duplicate ISBN; ","")&amp;IF(AND(Catalog!B193&lt;&gt;"",COUNTIF(Catalog!$B$2:$B$501,Catalog!B193)&gt;1),"Duplicate Accession; ",""))</f>
        <v/>
      </c>
    </row>
    <row r="218">
      <c r="A218" s="23">
        <f>Catalog!A194</f>
        <v/>
      </c>
      <c r="B218" s="24">
        <f>Catalog!D194</f>
        <v/>
      </c>
      <c r="C218" s="25">
        <f>IF(Catalog!D194="","",IF(ISBLANK(Catalog!F194),"Missing Creator; ","")&amp;IF(ISBLANK(Catalog!K194),"Missing Type; ","")&amp;IF(ISBLANK(Catalog!L194),"Missing Genre; ","")&amp;IF(ISBLANK(Catalog!W194),"Missing Location Type; ","")&amp;IF(ISBLANK(Catalog!X194),"Missing Location Id; ","")&amp;IF(AND(Catalog!S194&lt;&gt;"",COUNTIF(Catalog!$S$2:$S$501,Catalog!S194)&gt;1),"Duplicate ISBN; ","")&amp;IF(AND(Catalog!B194&lt;&gt;"",COUNTIF(Catalog!$B$2:$B$501,Catalog!B194)&gt;1),"Duplicate Accession; ",""))</f>
        <v/>
      </c>
    </row>
    <row r="219">
      <c r="A219" s="23">
        <f>Catalog!A195</f>
        <v/>
      </c>
      <c r="B219" s="24">
        <f>Catalog!D195</f>
        <v/>
      </c>
      <c r="C219" s="25">
        <f>IF(Catalog!D195="","",IF(ISBLANK(Catalog!F195),"Missing Creator; ","")&amp;IF(ISBLANK(Catalog!K195),"Missing Type; ","")&amp;IF(ISBLANK(Catalog!L195),"Missing Genre; ","")&amp;IF(ISBLANK(Catalog!W195),"Missing Location Type; ","")&amp;IF(ISBLANK(Catalog!X195),"Missing Location Id; ","")&amp;IF(AND(Catalog!S195&lt;&gt;"",COUNTIF(Catalog!$S$2:$S$501,Catalog!S195)&gt;1),"Duplicate ISBN; ","")&amp;IF(AND(Catalog!B195&lt;&gt;"",COUNTIF(Catalog!$B$2:$B$501,Catalog!B195)&gt;1),"Duplicate Accession; ",""))</f>
        <v/>
      </c>
    </row>
    <row r="220">
      <c r="A220" s="23">
        <f>Catalog!A196</f>
        <v/>
      </c>
      <c r="B220" s="24">
        <f>Catalog!D196</f>
        <v/>
      </c>
      <c r="C220" s="25">
        <f>IF(Catalog!D196="","",IF(ISBLANK(Catalog!F196),"Missing Creator; ","")&amp;IF(ISBLANK(Catalog!K196),"Missing Type; ","")&amp;IF(ISBLANK(Catalog!L196),"Missing Genre; ","")&amp;IF(ISBLANK(Catalog!W196),"Missing Location Type; ","")&amp;IF(ISBLANK(Catalog!X196),"Missing Location Id; ","")&amp;IF(AND(Catalog!S196&lt;&gt;"",COUNTIF(Catalog!$S$2:$S$501,Catalog!S196)&gt;1),"Duplicate ISBN; ","")&amp;IF(AND(Catalog!B196&lt;&gt;"",COUNTIF(Catalog!$B$2:$B$501,Catalog!B196)&gt;1),"Duplicate Accession; ",""))</f>
        <v/>
      </c>
    </row>
    <row r="221">
      <c r="A221" s="23">
        <f>Catalog!A197</f>
        <v/>
      </c>
      <c r="B221" s="24">
        <f>Catalog!D197</f>
        <v/>
      </c>
      <c r="C221" s="25">
        <f>IF(Catalog!D197="","",IF(ISBLANK(Catalog!F197),"Missing Creator; ","")&amp;IF(ISBLANK(Catalog!K197),"Missing Type; ","")&amp;IF(ISBLANK(Catalog!L197),"Missing Genre; ","")&amp;IF(ISBLANK(Catalog!W197),"Missing Location Type; ","")&amp;IF(ISBLANK(Catalog!X197),"Missing Location Id; ","")&amp;IF(AND(Catalog!S197&lt;&gt;"",COUNTIF(Catalog!$S$2:$S$501,Catalog!S197)&gt;1),"Duplicate ISBN; ","")&amp;IF(AND(Catalog!B197&lt;&gt;"",COUNTIF(Catalog!$B$2:$B$501,Catalog!B197)&gt;1),"Duplicate Accession; ",""))</f>
        <v/>
      </c>
    </row>
    <row r="222">
      <c r="A222" s="23">
        <f>Catalog!A198</f>
        <v/>
      </c>
      <c r="B222" s="24">
        <f>Catalog!D198</f>
        <v/>
      </c>
      <c r="C222" s="25">
        <f>IF(Catalog!D198="","",IF(ISBLANK(Catalog!F198),"Missing Creator; ","")&amp;IF(ISBLANK(Catalog!K198),"Missing Type; ","")&amp;IF(ISBLANK(Catalog!L198),"Missing Genre; ","")&amp;IF(ISBLANK(Catalog!W198),"Missing Location Type; ","")&amp;IF(ISBLANK(Catalog!X198),"Missing Location Id; ","")&amp;IF(AND(Catalog!S198&lt;&gt;"",COUNTIF(Catalog!$S$2:$S$501,Catalog!S198)&gt;1),"Duplicate ISBN; ","")&amp;IF(AND(Catalog!B198&lt;&gt;"",COUNTIF(Catalog!$B$2:$B$501,Catalog!B198)&gt;1),"Duplicate Accession; ",""))</f>
        <v/>
      </c>
    </row>
    <row r="223">
      <c r="A223" s="23">
        <f>Catalog!A199</f>
        <v/>
      </c>
      <c r="B223" s="24">
        <f>Catalog!D199</f>
        <v/>
      </c>
      <c r="C223" s="25">
        <f>IF(Catalog!D199="","",IF(ISBLANK(Catalog!F199),"Missing Creator; ","")&amp;IF(ISBLANK(Catalog!K199),"Missing Type; ","")&amp;IF(ISBLANK(Catalog!L199),"Missing Genre; ","")&amp;IF(ISBLANK(Catalog!W199),"Missing Location Type; ","")&amp;IF(ISBLANK(Catalog!X199),"Missing Location Id; ","")&amp;IF(AND(Catalog!S199&lt;&gt;"",COUNTIF(Catalog!$S$2:$S$501,Catalog!S199)&gt;1),"Duplicate ISBN; ","")&amp;IF(AND(Catalog!B199&lt;&gt;"",COUNTIF(Catalog!$B$2:$B$501,Catalog!B199)&gt;1),"Duplicate Accession; ",""))</f>
        <v/>
      </c>
    </row>
    <row r="224">
      <c r="A224" s="23">
        <f>Catalog!A200</f>
        <v/>
      </c>
      <c r="B224" s="24">
        <f>Catalog!D200</f>
        <v/>
      </c>
      <c r="C224" s="25">
        <f>IF(Catalog!D200="","",IF(ISBLANK(Catalog!F200),"Missing Creator; ","")&amp;IF(ISBLANK(Catalog!K200),"Missing Type; ","")&amp;IF(ISBLANK(Catalog!L200),"Missing Genre; ","")&amp;IF(ISBLANK(Catalog!W200),"Missing Location Type; ","")&amp;IF(ISBLANK(Catalog!X200),"Missing Location Id; ","")&amp;IF(AND(Catalog!S200&lt;&gt;"",COUNTIF(Catalog!$S$2:$S$501,Catalog!S200)&gt;1),"Duplicate ISBN; ","")&amp;IF(AND(Catalog!B200&lt;&gt;"",COUNTIF(Catalog!$B$2:$B$501,Catalog!B200)&gt;1),"Duplicate Accession; ",""))</f>
        <v/>
      </c>
    </row>
    <row r="225">
      <c r="A225" s="23">
        <f>Catalog!A201</f>
        <v/>
      </c>
      <c r="B225" s="24">
        <f>Catalog!D201</f>
        <v/>
      </c>
      <c r="C225" s="25">
        <f>IF(Catalog!D201="","",IF(ISBLANK(Catalog!F201),"Missing Creator; ","")&amp;IF(ISBLANK(Catalog!K201),"Missing Type; ","")&amp;IF(ISBLANK(Catalog!L201),"Missing Genre; ","")&amp;IF(ISBLANK(Catalog!W201),"Missing Location Type; ","")&amp;IF(ISBLANK(Catalog!X201),"Missing Location Id; ","")&amp;IF(AND(Catalog!S201&lt;&gt;"",COUNTIF(Catalog!$S$2:$S$501,Catalog!S201)&gt;1),"Duplicate ISBN; ","")&amp;IF(AND(Catalog!B201&lt;&gt;"",COUNTIF(Catalog!$B$2:$B$501,Catalog!B201)&gt;1),"Duplicate Accession; ",""))</f>
        <v/>
      </c>
    </row>
    <row r="226">
      <c r="A226" s="23">
        <f>Catalog!A202</f>
        <v/>
      </c>
      <c r="B226" s="24">
        <f>Catalog!D202</f>
        <v/>
      </c>
      <c r="C226" s="25">
        <f>IF(Catalog!D202="","",IF(ISBLANK(Catalog!F202),"Missing Creator; ","")&amp;IF(ISBLANK(Catalog!K202),"Missing Type; ","")&amp;IF(ISBLANK(Catalog!L202),"Missing Genre; ","")&amp;IF(ISBLANK(Catalog!W202),"Missing Location Type; ","")&amp;IF(ISBLANK(Catalog!X202),"Missing Location Id; ","")&amp;IF(AND(Catalog!S202&lt;&gt;"",COUNTIF(Catalog!$S$2:$S$501,Catalog!S202)&gt;1),"Duplicate ISBN; ","")&amp;IF(AND(Catalog!B202&lt;&gt;"",COUNTIF(Catalog!$B$2:$B$501,Catalog!B202)&gt;1),"Duplicate Accession; ",""))</f>
        <v/>
      </c>
    </row>
    <row r="227">
      <c r="A227" s="23">
        <f>Catalog!A203</f>
        <v/>
      </c>
      <c r="B227" s="24">
        <f>Catalog!D203</f>
        <v/>
      </c>
      <c r="C227" s="25">
        <f>IF(Catalog!D203="","",IF(ISBLANK(Catalog!F203),"Missing Creator; ","")&amp;IF(ISBLANK(Catalog!K203),"Missing Type; ","")&amp;IF(ISBLANK(Catalog!L203),"Missing Genre; ","")&amp;IF(ISBLANK(Catalog!W203),"Missing Location Type; ","")&amp;IF(ISBLANK(Catalog!X203),"Missing Location Id; ","")&amp;IF(AND(Catalog!S203&lt;&gt;"",COUNTIF(Catalog!$S$2:$S$501,Catalog!S203)&gt;1),"Duplicate ISBN; ","")&amp;IF(AND(Catalog!B203&lt;&gt;"",COUNTIF(Catalog!$B$2:$B$501,Catalog!B203)&gt;1),"Duplicate Accession; ",""))</f>
        <v/>
      </c>
    </row>
    <row r="228">
      <c r="A228" s="23">
        <f>Catalog!A204</f>
        <v/>
      </c>
      <c r="B228" s="24">
        <f>Catalog!D204</f>
        <v/>
      </c>
      <c r="C228" s="25">
        <f>IF(Catalog!D204="","",IF(ISBLANK(Catalog!F204),"Missing Creator; ","")&amp;IF(ISBLANK(Catalog!K204),"Missing Type; ","")&amp;IF(ISBLANK(Catalog!L204),"Missing Genre; ","")&amp;IF(ISBLANK(Catalog!W204),"Missing Location Type; ","")&amp;IF(ISBLANK(Catalog!X204),"Missing Location Id; ","")&amp;IF(AND(Catalog!S204&lt;&gt;"",COUNTIF(Catalog!$S$2:$S$501,Catalog!S204)&gt;1),"Duplicate ISBN; ","")&amp;IF(AND(Catalog!B204&lt;&gt;"",COUNTIF(Catalog!$B$2:$B$501,Catalog!B204)&gt;1),"Duplicate Accession; ",""))</f>
        <v/>
      </c>
    </row>
    <row r="229">
      <c r="A229" s="23">
        <f>Catalog!A205</f>
        <v/>
      </c>
      <c r="B229" s="24">
        <f>Catalog!D205</f>
        <v/>
      </c>
      <c r="C229" s="25">
        <f>IF(Catalog!D205="","",IF(ISBLANK(Catalog!F205),"Missing Creator; ","")&amp;IF(ISBLANK(Catalog!K205),"Missing Type; ","")&amp;IF(ISBLANK(Catalog!L205),"Missing Genre; ","")&amp;IF(ISBLANK(Catalog!W205),"Missing Location Type; ","")&amp;IF(ISBLANK(Catalog!X205),"Missing Location Id; ","")&amp;IF(AND(Catalog!S205&lt;&gt;"",COUNTIF(Catalog!$S$2:$S$501,Catalog!S205)&gt;1),"Duplicate ISBN; ","")&amp;IF(AND(Catalog!B205&lt;&gt;"",COUNTIF(Catalog!$B$2:$B$501,Catalog!B205)&gt;1),"Duplicate Accession; ",""))</f>
        <v/>
      </c>
    </row>
    <row r="230">
      <c r="A230" s="23">
        <f>Catalog!A206</f>
        <v/>
      </c>
      <c r="B230" s="24">
        <f>Catalog!D206</f>
        <v/>
      </c>
      <c r="C230" s="25">
        <f>IF(Catalog!D206="","",IF(ISBLANK(Catalog!F206),"Missing Creator; ","")&amp;IF(ISBLANK(Catalog!K206),"Missing Type; ","")&amp;IF(ISBLANK(Catalog!L206),"Missing Genre; ","")&amp;IF(ISBLANK(Catalog!W206),"Missing Location Type; ","")&amp;IF(ISBLANK(Catalog!X206),"Missing Location Id; ","")&amp;IF(AND(Catalog!S206&lt;&gt;"",COUNTIF(Catalog!$S$2:$S$501,Catalog!S206)&gt;1),"Duplicate ISBN; ","")&amp;IF(AND(Catalog!B206&lt;&gt;"",COUNTIF(Catalog!$B$2:$B$501,Catalog!B206)&gt;1),"Duplicate Accession; ",""))</f>
        <v/>
      </c>
    </row>
    <row r="231">
      <c r="A231" s="23">
        <f>Catalog!A207</f>
        <v/>
      </c>
      <c r="B231" s="24">
        <f>Catalog!D207</f>
        <v/>
      </c>
      <c r="C231" s="25">
        <f>IF(Catalog!D207="","",IF(ISBLANK(Catalog!F207),"Missing Creator; ","")&amp;IF(ISBLANK(Catalog!K207),"Missing Type; ","")&amp;IF(ISBLANK(Catalog!L207),"Missing Genre; ","")&amp;IF(ISBLANK(Catalog!W207),"Missing Location Type; ","")&amp;IF(ISBLANK(Catalog!X207),"Missing Location Id; ","")&amp;IF(AND(Catalog!S207&lt;&gt;"",COUNTIF(Catalog!$S$2:$S$501,Catalog!S207)&gt;1),"Duplicate ISBN; ","")&amp;IF(AND(Catalog!B207&lt;&gt;"",COUNTIF(Catalog!$B$2:$B$501,Catalog!B207)&gt;1),"Duplicate Accession; ",""))</f>
        <v/>
      </c>
    </row>
    <row r="232">
      <c r="A232" s="23">
        <f>Catalog!A208</f>
        <v/>
      </c>
      <c r="B232" s="24">
        <f>Catalog!D208</f>
        <v/>
      </c>
      <c r="C232" s="25">
        <f>IF(Catalog!D208="","",IF(ISBLANK(Catalog!F208),"Missing Creator; ","")&amp;IF(ISBLANK(Catalog!K208),"Missing Type; ","")&amp;IF(ISBLANK(Catalog!L208),"Missing Genre; ","")&amp;IF(ISBLANK(Catalog!W208),"Missing Location Type; ","")&amp;IF(ISBLANK(Catalog!X208),"Missing Location Id; ","")&amp;IF(AND(Catalog!S208&lt;&gt;"",COUNTIF(Catalog!$S$2:$S$501,Catalog!S208)&gt;1),"Duplicate ISBN; ","")&amp;IF(AND(Catalog!B208&lt;&gt;"",COUNTIF(Catalog!$B$2:$B$501,Catalog!B208)&gt;1),"Duplicate Accession; ",""))</f>
        <v/>
      </c>
    </row>
    <row r="233">
      <c r="A233" s="23">
        <f>Catalog!A209</f>
        <v/>
      </c>
      <c r="B233" s="24">
        <f>Catalog!D209</f>
        <v/>
      </c>
      <c r="C233" s="25">
        <f>IF(Catalog!D209="","",IF(ISBLANK(Catalog!F209),"Missing Creator; ","")&amp;IF(ISBLANK(Catalog!K209),"Missing Type; ","")&amp;IF(ISBLANK(Catalog!L209),"Missing Genre; ","")&amp;IF(ISBLANK(Catalog!W209),"Missing Location Type; ","")&amp;IF(ISBLANK(Catalog!X209),"Missing Location Id; ","")&amp;IF(AND(Catalog!S209&lt;&gt;"",COUNTIF(Catalog!$S$2:$S$501,Catalog!S209)&gt;1),"Duplicate ISBN; ","")&amp;IF(AND(Catalog!B209&lt;&gt;"",COUNTIF(Catalog!$B$2:$B$501,Catalog!B209)&gt;1),"Duplicate Accession; ",""))</f>
        <v/>
      </c>
    </row>
    <row r="234">
      <c r="A234" s="23">
        <f>Catalog!A210</f>
        <v/>
      </c>
      <c r="B234" s="24">
        <f>Catalog!D210</f>
        <v/>
      </c>
      <c r="C234" s="25">
        <f>IF(Catalog!D210="","",IF(ISBLANK(Catalog!F210),"Missing Creator; ","")&amp;IF(ISBLANK(Catalog!K210),"Missing Type; ","")&amp;IF(ISBLANK(Catalog!L210),"Missing Genre; ","")&amp;IF(ISBLANK(Catalog!W210),"Missing Location Type; ","")&amp;IF(ISBLANK(Catalog!X210),"Missing Location Id; ","")&amp;IF(AND(Catalog!S210&lt;&gt;"",COUNTIF(Catalog!$S$2:$S$501,Catalog!S210)&gt;1),"Duplicate ISBN; ","")&amp;IF(AND(Catalog!B210&lt;&gt;"",COUNTIF(Catalog!$B$2:$B$501,Catalog!B210)&gt;1),"Duplicate Accession; ",""))</f>
        <v/>
      </c>
    </row>
    <row r="235">
      <c r="A235" s="23">
        <f>Catalog!A211</f>
        <v/>
      </c>
      <c r="B235" s="24">
        <f>Catalog!D211</f>
        <v/>
      </c>
      <c r="C235" s="25">
        <f>IF(Catalog!D211="","",IF(ISBLANK(Catalog!F211),"Missing Creator; ","")&amp;IF(ISBLANK(Catalog!K211),"Missing Type; ","")&amp;IF(ISBLANK(Catalog!L211),"Missing Genre; ","")&amp;IF(ISBLANK(Catalog!W211),"Missing Location Type; ","")&amp;IF(ISBLANK(Catalog!X211),"Missing Location Id; ","")&amp;IF(AND(Catalog!S211&lt;&gt;"",COUNTIF(Catalog!$S$2:$S$501,Catalog!S211)&gt;1),"Duplicate ISBN; ","")&amp;IF(AND(Catalog!B211&lt;&gt;"",COUNTIF(Catalog!$B$2:$B$501,Catalog!B211)&gt;1),"Duplicate Accession; ",""))</f>
        <v/>
      </c>
    </row>
    <row r="236">
      <c r="A236" s="23">
        <f>Catalog!A212</f>
        <v/>
      </c>
      <c r="B236" s="24">
        <f>Catalog!D212</f>
        <v/>
      </c>
      <c r="C236" s="25">
        <f>IF(Catalog!D212="","",IF(ISBLANK(Catalog!F212),"Missing Creator; ","")&amp;IF(ISBLANK(Catalog!K212),"Missing Type; ","")&amp;IF(ISBLANK(Catalog!L212),"Missing Genre; ","")&amp;IF(ISBLANK(Catalog!W212),"Missing Location Type; ","")&amp;IF(ISBLANK(Catalog!X212),"Missing Location Id; ","")&amp;IF(AND(Catalog!S212&lt;&gt;"",COUNTIF(Catalog!$S$2:$S$501,Catalog!S212)&gt;1),"Duplicate ISBN; ","")&amp;IF(AND(Catalog!B212&lt;&gt;"",COUNTIF(Catalog!$B$2:$B$501,Catalog!B212)&gt;1),"Duplicate Accession; ",""))</f>
        <v/>
      </c>
    </row>
    <row r="237">
      <c r="A237" s="23">
        <f>Catalog!A213</f>
        <v/>
      </c>
      <c r="B237" s="24">
        <f>Catalog!D213</f>
        <v/>
      </c>
      <c r="C237" s="25">
        <f>IF(Catalog!D213="","",IF(ISBLANK(Catalog!F213),"Missing Creator; ","")&amp;IF(ISBLANK(Catalog!K213),"Missing Type; ","")&amp;IF(ISBLANK(Catalog!L213),"Missing Genre; ","")&amp;IF(ISBLANK(Catalog!W213),"Missing Location Type; ","")&amp;IF(ISBLANK(Catalog!X213),"Missing Location Id; ","")&amp;IF(AND(Catalog!S213&lt;&gt;"",COUNTIF(Catalog!$S$2:$S$501,Catalog!S213)&gt;1),"Duplicate ISBN; ","")&amp;IF(AND(Catalog!B213&lt;&gt;"",COUNTIF(Catalog!$B$2:$B$501,Catalog!B213)&gt;1),"Duplicate Accession; ",""))</f>
        <v/>
      </c>
    </row>
    <row r="238">
      <c r="A238" s="23">
        <f>Catalog!A214</f>
        <v/>
      </c>
      <c r="B238" s="24">
        <f>Catalog!D214</f>
        <v/>
      </c>
      <c r="C238" s="25">
        <f>IF(Catalog!D214="","",IF(ISBLANK(Catalog!F214),"Missing Creator; ","")&amp;IF(ISBLANK(Catalog!K214),"Missing Type; ","")&amp;IF(ISBLANK(Catalog!L214),"Missing Genre; ","")&amp;IF(ISBLANK(Catalog!W214),"Missing Location Type; ","")&amp;IF(ISBLANK(Catalog!X214),"Missing Location Id; ","")&amp;IF(AND(Catalog!S214&lt;&gt;"",COUNTIF(Catalog!$S$2:$S$501,Catalog!S214)&gt;1),"Duplicate ISBN; ","")&amp;IF(AND(Catalog!B214&lt;&gt;"",COUNTIF(Catalog!$B$2:$B$501,Catalog!B214)&gt;1),"Duplicate Accession; ",""))</f>
        <v/>
      </c>
    </row>
    <row r="239">
      <c r="A239" s="23">
        <f>Catalog!A215</f>
        <v/>
      </c>
      <c r="B239" s="24">
        <f>Catalog!D215</f>
        <v/>
      </c>
      <c r="C239" s="25">
        <f>IF(Catalog!D215="","",IF(ISBLANK(Catalog!F215),"Missing Creator; ","")&amp;IF(ISBLANK(Catalog!K215),"Missing Type; ","")&amp;IF(ISBLANK(Catalog!L215),"Missing Genre; ","")&amp;IF(ISBLANK(Catalog!W215),"Missing Location Type; ","")&amp;IF(ISBLANK(Catalog!X215),"Missing Location Id; ","")&amp;IF(AND(Catalog!S215&lt;&gt;"",COUNTIF(Catalog!$S$2:$S$501,Catalog!S215)&gt;1),"Duplicate ISBN; ","")&amp;IF(AND(Catalog!B215&lt;&gt;"",COUNTIF(Catalog!$B$2:$B$501,Catalog!B215)&gt;1),"Duplicate Accession; ",""))</f>
        <v/>
      </c>
    </row>
    <row r="240">
      <c r="A240" s="23">
        <f>Catalog!A216</f>
        <v/>
      </c>
      <c r="B240" s="24">
        <f>Catalog!D216</f>
        <v/>
      </c>
      <c r="C240" s="25">
        <f>IF(Catalog!D216="","",IF(ISBLANK(Catalog!F216),"Missing Creator; ","")&amp;IF(ISBLANK(Catalog!K216),"Missing Type; ","")&amp;IF(ISBLANK(Catalog!L216),"Missing Genre; ","")&amp;IF(ISBLANK(Catalog!W216),"Missing Location Type; ","")&amp;IF(ISBLANK(Catalog!X216),"Missing Location Id; ","")&amp;IF(AND(Catalog!S216&lt;&gt;"",COUNTIF(Catalog!$S$2:$S$501,Catalog!S216)&gt;1),"Duplicate ISBN; ","")&amp;IF(AND(Catalog!B216&lt;&gt;"",COUNTIF(Catalog!$B$2:$B$501,Catalog!B216)&gt;1),"Duplicate Accession; ",""))</f>
        <v/>
      </c>
    </row>
    <row r="241">
      <c r="A241" s="23">
        <f>Catalog!A217</f>
        <v/>
      </c>
      <c r="B241" s="24">
        <f>Catalog!D217</f>
        <v/>
      </c>
      <c r="C241" s="25">
        <f>IF(Catalog!D217="","",IF(ISBLANK(Catalog!F217),"Missing Creator; ","")&amp;IF(ISBLANK(Catalog!K217),"Missing Type; ","")&amp;IF(ISBLANK(Catalog!L217),"Missing Genre; ","")&amp;IF(ISBLANK(Catalog!W217),"Missing Location Type; ","")&amp;IF(ISBLANK(Catalog!X217),"Missing Location Id; ","")&amp;IF(AND(Catalog!S217&lt;&gt;"",COUNTIF(Catalog!$S$2:$S$501,Catalog!S217)&gt;1),"Duplicate ISBN; ","")&amp;IF(AND(Catalog!B217&lt;&gt;"",COUNTIF(Catalog!$B$2:$B$501,Catalog!B217)&gt;1),"Duplicate Accession; ",""))</f>
        <v/>
      </c>
    </row>
    <row r="242">
      <c r="A242" s="23">
        <f>Catalog!A218</f>
        <v/>
      </c>
      <c r="B242" s="24">
        <f>Catalog!D218</f>
        <v/>
      </c>
      <c r="C242" s="25">
        <f>IF(Catalog!D218="","",IF(ISBLANK(Catalog!F218),"Missing Creator; ","")&amp;IF(ISBLANK(Catalog!K218),"Missing Type; ","")&amp;IF(ISBLANK(Catalog!L218),"Missing Genre; ","")&amp;IF(ISBLANK(Catalog!W218),"Missing Location Type; ","")&amp;IF(ISBLANK(Catalog!X218),"Missing Location Id; ","")&amp;IF(AND(Catalog!S218&lt;&gt;"",COUNTIF(Catalog!$S$2:$S$501,Catalog!S218)&gt;1),"Duplicate ISBN; ","")&amp;IF(AND(Catalog!B218&lt;&gt;"",COUNTIF(Catalog!$B$2:$B$501,Catalog!B218)&gt;1),"Duplicate Accession; ",""))</f>
        <v/>
      </c>
    </row>
    <row r="243">
      <c r="A243" s="23">
        <f>Catalog!A219</f>
        <v/>
      </c>
      <c r="B243" s="24">
        <f>Catalog!D219</f>
        <v/>
      </c>
      <c r="C243" s="25">
        <f>IF(Catalog!D219="","",IF(ISBLANK(Catalog!F219),"Missing Creator; ","")&amp;IF(ISBLANK(Catalog!K219),"Missing Type; ","")&amp;IF(ISBLANK(Catalog!L219),"Missing Genre; ","")&amp;IF(ISBLANK(Catalog!W219),"Missing Location Type; ","")&amp;IF(ISBLANK(Catalog!X219),"Missing Location Id; ","")&amp;IF(AND(Catalog!S219&lt;&gt;"",COUNTIF(Catalog!$S$2:$S$501,Catalog!S219)&gt;1),"Duplicate ISBN; ","")&amp;IF(AND(Catalog!B219&lt;&gt;"",COUNTIF(Catalog!$B$2:$B$501,Catalog!B219)&gt;1),"Duplicate Accession; ",""))</f>
        <v/>
      </c>
    </row>
    <row r="244">
      <c r="A244" s="23">
        <f>Catalog!A220</f>
        <v/>
      </c>
      <c r="B244" s="24">
        <f>Catalog!D220</f>
        <v/>
      </c>
      <c r="C244" s="25">
        <f>IF(Catalog!D220="","",IF(ISBLANK(Catalog!F220),"Missing Creator; ","")&amp;IF(ISBLANK(Catalog!K220),"Missing Type; ","")&amp;IF(ISBLANK(Catalog!L220),"Missing Genre; ","")&amp;IF(ISBLANK(Catalog!W220),"Missing Location Type; ","")&amp;IF(ISBLANK(Catalog!X220),"Missing Location Id; ","")&amp;IF(AND(Catalog!S220&lt;&gt;"",COUNTIF(Catalog!$S$2:$S$501,Catalog!S220)&gt;1),"Duplicate ISBN; ","")&amp;IF(AND(Catalog!B220&lt;&gt;"",COUNTIF(Catalog!$B$2:$B$501,Catalog!B220)&gt;1),"Duplicate Accession; ",""))</f>
        <v/>
      </c>
    </row>
    <row r="245">
      <c r="A245" s="23">
        <f>Catalog!A221</f>
        <v/>
      </c>
      <c r="B245" s="24">
        <f>Catalog!D221</f>
        <v/>
      </c>
      <c r="C245" s="25">
        <f>IF(Catalog!D221="","",IF(ISBLANK(Catalog!F221),"Missing Creator; ","")&amp;IF(ISBLANK(Catalog!K221),"Missing Type; ","")&amp;IF(ISBLANK(Catalog!L221),"Missing Genre; ","")&amp;IF(ISBLANK(Catalog!W221),"Missing Location Type; ","")&amp;IF(ISBLANK(Catalog!X221),"Missing Location Id; ","")&amp;IF(AND(Catalog!S221&lt;&gt;"",COUNTIF(Catalog!$S$2:$S$501,Catalog!S221)&gt;1),"Duplicate ISBN; ","")&amp;IF(AND(Catalog!B221&lt;&gt;"",COUNTIF(Catalog!$B$2:$B$501,Catalog!B221)&gt;1),"Duplicate Accession; ",""))</f>
        <v/>
      </c>
    </row>
    <row r="246">
      <c r="A246" s="23">
        <f>Catalog!A222</f>
        <v/>
      </c>
      <c r="B246" s="24">
        <f>Catalog!D222</f>
        <v/>
      </c>
      <c r="C246" s="25">
        <f>IF(Catalog!D222="","",IF(ISBLANK(Catalog!F222),"Missing Creator; ","")&amp;IF(ISBLANK(Catalog!K222),"Missing Type; ","")&amp;IF(ISBLANK(Catalog!L222),"Missing Genre; ","")&amp;IF(ISBLANK(Catalog!W222),"Missing Location Type; ","")&amp;IF(ISBLANK(Catalog!X222),"Missing Location Id; ","")&amp;IF(AND(Catalog!S222&lt;&gt;"",COUNTIF(Catalog!$S$2:$S$501,Catalog!S222)&gt;1),"Duplicate ISBN; ","")&amp;IF(AND(Catalog!B222&lt;&gt;"",COUNTIF(Catalog!$B$2:$B$501,Catalog!B222)&gt;1),"Duplicate Accession; ",""))</f>
        <v/>
      </c>
    </row>
    <row r="247">
      <c r="A247" s="23">
        <f>Catalog!A223</f>
        <v/>
      </c>
      <c r="B247" s="24">
        <f>Catalog!D223</f>
        <v/>
      </c>
      <c r="C247" s="25">
        <f>IF(Catalog!D223="","",IF(ISBLANK(Catalog!F223),"Missing Creator; ","")&amp;IF(ISBLANK(Catalog!K223),"Missing Type; ","")&amp;IF(ISBLANK(Catalog!L223),"Missing Genre; ","")&amp;IF(ISBLANK(Catalog!W223),"Missing Location Type; ","")&amp;IF(ISBLANK(Catalog!X223),"Missing Location Id; ","")&amp;IF(AND(Catalog!S223&lt;&gt;"",COUNTIF(Catalog!$S$2:$S$501,Catalog!S223)&gt;1),"Duplicate ISBN; ","")&amp;IF(AND(Catalog!B223&lt;&gt;"",COUNTIF(Catalog!$B$2:$B$501,Catalog!B223)&gt;1),"Duplicate Accession; ",""))</f>
        <v/>
      </c>
    </row>
    <row r="248">
      <c r="A248" s="23">
        <f>Catalog!A224</f>
        <v/>
      </c>
      <c r="B248" s="24">
        <f>Catalog!D224</f>
        <v/>
      </c>
      <c r="C248" s="25">
        <f>IF(Catalog!D224="","",IF(ISBLANK(Catalog!F224),"Missing Creator; ","")&amp;IF(ISBLANK(Catalog!K224),"Missing Type; ","")&amp;IF(ISBLANK(Catalog!L224),"Missing Genre; ","")&amp;IF(ISBLANK(Catalog!W224),"Missing Location Type; ","")&amp;IF(ISBLANK(Catalog!X224),"Missing Location Id; ","")&amp;IF(AND(Catalog!S224&lt;&gt;"",COUNTIF(Catalog!$S$2:$S$501,Catalog!S224)&gt;1),"Duplicate ISBN; ","")&amp;IF(AND(Catalog!B224&lt;&gt;"",COUNTIF(Catalog!$B$2:$B$501,Catalog!B224)&gt;1),"Duplicate Accession; ",""))</f>
        <v/>
      </c>
    </row>
    <row r="249">
      <c r="A249" s="23">
        <f>Catalog!A225</f>
        <v/>
      </c>
      <c r="B249" s="24">
        <f>Catalog!D225</f>
        <v/>
      </c>
      <c r="C249" s="25">
        <f>IF(Catalog!D225="","",IF(ISBLANK(Catalog!F225),"Missing Creator; ","")&amp;IF(ISBLANK(Catalog!K225),"Missing Type; ","")&amp;IF(ISBLANK(Catalog!L225),"Missing Genre; ","")&amp;IF(ISBLANK(Catalog!W225),"Missing Location Type; ","")&amp;IF(ISBLANK(Catalog!X225),"Missing Location Id; ","")&amp;IF(AND(Catalog!S225&lt;&gt;"",COUNTIF(Catalog!$S$2:$S$501,Catalog!S225)&gt;1),"Duplicate ISBN; ","")&amp;IF(AND(Catalog!B225&lt;&gt;"",COUNTIF(Catalog!$B$2:$B$501,Catalog!B225)&gt;1),"Duplicate Accession; ",""))</f>
        <v/>
      </c>
    </row>
    <row r="250">
      <c r="A250" s="23">
        <f>Catalog!A226</f>
        <v/>
      </c>
      <c r="B250" s="24">
        <f>Catalog!D226</f>
        <v/>
      </c>
      <c r="C250" s="25">
        <f>IF(Catalog!D226="","",IF(ISBLANK(Catalog!F226),"Missing Creator; ","")&amp;IF(ISBLANK(Catalog!K226),"Missing Type; ","")&amp;IF(ISBLANK(Catalog!L226),"Missing Genre; ","")&amp;IF(ISBLANK(Catalog!W226),"Missing Location Type; ","")&amp;IF(ISBLANK(Catalog!X226),"Missing Location Id; ","")&amp;IF(AND(Catalog!S226&lt;&gt;"",COUNTIF(Catalog!$S$2:$S$501,Catalog!S226)&gt;1),"Duplicate ISBN; ","")&amp;IF(AND(Catalog!B226&lt;&gt;"",COUNTIF(Catalog!$B$2:$B$501,Catalog!B226)&gt;1),"Duplicate Accession; ",""))</f>
        <v/>
      </c>
    </row>
    <row r="251">
      <c r="A251" s="23">
        <f>Catalog!A227</f>
        <v/>
      </c>
      <c r="B251" s="24">
        <f>Catalog!D227</f>
        <v/>
      </c>
      <c r="C251" s="25">
        <f>IF(Catalog!D227="","",IF(ISBLANK(Catalog!F227),"Missing Creator; ","")&amp;IF(ISBLANK(Catalog!K227),"Missing Type; ","")&amp;IF(ISBLANK(Catalog!L227),"Missing Genre; ","")&amp;IF(ISBLANK(Catalog!W227),"Missing Location Type; ","")&amp;IF(ISBLANK(Catalog!X227),"Missing Location Id; ","")&amp;IF(AND(Catalog!S227&lt;&gt;"",COUNTIF(Catalog!$S$2:$S$501,Catalog!S227)&gt;1),"Duplicate ISBN; ","")&amp;IF(AND(Catalog!B227&lt;&gt;"",COUNTIF(Catalog!$B$2:$B$501,Catalog!B227)&gt;1),"Duplicate Accession; ",""))</f>
        <v/>
      </c>
    </row>
    <row r="252">
      <c r="A252" s="23">
        <f>Catalog!A228</f>
        <v/>
      </c>
      <c r="B252" s="24">
        <f>Catalog!D228</f>
        <v/>
      </c>
      <c r="C252" s="25">
        <f>IF(Catalog!D228="","",IF(ISBLANK(Catalog!F228),"Missing Creator; ","")&amp;IF(ISBLANK(Catalog!K228),"Missing Type; ","")&amp;IF(ISBLANK(Catalog!L228),"Missing Genre; ","")&amp;IF(ISBLANK(Catalog!W228),"Missing Location Type; ","")&amp;IF(ISBLANK(Catalog!X228),"Missing Location Id; ","")&amp;IF(AND(Catalog!S228&lt;&gt;"",COUNTIF(Catalog!$S$2:$S$501,Catalog!S228)&gt;1),"Duplicate ISBN; ","")&amp;IF(AND(Catalog!B228&lt;&gt;"",COUNTIF(Catalog!$B$2:$B$501,Catalog!B228)&gt;1),"Duplicate Accession; ",""))</f>
        <v/>
      </c>
    </row>
    <row r="253">
      <c r="A253" s="23">
        <f>Catalog!A229</f>
        <v/>
      </c>
      <c r="B253" s="24">
        <f>Catalog!D229</f>
        <v/>
      </c>
      <c r="C253" s="25">
        <f>IF(Catalog!D229="","",IF(ISBLANK(Catalog!F229),"Missing Creator; ","")&amp;IF(ISBLANK(Catalog!K229),"Missing Type; ","")&amp;IF(ISBLANK(Catalog!L229),"Missing Genre; ","")&amp;IF(ISBLANK(Catalog!W229),"Missing Location Type; ","")&amp;IF(ISBLANK(Catalog!X229),"Missing Location Id; ","")&amp;IF(AND(Catalog!S229&lt;&gt;"",COUNTIF(Catalog!$S$2:$S$501,Catalog!S229)&gt;1),"Duplicate ISBN; ","")&amp;IF(AND(Catalog!B229&lt;&gt;"",COUNTIF(Catalog!$B$2:$B$501,Catalog!B229)&gt;1),"Duplicate Accession; ",""))</f>
        <v/>
      </c>
    </row>
    <row r="254">
      <c r="A254" s="23">
        <f>Catalog!A230</f>
        <v/>
      </c>
      <c r="B254" s="24">
        <f>Catalog!D230</f>
        <v/>
      </c>
      <c r="C254" s="25">
        <f>IF(Catalog!D230="","",IF(ISBLANK(Catalog!F230),"Missing Creator; ","")&amp;IF(ISBLANK(Catalog!K230),"Missing Type; ","")&amp;IF(ISBLANK(Catalog!L230),"Missing Genre; ","")&amp;IF(ISBLANK(Catalog!W230),"Missing Location Type; ","")&amp;IF(ISBLANK(Catalog!X230),"Missing Location Id; ","")&amp;IF(AND(Catalog!S230&lt;&gt;"",COUNTIF(Catalog!$S$2:$S$501,Catalog!S230)&gt;1),"Duplicate ISBN; ","")&amp;IF(AND(Catalog!B230&lt;&gt;"",COUNTIF(Catalog!$B$2:$B$501,Catalog!B230)&gt;1),"Duplicate Accession; ",""))</f>
        <v/>
      </c>
    </row>
    <row r="255">
      <c r="A255" s="23">
        <f>Catalog!A231</f>
        <v/>
      </c>
      <c r="B255" s="24">
        <f>Catalog!D231</f>
        <v/>
      </c>
      <c r="C255" s="25">
        <f>IF(Catalog!D231="","",IF(ISBLANK(Catalog!F231),"Missing Creator; ","")&amp;IF(ISBLANK(Catalog!K231),"Missing Type; ","")&amp;IF(ISBLANK(Catalog!L231),"Missing Genre; ","")&amp;IF(ISBLANK(Catalog!W231),"Missing Location Type; ","")&amp;IF(ISBLANK(Catalog!X231),"Missing Location Id; ","")&amp;IF(AND(Catalog!S231&lt;&gt;"",COUNTIF(Catalog!$S$2:$S$501,Catalog!S231)&gt;1),"Duplicate ISBN; ","")&amp;IF(AND(Catalog!B231&lt;&gt;"",COUNTIF(Catalog!$B$2:$B$501,Catalog!B231)&gt;1),"Duplicate Accession; ",""))</f>
        <v/>
      </c>
    </row>
    <row r="256">
      <c r="A256" s="23">
        <f>Catalog!A232</f>
        <v/>
      </c>
      <c r="B256" s="24">
        <f>Catalog!D232</f>
        <v/>
      </c>
      <c r="C256" s="25">
        <f>IF(Catalog!D232="","",IF(ISBLANK(Catalog!F232),"Missing Creator; ","")&amp;IF(ISBLANK(Catalog!K232),"Missing Type; ","")&amp;IF(ISBLANK(Catalog!L232),"Missing Genre; ","")&amp;IF(ISBLANK(Catalog!W232),"Missing Location Type; ","")&amp;IF(ISBLANK(Catalog!X232),"Missing Location Id; ","")&amp;IF(AND(Catalog!S232&lt;&gt;"",COUNTIF(Catalog!$S$2:$S$501,Catalog!S232)&gt;1),"Duplicate ISBN; ","")&amp;IF(AND(Catalog!B232&lt;&gt;"",COUNTIF(Catalog!$B$2:$B$501,Catalog!B232)&gt;1),"Duplicate Accession; ",""))</f>
        <v/>
      </c>
    </row>
    <row r="257">
      <c r="A257" s="23">
        <f>Catalog!A233</f>
        <v/>
      </c>
      <c r="B257" s="24">
        <f>Catalog!D233</f>
        <v/>
      </c>
      <c r="C257" s="25">
        <f>IF(Catalog!D233="","",IF(ISBLANK(Catalog!F233),"Missing Creator; ","")&amp;IF(ISBLANK(Catalog!K233),"Missing Type; ","")&amp;IF(ISBLANK(Catalog!L233),"Missing Genre; ","")&amp;IF(ISBLANK(Catalog!W233),"Missing Location Type; ","")&amp;IF(ISBLANK(Catalog!X233),"Missing Location Id; ","")&amp;IF(AND(Catalog!S233&lt;&gt;"",COUNTIF(Catalog!$S$2:$S$501,Catalog!S233)&gt;1),"Duplicate ISBN; ","")&amp;IF(AND(Catalog!B233&lt;&gt;"",COUNTIF(Catalog!$B$2:$B$501,Catalog!B233)&gt;1),"Duplicate Accession; ",""))</f>
        <v/>
      </c>
    </row>
    <row r="258">
      <c r="A258" s="23">
        <f>Catalog!A234</f>
        <v/>
      </c>
      <c r="B258" s="24">
        <f>Catalog!D234</f>
        <v/>
      </c>
      <c r="C258" s="25">
        <f>IF(Catalog!D234="","",IF(ISBLANK(Catalog!F234),"Missing Creator; ","")&amp;IF(ISBLANK(Catalog!K234),"Missing Type; ","")&amp;IF(ISBLANK(Catalog!L234),"Missing Genre; ","")&amp;IF(ISBLANK(Catalog!W234),"Missing Location Type; ","")&amp;IF(ISBLANK(Catalog!X234),"Missing Location Id; ","")&amp;IF(AND(Catalog!S234&lt;&gt;"",COUNTIF(Catalog!$S$2:$S$501,Catalog!S234)&gt;1),"Duplicate ISBN; ","")&amp;IF(AND(Catalog!B234&lt;&gt;"",COUNTIF(Catalog!$B$2:$B$501,Catalog!B234)&gt;1),"Duplicate Accession; ",""))</f>
        <v/>
      </c>
    </row>
    <row r="259">
      <c r="A259" s="23">
        <f>Catalog!A235</f>
        <v/>
      </c>
      <c r="B259" s="24">
        <f>Catalog!D235</f>
        <v/>
      </c>
      <c r="C259" s="25">
        <f>IF(Catalog!D235="","",IF(ISBLANK(Catalog!F235),"Missing Creator; ","")&amp;IF(ISBLANK(Catalog!K235),"Missing Type; ","")&amp;IF(ISBLANK(Catalog!L235),"Missing Genre; ","")&amp;IF(ISBLANK(Catalog!W235),"Missing Location Type; ","")&amp;IF(ISBLANK(Catalog!X235),"Missing Location Id; ","")&amp;IF(AND(Catalog!S235&lt;&gt;"",COUNTIF(Catalog!$S$2:$S$501,Catalog!S235)&gt;1),"Duplicate ISBN; ","")&amp;IF(AND(Catalog!B235&lt;&gt;"",COUNTIF(Catalog!$B$2:$B$501,Catalog!B235)&gt;1),"Duplicate Accession; ",""))</f>
        <v/>
      </c>
    </row>
    <row r="260">
      <c r="A260" s="23">
        <f>Catalog!A236</f>
        <v/>
      </c>
      <c r="B260" s="24">
        <f>Catalog!D236</f>
        <v/>
      </c>
      <c r="C260" s="25">
        <f>IF(Catalog!D236="","",IF(ISBLANK(Catalog!F236),"Missing Creator; ","")&amp;IF(ISBLANK(Catalog!K236),"Missing Type; ","")&amp;IF(ISBLANK(Catalog!L236),"Missing Genre; ","")&amp;IF(ISBLANK(Catalog!W236),"Missing Location Type; ","")&amp;IF(ISBLANK(Catalog!X236),"Missing Location Id; ","")&amp;IF(AND(Catalog!S236&lt;&gt;"",COUNTIF(Catalog!$S$2:$S$501,Catalog!S236)&gt;1),"Duplicate ISBN; ","")&amp;IF(AND(Catalog!B236&lt;&gt;"",COUNTIF(Catalog!$B$2:$B$501,Catalog!B236)&gt;1),"Duplicate Accession; ",""))</f>
        <v/>
      </c>
    </row>
    <row r="261">
      <c r="A261" s="23">
        <f>Catalog!A237</f>
        <v/>
      </c>
      <c r="B261" s="24">
        <f>Catalog!D237</f>
        <v/>
      </c>
      <c r="C261" s="25">
        <f>IF(Catalog!D237="","",IF(ISBLANK(Catalog!F237),"Missing Creator; ","")&amp;IF(ISBLANK(Catalog!K237),"Missing Type; ","")&amp;IF(ISBLANK(Catalog!L237),"Missing Genre; ","")&amp;IF(ISBLANK(Catalog!W237),"Missing Location Type; ","")&amp;IF(ISBLANK(Catalog!X237),"Missing Location Id; ","")&amp;IF(AND(Catalog!S237&lt;&gt;"",COUNTIF(Catalog!$S$2:$S$501,Catalog!S237)&gt;1),"Duplicate ISBN; ","")&amp;IF(AND(Catalog!B237&lt;&gt;"",COUNTIF(Catalog!$B$2:$B$501,Catalog!B237)&gt;1),"Duplicate Accession; ",""))</f>
        <v/>
      </c>
    </row>
    <row r="262">
      <c r="A262" s="23">
        <f>Catalog!A238</f>
        <v/>
      </c>
      <c r="B262" s="24">
        <f>Catalog!D238</f>
        <v/>
      </c>
      <c r="C262" s="25">
        <f>IF(Catalog!D238="","",IF(ISBLANK(Catalog!F238),"Missing Creator; ","")&amp;IF(ISBLANK(Catalog!K238),"Missing Type; ","")&amp;IF(ISBLANK(Catalog!L238),"Missing Genre; ","")&amp;IF(ISBLANK(Catalog!W238),"Missing Location Type; ","")&amp;IF(ISBLANK(Catalog!X238),"Missing Location Id; ","")&amp;IF(AND(Catalog!S238&lt;&gt;"",COUNTIF(Catalog!$S$2:$S$501,Catalog!S238)&gt;1),"Duplicate ISBN; ","")&amp;IF(AND(Catalog!B238&lt;&gt;"",COUNTIF(Catalog!$B$2:$B$501,Catalog!B238)&gt;1),"Duplicate Accession; ",""))</f>
        <v/>
      </c>
    </row>
    <row r="263">
      <c r="A263" s="23">
        <f>Catalog!A239</f>
        <v/>
      </c>
      <c r="B263" s="24">
        <f>Catalog!D239</f>
        <v/>
      </c>
      <c r="C263" s="25">
        <f>IF(Catalog!D239="","",IF(ISBLANK(Catalog!F239),"Missing Creator; ","")&amp;IF(ISBLANK(Catalog!K239),"Missing Type; ","")&amp;IF(ISBLANK(Catalog!L239),"Missing Genre; ","")&amp;IF(ISBLANK(Catalog!W239),"Missing Location Type; ","")&amp;IF(ISBLANK(Catalog!X239),"Missing Location Id; ","")&amp;IF(AND(Catalog!S239&lt;&gt;"",COUNTIF(Catalog!$S$2:$S$501,Catalog!S239)&gt;1),"Duplicate ISBN; ","")&amp;IF(AND(Catalog!B239&lt;&gt;"",COUNTIF(Catalog!$B$2:$B$501,Catalog!B239)&gt;1),"Duplicate Accession; ",""))</f>
        <v/>
      </c>
    </row>
    <row r="264">
      <c r="A264" s="23">
        <f>Catalog!A240</f>
        <v/>
      </c>
      <c r="B264" s="24">
        <f>Catalog!D240</f>
        <v/>
      </c>
      <c r="C264" s="25">
        <f>IF(Catalog!D240="","",IF(ISBLANK(Catalog!F240),"Missing Creator; ","")&amp;IF(ISBLANK(Catalog!K240),"Missing Type; ","")&amp;IF(ISBLANK(Catalog!L240),"Missing Genre; ","")&amp;IF(ISBLANK(Catalog!W240),"Missing Location Type; ","")&amp;IF(ISBLANK(Catalog!X240),"Missing Location Id; ","")&amp;IF(AND(Catalog!S240&lt;&gt;"",COUNTIF(Catalog!$S$2:$S$501,Catalog!S240)&gt;1),"Duplicate ISBN; ","")&amp;IF(AND(Catalog!B240&lt;&gt;"",COUNTIF(Catalog!$B$2:$B$501,Catalog!B240)&gt;1),"Duplicate Accession; ",""))</f>
        <v/>
      </c>
    </row>
    <row r="265">
      <c r="A265" s="23">
        <f>Catalog!A241</f>
        <v/>
      </c>
      <c r="B265" s="24">
        <f>Catalog!D241</f>
        <v/>
      </c>
      <c r="C265" s="25">
        <f>IF(Catalog!D241="","",IF(ISBLANK(Catalog!F241),"Missing Creator; ","")&amp;IF(ISBLANK(Catalog!K241),"Missing Type; ","")&amp;IF(ISBLANK(Catalog!L241),"Missing Genre; ","")&amp;IF(ISBLANK(Catalog!W241),"Missing Location Type; ","")&amp;IF(ISBLANK(Catalog!X241),"Missing Location Id; ","")&amp;IF(AND(Catalog!S241&lt;&gt;"",COUNTIF(Catalog!$S$2:$S$501,Catalog!S241)&gt;1),"Duplicate ISBN; ","")&amp;IF(AND(Catalog!B241&lt;&gt;"",COUNTIF(Catalog!$B$2:$B$501,Catalog!B241)&gt;1),"Duplicate Accession; ",""))</f>
        <v/>
      </c>
    </row>
    <row r="266">
      <c r="A266" s="23">
        <f>Catalog!A242</f>
        <v/>
      </c>
      <c r="B266" s="24">
        <f>Catalog!D242</f>
        <v/>
      </c>
      <c r="C266" s="25">
        <f>IF(Catalog!D242="","",IF(ISBLANK(Catalog!F242),"Missing Creator; ","")&amp;IF(ISBLANK(Catalog!K242),"Missing Type; ","")&amp;IF(ISBLANK(Catalog!L242),"Missing Genre; ","")&amp;IF(ISBLANK(Catalog!W242),"Missing Location Type; ","")&amp;IF(ISBLANK(Catalog!X242),"Missing Location Id; ","")&amp;IF(AND(Catalog!S242&lt;&gt;"",COUNTIF(Catalog!$S$2:$S$501,Catalog!S242)&gt;1),"Duplicate ISBN; ","")&amp;IF(AND(Catalog!B242&lt;&gt;"",COUNTIF(Catalog!$B$2:$B$501,Catalog!B242)&gt;1),"Duplicate Accession; ",""))</f>
        <v/>
      </c>
    </row>
    <row r="267">
      <c r="A267" s="23">
        <f>Catalog!A243</f>
        <v/>
      </c>
      <c r="B267" s="24">
        <f>Catalog!D243</f>
        <v/>
      </c>
      <c r="C267" s="25">
        <f>IF(Catalog!D243="","",IF(ISBLANK(Catalog!F243),"Missing Creator; ","")&amp;IF(ISBLANK(Catalog!K243),"Missing Type; ","")&amp;IF(ISBLANK(Catalog!L243),"Missing Genre; ","")&amp;IF(ISBLANK(Catalog!W243),"Missing Location Type; ","")&amp;IF(ISBLANK(Catalog!X243),"Missing Location Id; ","")&amp;IF(AND(Catalog!S243&lt;&gt;"",COUNTIF(Catalog!$S$2:$S$501,Catalog!S243)&gt;1),"Duplicate ISBN; ","")&amp;IF(AND(Catalog!B243&lt;&gt;"",COUNTIF(Catalog!$B$2:$B$501,Catalog!B243)&gt;1),"Duplicate Accession; ",""))</f>
        <v/>
      </c>
    </row>
    <row r="268">
      <c r="A268" s="23">
        <f>Catalog!A244</f>
        <v/>
      </c>
      <c r="B268" s="24">
        <f>Catalog!D244</f>
        <v/>
      </c>
      <c r="C268" s="25">
        <f>IF(Catalog!D244="","",IF(ISBLANK(Catalog!F244),"Missing Creator; ","")&amp;IF(ISBLANK(Catalog!K244),"Missing Type; ","")&amp;IF(ISBLANK(Catalog!L244),"Missing Genre; ","")&amp;IF(ISBLANK(Catalog!W244),"Missing Location Type; ","")&amp;IF(ISBLANK(Catalog!X244),"Missing Location Id; ","")&amp;IF(AND(Catalog!S244&lt;&gt;"",COUNTIF(Catalog!$S$2:$S$501,Catalog!S244)&gt;1),"Duplicate ISBN; ","")&amp;IF(AND(Catalog!B244&lt;&gt;"",COUNTIF(Catalog!$B$2:$B$501,Catalog!B244)&gt;1),"Duplicate Accession; ",""))</f>
        <v/>
      </c>
    </row>
    <row r="269">
      <c r="A269" s="23">
        <f>Catalog!A245</f>
        <v/>
      </c>
      <c r="B269" s="24">
        <f>Catalog!D245</f>
        <v/>
      </c>
      <c r="C269" s="25">
        <f>IF(Catalog!D245="","",IF(ISBLANK(Catalog!F245),"Missing Creator; ","")&amp;IF(ISBLANK(Catalog!K245),"Missing Type; ","")&amp;IF(ISBLANK(Catalog!L245),"Missing Genre; ","")&amp;IF(ISBLANK(Catalog!W245),"Missing Location Type; ","")&amp;IF(ISBLANK(Catalog!X245),"Missing Location Id; ","")&amp;IF(AND(Catalog!S245&lt;&gt;"",COUNTIF(Catalog!$S$2:$S$501,Catalog!S245)&gt;1),"Duplicate ISBN; ","")&amp;IF(AND(Catalog!B245&lt;&gt;"",COUNTIF(Catalog!$B$2:$B$501,Catalog!B245)&gt;1),"Duplicate Accession; ",""))</f>
        <v/>
      </c>
    </row>
    <row r="270">
      <c r="A270" s="23">
        <f>Catalog!A246</f>
        <v/>
      </c>
      <c r="B270" s="24">
        <f>Catalog!D246</f>
        <v/>
      </c>
      <c r="C270" s="25">
        <f>IF(Catalog!D246="","",IF(ISBLANK(Catalog!F246),"Missing Creator; ","")&amp;IF(ISBLANK(Catalog!K246),"Missing Type; ","")&amp;IF(ISBLANK(Catalog!L246),"Missing Genre; ","")&amp;IF(ISBLANK(Catalog!W246),"Missing Location Type; ","")&amp;IF(ISBLANK(Catalog!X246),"Missing Location Id; ","")&amp;IF(AND(Catalog!S246&lt;&gt;"",COUNTIF(Catalog!$S$2:$S$501,Catalog!S246)&gt;1),"Duplicate ISBN; ","")&amp;IF(AND(Catalog!B246&lt;&gt;"",COUNTIF(Catalog!$B$2:$B$501,Catalog!B246)&gt;1),"Duplicate Accession; ",""))</f>
        <v/>
      </c>
    </row>
    <row r="271">
      <c r="A271" s="23">
        <f>Catalog!A247</f>
        <v/>
      </c>
      <c r="B271" s="24">
        <f>Catalog!D247</f>
        <v/>
      </c>
      <c r="C271" s="25">
        <f>IF(Catalog!D247="","",IF(ISBLANK(Catalog!F247),"Missing Creator; ","")&amp;IF(ISBLANK(Catalog!K247),"Missing Type; ","")&amp;IF(ISBLANK(Catalog!L247),"Missing Genre; ","")&amp;IF(ISBLANK(Catalog!W247),"Missing Location Type; ","")&amp;IF(ISBLANK(Catalog!X247),"Missing Location Id; ","")&amp;IF(AND(Catalog!S247&lt;&gt;"",COUNTIF(Catalog!$S$2:$S$501,Catalog!S247)&gt;1),"Duplicate ISBN; ","")&amp;IF(AND(Catalog!B247&lt;&gt;"",COUNTIF(Catalog!$B$2:$B$501,Catalog!B247)&gt;1),"Duplicate Accession; ",""))</f>
        <v/>
      </c>
    </row>
    <row r="272">
      <c r="A272" s="23">
        <f>Catalog!A248</f>
        <v/>
      </c>
      <c r="B272" s="24">
        <f>Catalog!D248</f>
        <v/>
      </c>
      <c r="C272" s="25">
        <f>IF(Catalog!D248="","",IF(ISBLANK(Catalog!F248),"Missing Creator; ","")&amp;IF(ISBLANK(Catalog!K248),"Missing Type; ","")&amp;IF(ISBLANK(Catalog!L248),"Missing Genre; ","")&amp;IF(ISBLANK(Catalog!W248),"Missing Location Type; ","")&amp;IF(ISBLANK(Catalog!X248),"Missing Location Id; ","")&amp;IF(AND(Catalog!S248&lt;&gt;"",COUNTIF(Catalog!$S$2:$S$501,Catalog!S248)&gt;1),"Duplicate ISBN; ","")&amp;IF(AND(Catalog!B248&lt;&gt;"",COUNTIF(Catalog!$B$2:$B$501,Catalog!B248)&gt;1),"Duplicate Accession; ",""))</f>
        <v/>
      </c>
    </row>
    <row r="273">
      <c r="A273" s="23">
        <f>Catalog!A249</f>
        <v/>
      </c>
      <c r="B273" s="24">
        <f>Catalog!D249</f>
        <v/>
      </c>
      <c r="C273" s="25">
        <f>IF(Catalog!D249="","",IF(ISBLANK(Catalog!F249),"Missing Creator; ","")&amp;IF(ISBLANK(Catalog!K249),"Missing Type; ","")&amp;IF(ISBLANK(Catalog!L249),"Missing Genre; ","")&amp;IF(ISBLANK(Catalog!W249),"Missing Location Type; ","")&amp;IF(ISBLANK(Catalog!X249),"Missing Location Id; ","")&amp;IF(AND(Catalog!S249&lt;&gt;"",COUNTIF(Catalog!$S$2:$S$501,Catalog!S249)&gt;1),"Duplicate ISBN; ","")&amp;IF(AND(Catalog!B249&lt;&gt;"",COUNTIF(Catalog!$B$2:$B$501,Catalog!B249)&gt;1),"Duplicate Accession; ",""))</f>
        <v/>
      </c>
    </row>
    <row r="274">
      <c r="A274" s="23">
        <f>Catalog!A250</f>
        <v/>
      </c>
      <c r="B274" s="24">
        <f>Catalog!D250</f>
        <v/>
      </c>
      <c r="C274" s="25">
        <f>IF(Catalog!D250="","",IF(ISBLANK(Catalog!F250),"Missing Creator; ","")&amp;IF(ISBLANK(Catalog!K250),"Missing Type; ","")&amp;IF(ISBLANK(Catalog!L250),"Missing Genre; ","")&amp;IF(ISBLANK(Catalog!W250),"Missing Location Type; ","")&amp;IF(ISBLANK(Catalog!X250),"Missing Location Id; ","")&amp;IF(AND(Catalog!S250&lt;&gt;"",COUNTIF(Catalog!$S$2:$S$501,Catalog!S250)&gt;1),"Duplicate ISBN; ","")&amp;IF(AND(Catalog!B250&lt;&gt;"",COUNTIF(Catalog!$B$2:$B$501,Catalog!B250)&gt;1),"Duplicate Accession; ",""))</f>
        <v/>
      </c>
    </row>
    <row r="275">
      <c r="A275" s="23">
        <f>Catalog!A251</f>
        <v/>
      </c>
      <c r="B275" s="24">
        <f>Catalog!D251</f>
        <v/>
      </c>
      <c r="C275" s="25">
        <f>IF(Catalog!D251="","",IF(ISBLANK(Catalog!F251),"Missing Creator; ","")&amp;IF(ISBLANK(Catalog!K251),"Missing Type; ","")&amp;IF(ISBLANK(Catalog!L251),"Missing Genre; ","")&amp;IF(ISBLANK(Catalog!W251),"Missing Location Type; ","")&amp;IF(ISBLANK(Catalog!X251),"Missing Location Id; ","")&amp;IF(AND(Catalog!S251&lt;&gt;"",COUNTIF(Catalog!$S$2:$S$501,Catalog!S251)&gt;1),"Duplicate ISBN; ","")&amp;IF(AND(Catalog!B251&lt;&gt;"",COUNTIF(Catalog!$B$2:$B$501,Catalog!B251)&gt;1),"Duplicate Accession; ",""))</f>
        <v/>
      </c>
    </row>
    <row r="276">
      <c r="A276" s="23">
        <f>Catalog!A252</f>
        <v/>
      </c>
      <c r="B276" s="24">
        <f>Catalog!D252</f>
        <v/>
      </c>
      <c r="C276" s="25">
        <f>IF(Catalog!D252="","",IF(ISBLANK(Catalog!F252),"Missing Creator; ","")&amp;IF(ISBLANK(Catalog!K252),"Missing Type; ","")&amp;IF(ISBLANK(Catalog!L252),"Missing Genre; ","")&amp;IF(ISBLANK(Catalog!W252),"Missing Location Type; ","")&amp;IF(ISBLANK(Catalog!X252),"Missing Location Id; ","")&amp;IF(AND(Catalog!S252&lt;&gt;"",COUNTIF(Catalog!$S$2:$S$501,Catalog!S252)&gt;1),"Duplicate ISBN; ","")&amp;IF(AND(Catalog!B252&lt;&gt;"",COUNTIF(Catalog!$B$2:$B$501,Catalog!B252)&gt;1),"Duplicate Accession; ",""))</f>
        <v/>
      </c>
    </row>
    <row r="277">
      <c r="A277" s="23">
        <f>Catalog!A253</f>
        <v/>
      </c>
      <c r="B277" s="24">
        <f>Catalog!D253</f>
        <v/>
      </c>
      <c r="C277" s="25">
        <f>IF(Catalog!D253="","",IF(ISBLANK(Catalog!F253),"Missing Creator; ","")&amp;IF(ISBLANK(Catalog!K253),"Missing Type; ","")&amp;IF(ISBLANK(Catalog!L253),"Missing Genre; ","")&amp;IF(ISBLANK(Catalog!W253),"Missing Location Type; ","")&amp;IF(ISBLANK(Catalog!X253),"Missing Location Id; ","")&amp;IF(AND(Catalog!S253&lt;&gt;"",COUNTIF(Catalog!$S$2:$S$501,Catalog!S253)&gt;1),"Duplicate ISBN; ","")&amp;IF(AND(Catalog!B253&lt;&gt;"",COUNTIF(Catalog!$B$2:$B$501,Catalog!B253)&gt;1),"Duplicate Accession; ",""))</f>
        <v/>
      </c>
    </row>
    <row r="278">
      <c r="A278" s="23">
        <f>Catalog!A254</f>
        <v/>
      </c>
      <c r="B278" s="24">
        <f>Catalog!D254</f>
        <v/>
      </c>
      <c r="C278" s="25">
        <f>IF(Catalog!D254="","",IF(ISBLANK(Catalog!F254),"Missing Creator; ","")&amp;IF(ISBLANK(Catalog!K254),"Missing Type; ","")&amp;IF(ISBLANK(Catalog!L254),"Missing Genre; ","")&amp;IF(ISBLANK(Catalog!W254),"Missing Location Type; ","")&amp;IF(ISBLANK(Catalog!X254),"Missing Location Id; ","")&amp;IF(AND(Catalog!S254&lt;&gt;"",COUNTIF(Catalog!$S$2:$S$501,Catalog!S254)&gt;1),"Duplicate ISBN; ","")&amp;IF(AND(Catalog!B254&lt;&gt;"",COUNTIF(Catalog!$B$2:$B$501,Catalog!B254)&gt;1),"Duplicate Accession; ",""))</f>
        <v/>
      </c>
    </row>
    <row r="279">
      <c r="A279" s="23">
        <f>Catalog!A255</f>
        <v/>
      </c>
      <c r="B279" s="24">
        <f>Catalog!D255</f>
        <v/>
      </c>
      <c r="C279" s="25">
        <f>IF(Catalog!D255="","",IF(ISBLANK(Catalog!F255),"Missing Creator; ","")&amp;IF(ISBLANK(Catalog!K255),"Missing Type; ","")&amp;IF(ISBLANK(Catalog!L255),"Missing Genre; ","")&amp;IF(ISBLANK(Catalog!W255),"Missing Location Type; ","")&amp;IF(ISBLANK(Catalog!X255),"Missing Location Id; ","")&amp;IF(AND(Catalog!S255&lt;&gt;"",COUNTIF(Catalog!$S$2:$S$501,Catalog!S255)&gt;1),"Duplicate ISBN; ","")&amp;IF(AND(Catalog!B255&lt;&gt;"",COUNTIF(Catalog!$B$2:$B$501,Catalog!B255)&gt;1),"Duplicate Accession; ",""))</f>
        <v/>
      </c>
    </row>
    <row r="280">
      <c r="A280" s="23">
        <f>Catalog!A256</f>
        <v/>
      </c>
      <c r="B280" s="24">
        <f>Catalog!D256</f>
        <v/>
      </c>
      <c r="C280" s="25">
        <f>IF(Catalog!D256="","",IF(ISBLANK(Catalog!F256),"Missing Creator; ","")&amp;IF(ISBLANK(Catalog!K256),"Missing Type; ","")&amp;IF(ISBLANK(Catalog!L256),"Missing Genre; ","")&amp;IF(ISBLANK(Catalog!W256),"Missing Location Type; ","")&amp;IF(ISBLANK(Catalog!X256),"Missing Location Id; ","")&amp;IF(AND(Catalog!S256&lt;&gt;"",COUNTIF(Catalog!$S$2:$S$501,Catalog!S256)&gt;1),"Duplicate ISBN; ","")&amp;IF(AND(Catalog!B256&lt;&gt;"",COUNTIF(Catalog!$B$2:$B$501,Catalog!B256)&gt;1),"Duplicate Accession; ",""))</f>
        <v/>
      </c>
    </row>
    <row r="281">
      <c r="A281" s="23">
        <f>Catalog!A257</f>
        <v/>
      </c>
      <c r="B281" s="24">
        <f>Catalog!D257</f>
        <v/>
      </c>
      <c r="C281" s="25">
        <f>IF(Catalog!D257="","",IF(ISBLANK(Catalog!F257),"Missing Creator; ","")&amp;IF(ISBLANK(Catalog!K257),"Missing Type; ","")&amp;IF(ISBLANK(Catalog!L257),"Missing Genre; ","")&amp;IF(ISBLANK(Catalog!W257),"Missing Location Type; ","")&amp;IF(ISBLANK(Catalog!X257),"Missing Location Id; ","")&amp;IF(AND(Catalog!S257&lt;&gt;"",COUNTIF(Catalog!$S$2:$S$501,Catalog!S257)&gt;1),"Duplicate ISBN; ","")&amp;IF(AND(Catalog!B257&lt;&gt;"",COUNTIF(Catalog!$B$2:$B$501,Catalog!B257)&gt;1),"Duplicate Accession; ",""))</f>
        <v/>
      </c>
    </row>
    <row r="282">
      <c r="A282" s="23">
        <f>Catalog!A258</f>
        <v/>
      </c>
      <c r="B282" s="24">
        <f>Catalog!D258</f>
        <v/>
      </c>
      <c r="C282" s="25">
        <f>IF(Catalog!D258="","",IF(ISBLANK(Catalog!F258),"Missing Creator; ","")&amp;IF(ISBLANK(Catalog!K258),"Missing Type; ","")&amp;IF(ISBLANK(Catalog!L258),"Missing Genre; ","")&amp;IF(ISBLANK(Catalog!W258),"Missing Location Type; ","")&amp;IF(ISBLANK(Catalog!X258),"Missing Location Id; ","")&amp;IF(AND(Catalog!S258&lt;&gt;"",COUNTIF(Catalog!$S$2:$S$501,Catalog!S258)&gt;1),"Duplicate ISBN; ","")&amp;IF(AND(Catalog!B258&lt;&gt;"",COUNTIF(Catalog!$B$2:$B$501,Catalog!B258)&gt;1),"Duplicate Accession; ",""))</f>
        <v/>
      </c>
    </row>
    <row r="283">
      <c r="A283" s="23">
        <f>Catalog!A259</f>
        <v/>
      </c>
      <c r="B283" s="24">
        <f>Catalog!D259</f>
        <v/>
      </c>
      <c r="C283" s="25">
        <f>IF(Catalog!D259="","",IF(ISBLANK(Catalog!F259),"Missing Creator; ","")&amp;IF(ISBLANK(Catalog!K259),"Missing Type; ","")&amp;IF(ISBLANK(Catalog!L259),"Missing Genre; ","")&amp;IF(ISBLANK(Catalog!W259),"Missing Location Type; ","")&amp;IF(ISBLANK(Catalog!X259),"Missing Location Id; ","")&amp;IF(AND(Catalog!S259&lt;&gt;"",COUNTIF(Catalog!$S$2:$S$501,Catalog!S259)&gt;1),"Duplicate ISBN; ","")&amp;IF(AND(Catalog!B259&lt;&gt;"",COUNTIF(Catalog!$B$2:$B$501,Catalog!B259)&gt;1),"Duplicate Accession; ",""))</f>
        <v/>
      </c>
    </row>
    <row r="284">
      <c r="A284" s="23">
        <f>Catalog!A260</f>
        <v/>
      </c>
      <c r="B284" s="24">
        <f>Catalog!D260</f>
        <v/>
      </c>
      <c r="C284" s="25">
        <f>IF(Catalog!D260="","",IF(ISBLANK(Catalog!F260),"Missing Creator; ","")&amp;IF(ISBLANK(Catalog!K260),"Missing Type; ","")&amp;IF(ISBLANK(Catalog!L260),"Missing Genre; ","")&amp;IF(ISBLANK(Catalog!W260),"Missing Location Type; ","")&amp;IF(ISBLANK(Catalog!X260),"Missing Location Id; ","")&amp;IF(AND(Catalog!S260&lt;&gt;"",COUNTIF(Catalog!$S$2:$S$501,Catalog!S260)&gt;1),"Duplicate ISBN; ","")&amp;IF(AND(Catalog!B260&lt;&gt;"",COUNTIF(Catalog!$B$2:$B$501,Catalog!B260)&gt;1),"Duplicate Accession; ",""))</f>
        <v/>
      </c>
    </row>
    <row r="285">
      <c r="A285" s="23">
        <f>Catalog!A261</f>
        <v/>
      </c>
      <c r="B285" s="24">
        <f>Catalog!D261</f>
        <v/>
      </c>
      <c r="C285" s="25">
        <f>IF(Catalog!D261="","",IF(ISBLANK(Catalog!F261),"Missing Creator; ","")&amp;IF(ISBLANK(Catalog!K261),"Missing Type; ","")&amp;IF(ISBLANK(Catalog!L261),"Missing Genre; ","")&amp;IF(ISBLANK(Catalog!W261),"Missing Location Type; ","")&amp;IF(ISBLANK(Catalog!X261),"Missing Location Id; ","")&amp;IF(AND(Catalog!S261&lt;&gt;"",COUNTIF(Catalog!$S$2:$S$501,Catalog!S261)&gt;1),"Duplicate ISBN; ","")&amp;IF(AND(Catalog!B261&lt;&gt;"",COUNTIF(Catalog!$B$2:$B$501,Catalog!B261)&gt;1),"Duplicate Accession; ",""))</f>
        <v/>
      </c>
    </row>
    <row r="286">
      <c r="A286" s="23">
        <f>Catalog!A262</f>
        <v/>
      </c>
      <c r="B286" s="24">
        <f>Catalog!D262</f>
        <v/>
      </c>
      <c r="C286" s="25">
        <f>IF(Catalog!D262="","",IF(ISBLANK(Catalog!F262),"Missing Creator; ","")&amp;IF(ISBLANK(Catalog!K262),"Missing Type; ","")&amp;IF(ISBLANK(Catalog!L262),"Missing Genre; ","")&amp;IF(ISBLANK(Catalog!W262),"Missing Location Type; ","")&amp;IF(ISBLANK(Catalog!X262),"Missing Location Id; ","")&amp;IF(AND(Catalog!S262&lt;&gt;"",COUNTIF(Catalog!$S$2:$S$501,Catalog!S262)&gt;1),"Duplicate ISBN; ","")&amp;IF(AND(Catalog!B262&lt;&gt;"",COUNTIF(Catalog!$B$2:$B$501,Catalog!B262)&gt;1),"Duplicate Accession; ",""))</f>
        <v/>
      </c>
    </row>
    <row r="287">
      <c r="A287" s="23">
        <f>Catalog!A263</f>
        <v/>
      </c>
      <c r="B287" s="24">
        <f>Catalog!D263</f>
        <v/>
      </c>
      <c r="C287" s="25">
        <f>IF(Catalog!D263="","",IF(ISBLANK(Catalog!F263),"Missing Creator; ","")&amp;IF(ISBLANK(Catalog!K263),"Missing Type; ","")&amp;IF(ISBLANK(Catalog!L263),"Missing Genre; ","")&amp;IF(ISBLANK(Catalog!W263),"Missing Location Type; ","")&amp;IF(ISBLANK(Catalog!X263),"Missing Location Id; ","")&amp;IF(AND(Catalog!S263&lt;&gt;"",COUNTIF(Catalog!$S$2:$S$501,Catalog!S263)&gt;1),"Duplicate ISBN; ","")&amp;IF(AND(Catalog!B263&lt;&gt;"",COUNTIF(Catalog!$B$2:$B$501,Catalog!B263)&gt;1),"Duplicate Accession; ",""))</f>
        <v/>
      </c>
    </row>
    <row r="288">
      <c r="A288" s="23">
        <f>Catalog!A264</f>
        <v/>
      </c>
      <c r="B288" s="24">
        <f>Catalog!D264</f>
        <v/>
      </c>
      <c r="C288" s="25">
        <f>IF(Catalog!D264="","",IF(ISBLANK(Catalog!F264),"Missing Creator; ","")&amp;IF(ISBLANK(Catalog!K264),"Missing Type; ","")&amp;IF(ISBLANK(Catalog!L264),"Missing Genre; ","")&amp;IF(ISBLANK(Catalog!W264),"Missing Location Type; ","")&amp;IF(ISBLANK(Catalog!X264),"Missing Location Id; ","")&amp;IF(AND(Catalog!S264&lt;&gt;"",COUNTIF(Catalog!$S$2:$S$501,Catalog!S264)&gt;1),"Duplicate ISBN; ","")&amp;IF(AND(Catalog!B264&lt;&gt;"",COUNTIF(Catalog!$B$2:$B$501,Catalog!B264)&gt;1),"Duplicate Accession; ",""))</f>
        <v/>
      </c>
    </row>
    <row r="289">
      <c r="A289" s="23">
        <f>Catalog!A265</f>
        <v/>
      </c>
      <c r="B289" s="24">
        <f>Catalog!D265</f>
        <v/>
      </c>
      <c r="C289" s="25">
        <f>IF(Catalog!D265="","",IF(ISBLANK(Catalog!F265),"Missing Creator; ","")&amp;IF(ISBLANK(Catalog!K265),"Missing Type; ","")&amp;IF(ISBLANK(Catalog!L265),"Missing Genre; ","")&amp;IF(ISBLANK(Catalog!W265),"Missing Location Type; ","")&amp;IF(ISBLANK(Catalog!X265),"Missing Location Id; ","")&amp;IF(AND(Catalog!S265&lt;&gt;"",COUNTIF(Catalog!$S$2:$S$501,Catalog!S265)&gt;1),"Duplicate ISBN; ","")&amp;IF(AND(Catalog!B265&lt;&gt;"",COUNTIF(Catalog!$B$2:$B$501,Catalog!B265)&gt;1),"Duplicate Accession; ",""))</f>
        <v/>
      </c>
    </row>
    <row r="290">
      <c r="A290" s="23">
        <f>Catalog!A266</f>
        <v/>
      </c>
      <c r="B290" s="24">
        <f>Catalog!D266</f>
        <v/>
      </c>
      <c r="C290" s="25">
        <f>IF(Catalog!D266="","",IF(ISBLANK(Catalog!F266),"Missing Creator; ","")&amp;IF(ISBLANK(Catalog!K266),"Missing Type; ","")&amp;IF(ISBLANK(Catalog!L266),"Missing Genre; ","")&amp;IF(ISBLANK(Catalog!W266),"Missing Location Type; ","")&amp;IF(ISBLANK(Catalog!X266),"Missing Location Id; ","")&amp;IF(AND(Catalog!S266&lt;&gt;"",COUNTIF(Catalog!$S$2:$S$501,Catalog!S266)&gt;1),"Duplicate ISBN; ","")&amp;IF(AND(Catalog!B266&lt;&gt;"",COUNTIF(Catalog!$B$2:$B$501,Catalog!B266)&gt;1),"Duplicate Accession; ",""))</f>
        <v/>
      </c>
    </row>
    <row r="291">
      <c r="A291" s="23">
        <f>Catalog!A267</f>
        <v/>
      </c>
      <c r="B291" s="24">
        <f>Catalog!D267</f>
        <v/>
      </c>
      <c r="C291" s="25">
        <f>IF(Catalog!D267="","",IF(ISBLANK(Catalog!F267),"Missing Creator; ","")&amp;IF(ISBLANK(Catalog!K267),"Missing Type; ","")&amp;IF(ISBLANK(Catalog!L267),"Missing Genre; ","")&amp;IF(ISBLANK(Catalog!W267),"Missing Location Type; ","")&amp;IF(ISBLANK(Catalog!X267),"Missing Location Id; ","")&amp;IF(AND(Catalog!S267&lt;&gt;"",COUNTIF(Catalog!$S$2:$S$501,Catalog!S267)&gt;1),"Duplicate ISBN; ","")&amp;IF(AND(Catalog!B267&lt;&gt;"",COUNTIF(Catalog!$B$2:$B$501,Catalog!B267)&gt;1),"Duplicate Accession; ",""))</f>
        <v/>
      </c>
    </row>
    <row r="292">
      <c r="A292" s="23">
        <f>Catalog!A268</f>
        <v/>
      </c>
      <c r="B292" s="24">
        <f>Catalog!D268</f>
        <v/>
      </c>
      <c r="C292" s="25">
        <f>IF(Catalog!D268="","",IF(ISBLANK(Catalog!F268),"Missing Creator; ","")&amp;IF(ISBLANK(Catalog!K268),"Missing Type; ","")&amp;IF(ISBLANK(Catalog!L268),"Missing Genre; ","")&amp;IF(ISBLANK(Catalog!W268),"Missing Location Type; ","")&amp;IF(ISBLANK(Catalog!X268),"Missing Location Id; ","")&amp;IF(AND(Catalog!S268&lt;&gt;"",COUNTIF(Catalog!$S$2:$S$501,Catalog!S268)&gt;1),"Duplicate ISBN; ","")&amp;IF(AND(Catalog!B268&lt;&gt;"",COUNTIF(Catalog!$B$2:$B$501,Catalog!B268)&gt;1),"Duplicate Accession; ",""))</f>
        <v/>
      </c>
    </row>
    <row r="293">
      <c r="A293" s="23">
        <f>Catalog!A269</f>
        <v/>
      </c>
      <c r="B293" s="24">
        <f>Catalog!D269</f>
        <v/>
      </c>
      <c r="C293" s="25">
        <f>IF(Catalog!D269="","",IF(ISBLANK(Catalog!F269),"Missing Creator; ","")&amp;IF(ISBLANK(Catalog!K269),"Missing Type; ","")&amp;IF(ISBLANK(Catalog!L269),"Missing Genre; ","")&amp;IF(ISBLANK(Catalog!W269),"Missing Location Type; ","")&amp;IF(ISBLANK(Catalog!X269),"Missing Location Id; ","")&amp;IF(AND(Catalog!S269&lt;&gt;"",COUNTIF(Catalog!$S$2:$S$501,Catalog!S269)&gt;1),"Duplicate ISBN; ","")&amp;IF(AND(Catalog!B269&lt;&gt;"",COUNTIF(Catalog!$B$2:$B$501,Catalog!B269)&gt;1),"Duplicate Accession; ",""))</f>
        <v/>
      </c>
    </row>
    <row r="294">
      <c r="A294" s="23">
        <f>Catalog!A270</f>
        <v/>
      </c>
      <c r="B294" s="24">
        <f>Catalog!D270</f>
        <v/>
      </c>
      <c r="C294" s="25">
        <f>IF(Catalog!D270="","",IF(ISBLANK(Catalog!F270),"Missing Creator; ","")&amp;IF(ISBLANK(Catalog!K270),"Missing Type; ","")&amp;IF(ISBLANK(Catalog!L270),"Missing Genre; ","")&amp;IF(ISBLANK(Catalog!W270),"Missing Location Type; ","")&amp;IF(ISBLANK(Catalog!X270),"Missing Location Id; ","")&amp;IF(AND(Catalog!S270&lt;&gt;"",COUNTIF(Catalog!$S$2:$S$501,Catalog!S270)&gt;1),"Duplicate ISBN; ","")&amp;IF(AND(Catalog!B270&lt;&gt;"",COUNTIF(Catalog!$B$2:$B$501,Catalog!B270)&gt;1),"Duplicate Accession; ",""))</f>
        <v/>
      </c>
    </row>
    <row r="295">
      <c r="A295" s="23">
        <f>Catalog!A271</f>
        <v/>
      </c>
      <c r="B295" s="24">
        <f>Catalog!D271</f>
        <v/>
      </c>
      <c r="C295" s="25">
        <f>IF(Catalog!D271="","",IF(ISBLANK(Catalog!F271),"Missing Creator; ","")&amp;IF(ISBLANK(Catalog!K271),"Missing Type; ","")&amp;IF(ISBLANK(Catalog!L271),"Missing Genre; ","")&amp;IF(ISBLANK(Catalog!W271),"Missing Location Type; ","")&amp;IF(ISBLANK(Catalog!X271),"Missing Location Id; ","")&amp;IF(AND(Catalog!S271&lt;&gt;"",COUNTIF(Catalog!$S$2:$S$501,Catalog!S271)&gt;1),"Duplicate ISBN; ","")&amp;IF(AND(Catalog!B271&lt;&gt;"",COUNTIF(Catalog!$B$2:$B$501,Catalog!B271)&gt;1),"Duplicate Accession; ",""))</f>
        <v/>
      </c>
    </row>
    <row r="296">
      <c r="A296" s="23">
        <f>Catalog!A272</f>
        <v/>
      </c>
      <c r="B296" s="24">
        <f>Catalog!D272</f>
        <v/>
      </c>
      <c r="C296" s="25">
        <f>IF(Catalog!D272="","",IF(ISBLANK(Catalog!F272),"Missing Creator; ","")&amp;IF(ISBLANK(Catalog!K272),"Missing Type; ","")&amp;IF(ISBLANK(Catalog!L272),"Missing Genre; ","")&amp;IF(ISBLANK(Catalog!W272),"Missing Location Type; ","")&amp;IF(ISBLANK(Catalog!X272),"Missing Location Id; ","")&amp;IF(AND(Catalog!S272&lt;&gt;"",COUNTIF(Catalog!$S$2:$S$501,Catalog!S272)&gt;1),"Duplicate ISBN; ","")&amp;IF(AND(Catalog!B272&lt;&gt;"",COUNTIF(Catalog!$B$2:$B$501,Catalog!B272)&gt;1),"Duplicate Accession; ",""))</f>
        <v/>
      </c>
    </row>
    <row r="297">
      <c r="A297" s="23">
        <f>Catalog!A273</f>
        <v/>
      </c>
      <c r="B297" s="24">
        <f>Catalog!D273</f>
        <v/>
      </c>
      <c r="C297" s="25">
        <f>IF(Catalog!D273="","",IF(ISBLANK(Catalog!F273),"Missing Creator; ","")&amp;IF(ISBLANK(Catalog!K273),"Missing Type; ","")&amp;IF(ISBLANK(Catalog!L273),"Missing Genre; ","")&amp;IF(ISBLANK(Catalog!W273),"Missing Location Type; ","")&amp;IF(ISBLANK(Catalog!X273),"Missing Location Id; ","")&amp;IF(AND(Catalog!S273&lt;&gt;"",COUNTIF(Catalog!$S$2:$S$501,Catalog!S273)&gt;1),"Duplicate ISBN; ","")&amp;IF(AND(Catalog!B273&lt;&gt;"",COUNTIF(Catalog!$B$2:$B$501,Catalog!B273)&gt;1),"Duplicate Accession; ",""))</f>
        <v/>
      </c>
    </row>
    <row r="298">
      <c r="A298" s="23">
        <f>Catalog!A274</f>
        <v/>
      </c>
      <c r="B298" s="24">
        <f>Catalog!D274</f>
        <v/>
      </c>
      <c r="C298" s="25">
        <f>IF(Catalog!D274="","",IF(ISBLANK(Catalog!F274),"Missing Creator; ","")&amp;IF(ISBLANK(Catalog!K274),"Missing Type; ","")&amp;IF(ISBLANK(Catalog!L274),"Missing Genre; ","")&amp;IF(ISBLANK(Catalog!W274),"Missing Location Type; ","")&amp;IF(ISBLANK(Catalog!X274),"Missing Location Id; ","")&amp;IF(AND(Catalog!S274&lt;&gt;"",COUNTIF(Catalog!$S$2:$S$501,Catalog!S274)&gt;1),"Duplicate ISBN; ","")&amp;IF(AND(Catalog!B274&lt;&gt;"",COUNTIF(Catalog!$B$2:$B$501,Catalog!B274)&gt;1),"Duplicate Accession; ",""))</f>
        <v/>
      </c>
    </row>
    <row r="299">
      <c r="A299" s="23">
        <f>Catalog!A275</f>
        <v/>
      </c>
      <c r="B299" s="24">
        <f>Catalog!D275</f>
        <v/>
      </c>
      <c r="C299" s="25">
        <f>IF(Catalog!D275="","",IF(ISBLANK(Catalog!F275),"Missing Creator; ","")&amp;IF(ISBLANK(Catalog!K275),"Missing Type; ","")&amp;IF(ISBLANK(Catalog!L275),"Missing Genre; ","")&amp;IF(ISBLANK(Catalog!W275),"Missing Location Type; ","")&amp;IF(ISBLANK(Catalog!X275),"Missing Location Id; ","")&amp;IF(AND(Catalog!S275&lt;&gt;"",COUNTIF(Catalog!$S$2:$S$501,Catalog!S275)&gt;1),"Duplicate ISBN; ","")&amp;IF(AND(Catalog!B275&lt;&gt;"",COUNTIF(Catalog!$B$2:$B$501,Catalog!B275)&gt;1),"Duplicate Accession; ",""))</f>
        <v/>
      </c>
    </row>
    <row r="300">
      <c r="A300" s="23">
        <f>Catalog!A276</f>
        <v/>
      </c>
      <c r="B300" s="24">
        <f>Catalog!D276</f>
        <v/>
      </c>
      <c r="C300" s="25">
        <f>IF(Catalog!D276="","",IF(ISBLANK(Catalog!F276),"Missing Creator; ","")&amp;IF(ISBLANK(Catalog!K276),"Missing Type; ","")&amp;IF(ISBLANK(Catalog!L276),"Missing Genre; ","")&amp;IF(ISBLANK(Catalog!W276),"Missing Location Type; ","")&amp;IF(ISBLANK(Catalog!X276),"Missing Location Id; ","")&amp;IF(AND(Catalog!S276&lt;&gt;"",COUNTIF(Catalog!$S$2:$S$501,Catalog!S276)&gt;1),"Duplicate ISBN; ","")&amp;IF(AND(Catalog!B276&lt;&gt;"",COUNTIF(Catalog!$B$2:$B$501,Catalog!B276)&gt;1),"Duplicate Accession; ",""))</f>
        <v/>
      </c>
    </row>
    <row r="301">
      <c r="A301" s="23">
        <f>Catalog!A277</f>
        <v/>
      </c>
      <c r="B301" s="24">
        <f>Catalog!D277</f>
        <v/>
      </c>
      <c r="C301" s="25">
        <f>IF(Catalog!D277="","",IF(ISBLANK(Catalog!F277),"Missing Creator; ","")&amp;IF(ISBLANK(Catalog!K277),"Missing Type; ","")&amp;IF(ISBLANK(Catalog!L277),"Missing Genre; ","")&amp;IF(ISBLANK(Catalog!W277),"Missing Location Type; ","")&amp;IF(ISBLANK(Catalog!X277),"Missing Location Id; ","")&amp;IF(AND(Catalog!S277&lt;&gt;"",COUNTIF(Catalog!$S$2:$S$501,Catalog!S277)&gt;1),"Duplicate ISBN; ","")&amp;IF(AND(Catalog!B277&lt;&gt;"",COUNTIF(Catalog!$B$2:$B$501,Catalog!B277)&gt;1),"Duplicate Accession; ",""))</f>
        <v/>
      </c>
    </row>
    <row r="302">
      <c r="A302" s="23">
        <f>Catalog!A278</f>
        <v/>
      </c>
      <c r="B302" s="24">
        <f>Catalog!D278</f>
        <v/>
      </c>
      <c r="C302" s="25">
        <f>IF(Catalog!D278="","",IF(ISBLANK(Catalog!F278),"Missing Creator; ","")&amp;IF(ISBLANK(Catalog!K278),"Missing Type; ","")&amp;IF(ISBLANK(Catalog!L278),"Missing Genre; ","")&amp;IF(ISBLANK(Catalog!W278),"Missing Location Type; ","")&amp;IF(ISBLANK(Catalog!X278),"Missing Location Id; ","")&amp;IF(AND(Catalog!S278&lt;&gt;"",COUNTIF(Catalog!$S$2:$S$501,Catalog!S278)&gt;1),"Duplicate ISBN; ","")&amp;IF(AND(Catalog!B278&lt;&gt;"",COUNTIF(Catalog!$B$2:$B$501,Catalog!B278)&gt;1),"Duplicate Accession; ",""))</f>
        <v/>
      </c>
    </row>
    <row r="303">
      <c r="A303" s="23">
        <f>Catalog!A279</f>
        <v/>
      </c>
      <c r="B303" s="24">
        <f>Catalog!D279</f>
        <v/>
      </c>
      <c r="C303" s="25">
        <f>IF(Catalog!D279="","",IF(ISBLANK(Catalog!F279),"Missing Creator; ","")&amp;IF(ISBLANK(Catalog!K279),"Missing Type; ","")&amp;IF(ISBLANK(Catalog!L279),"Missing Genre; ","")&amp;IF(ISBLANK(Catalog!W279),"Missing Location Type; ","")&amp;IF(ISBLANK(Catalog!X279),"Missing Location Id; ","")&amp;IF(AND(Catalog!S279&lt;&gt;"",COUNTIF(Catalog!$S$2:$S$501,Catalog!S279)&gt;1),"Duplicate ISBN; ","")&amp;IF(AND(Catalog!B279&lt;&gt;"",COUNTIF(Catalog!$B$2:$B$501,Catalog!B279)&gt;1),"Duplicate Accession; ",""))</f>
        <v/>
      </c>
    </row>
    <row r="304">
      <c r="A304" s="23">
        <f>Catalog!A280</f>
        <v/>
      </c>
      <c r="B304" s="24">
        <f>Catalog!D280</f>
        <v/>
      </c>
      <c r="C304" s="25">
        <f>IF(Catalog!D280="","",IF(ISBLANK(Catalog!F280),"Missing Creator; ","")&amp;IF(ISBLANK(Catalog!K280),"Missing Type; ","")&amp;IF(ISBLANK(Catalog!L280),"Missing Genre; ","")&amp;IF(ISBLANK(Catalog!W280),"Missing Location Type; ","")&amp;IF(ISBLANK(Catalog!X280),"Missing Location Id; ","")&amp;IF(AND(Catalog!S280&lt;&gt;"",COUNTIF(Catalog!$S$2:$S$501,Catalog!S280)&gt;1),"Duplicate ISBN; ","")&amp;IF(AND(Catalog!B280&lt;&gt;"",COUNTIF(Catalog!$B$2:$B$501,Catalog!B280)&gt;1),"Duplicate Accession; ",""))</f>
        <v/>
      </c>
    </row>
    <row r="305">
      <c r="A305" s="23">
        <f>Catalog!A281</f>
        <v/>
      </c>
      <c r="B305" s="24">
        <f>Catalog!D281</f>
        <v/>
      </c>
      <c r="C305" s="25">
        <f>IF(Catalog!D281="","",IF(ISBLANK(Catalog!F281),"Missing Creator; ","")&amp;IF(ISBLANK(Catalog!K281),"Missing Type; ","")&amp;IF(ISBLANK(Catalog!L281),"Missing Genre; ","")&amp;IF(ISBLANK(Catalog!W281),"Missing Location Type; ","")&amp;IF(ISBLANK(Catalog!X281),"Missing Location Id; ","")&amp;IF(AND(Catalog!S281&lt;&gt;"",COUNTIF(Catalog!$S$2:$S$501,Catalog!S281)&gt;1),"Duplicate ISBN; ","")&amp;IF(AND(Catalog!B281&lt;&gt;"",COUNTIF(Catalog!$B$2:$B$501,Catalog!B281)&gt;1),"Duplicate Accession; ",""))</f>
        <v/>
      </c>
    </row>
    <row r="306">
      <c r="A306" s="23">
        <f>Catalog!A282</f>
        <v/>
      </c>
      <c r="B306" s="24">
        <f>Catalog!D282</f>
        <v/>
      </c>
      <c r="C306" s="25">
        <f>IF(Catalog!D282="","",IF(ISBLANK(Catalog!F282),"Missing Creator; ","")&amp;IF(ISBLANK(Catalog!K282),"Missing Type; ","")&amp;IF(ISBLANK(Catalog!L282),"Missing Genre; ","")&amp;IF(ISBLANK(Catalog!W282),"Missing Location Type; ","")&amp;IF(ISBLANK(Catalog!X282),"Missing Location Id; ","")&amp;IF(AND(Catalog!S282&lt;&gt;"",COUNTIF(Catalog!$S$2:$S$501,Catalog!S282)&gt;1),"Duplicate ISBN; ","")&amp;IF(AND(Catalog!B282&lt;&gt;"",COUNTIF(Catalog!$B$2:$B$501,Catalog!B282)&gt;1),"Duplicate Accession; ",""))</f>
        <v/>
      </c>
    </row>
    <row r="307">
      <c r="A307" s="23">
        <f>Catalog!A283</f>
        <v/>
      </c>
      <c r="B307" s="24">
        <f>Catalog!D283</f>
        <v/>
      </c>
      <c r="C307" s="25">
        <f>IF(Catalog!D283="","",IF(ISBLANK(Catalog!F283),"Missing Creator; ","")&amp;IF(ISBLANK(Catalog!K283),"Missing Type; ","")&amp;IF(ISBLANK(Catalog!L283),"Missing Genre; ","")&amp;IF(ISBLANK(Catalog!W283),"Missing Location Type; ","")&amp;IF(ISBLANK(Catalog!X283),"Missing Location Id; ","")&amp;IF(AND(Catalog!S283&lt;&gt;"",COUNTIF(Catalog!$S$2:$S$501,Catalog!S283)&gt;1),"Duplicate ISBN; ","")&amp;IF(AND(Catalog!B283&lt;&gt;"",COUNTIF(Catalog!$B$2:$B$501,Catalog!B283)&gt;1),"Duplicate Accession; ",""))</f>
        <v/>
      </c>
    </row>
    <row r="308">
      <c r="A308" s="23">
        <f>Catalog!A284</f>
        <v/>
      </c>
      <c r="B308" s="24">
        <f>Catalog!D284</f>
        <v/>
      </c>
      <c r="C308" s="25">
        <f>IF(Catalog!D284="","",IF(ISBLANK(Catalog!F284),"Missing Creator; ","")&amp;IF(ISBLANK(Catalog!K284),"Missing Type; ","")&amp;IF(ISBLANK(Catalog!L284),"Missing Genre; ","")&amp;IF(ISBLANK(Catalog!W284),"Missing Location Type; ","")&amp;IF(ISBLANK(Catalog!X284),"Missing Location Id; ","")&amp;IF(AND(Catalog!S284&lt;&gt;"",COUNTIF(Catalog!$S$2:$S$501,Catalog!S284)&gt;1),"Duplicate ISBN; ","")&amp;IF(AND(Catalog!B284&lt;&gt;"",COUNTIF(Catalog!$B$2:$B$501,Catalog!B284)&gt;1),"Duplicate Accession; ",""))</f>
        <v/>
      </c>
    </row>
    <row r="309">
      <c r="A309" s="23">
        <f>Catalog!A285</f>
        <v/>
      </c>
      <c r="B309" s="24">
        <f>Catalog!D285</f>
        <v/>
      </c>
      <c r="C309" s="25">
        <f>IF(Catalog!D285="","",IF(ISBLANK(Catalog!F285),"Missing Creator; ","")&amp;IF(ISBLANK(Catalog!K285),"Missing Type; ","")&amp;IF(ISBLANK(Catalog!L285),"Missing Genre; ","")&amp;IF(ISBLANK(Catalog!W285),"Missing Location Type; ","")&amp;IF(ISBLANK(Catalog!X285),"Missing Location Id; ","")&amp;IF(AND(Catalog!S285&lt;&gt;"",COUNTIF(Catalog!$S$2:$S$501,Catalog!S285)&gt;1),"Duplicate ISBN; ","")&amp;IF(AND(Catalog!B285&lt;&gt;"",COUNTIF(Catalog!$B$2:$B$501,Catalog!B285)&gt;1),"Duplicate Accession; ",""))</f>
        <v/>
      </c>
    </row>
    <row r="310">
      <c r="A310" s="23">
        <f>Catalog!A286</f>
        <v/>
      </c>
      <c r="B310" s="24">
        <f>Catalog!D286</f>
        <v/>
      </c>
      <c r="C310" s="25">
        <f>IF(Catalog!D286="","",IF(ISBLANK(Catalog!F286),"Missing Creator; ","")&amp;IF(ISBLANK(Catalog!K286),"Missing Type; ","")&amp;IF(ISBLANK(Catalog!L286),"Missing Genre; ","")&amp;IF(ISBLANK(Catalog!W286),"Missing Location Type; ","")&amp;IF(ISBLANK(Catalog!X286),"Missing Location Id; ","")&amp;IF(AND(Catalog!S286&lt;&gt;"",COUNTIF(Catalog!$S$2:$S$501,Catalog!S286)&gt;1),"Duplicate ISBN; ","")&amp;IF(AND(Catalog!B286&lt;&gt;"",COUNTIF(Catalog!$B$2:$B$501,Catalog!B286)&gt;1),"Duplicate Accession; ",""))</f>
        <v/>
      </c>
    </row>
    <row r="311">
      <c r="A311" s="23">
        <f>Catalog!A287</f>
        <v/>
      </c>
      <c r="B311" s="24">
        <f>Catalog!D287</f>
        <v/>
      </c>
      <c r="C311" s="25">
        <f>IF(Catalog!D287="","",IF(ISBLANK(Catalog!F287),"Missing Creator; ","")&amp;IF(ISBLANK(Catalog!K287),"Missing Type; ","")&amp;IF(ISBLANK(Catalog!L287),"Missing Genre; ","")&amp;IF(ISBLANK(Catalog!W287),"Missing Location Type; ","")&amp;IF(ISBLANK(Catalog!X287),"Missing Location Id; ","")&amp;IF(AND(Catalog!S287&lt;&gt;"",COUNTIF(Catalog!$S$2:$S$501,Catalog!S287)&gt;1),"Duplicate ISBN; ","")&amp;IF(AND(Catalog!B287&lt;&gt;"",COUNTIF(Catalog!$B$2:$B$501,Catalog!B287)&gt;1),"Duplicate Accession; ",""))</f>
        <v/>
      </c>
    </row>
    <row r="312">
      <c r="A312" s="23">
        <f>Catalog!A288</f>
        <v/>
      </c>
      <c r="B312" s="24">
        <f>Catalog!D288</f>
        <v/>
      </c>
      <c r="C312" s="25">
        <f>IF(Catalog!D288="","",IF(ISBLANK(Catalog!F288),"Missing Creator; ","")&amp;IF(ISBLANK(Catalog!K288),"Missing Type; ","")&amp;IF(ISBLANK(Catalog!L288),"Missing Genre; ","")&amp;IF(ISBLANK(Catalog!W288),"Missing Location Type; ","")&amp;IF(ISBLANK(Catalog!X288),"Missing Location Id; ","")&amp;IF(AND(Catalog!S288&lt;&gt;"",COUNTIF(Catalog!$S$2:$S$501,Catalog!S288)&gt;1),"Duplicate ISBN; ","")&amp;IF(AND(Catalog!B288&lt;&gt;"",COUNTIF(Catalog!$B$2:$B$501,Catalog!B288)&gt;1),"Duplicate Accession; ",""))</f>
        <v/>
      </c>
    </row>
    <row r="313">
      <c r="A313" s="23">
        <f>Catalog!A289</f>
        <v/>
      </c>
      <c r="B313" s="24">
        <f>Catalog!D289</f>
        <v/>
      </c>
      <c r="C313" s="25">
        <f>IF(Catalog!D289="","",IF(ISBLANK(Catalog!F289),"Missing Creator; ","")&amp;IF(ISBLANK(Catalog!K289),"Missing Type; ","")&amp;IF(ISBLANK(Catalog!L289),"Missing Genre; ","")&amp;IF(ISBLANK(Catalog!W289),"Missing Location Type; ","")&amp;IF(ISBLANK(Catalog!X289),"Missing Location Id; ","")&amp;IF(AND(Catalog!S289&lt;&gt;"",COUNTIF(Catalog!$S$2:$S$501,Catalog!S289)&gt;1),"Duplicate ISBN; ","")&amp;IF(AND(Catalog!B289&lt;&gt;"",COUNTIF(Catalog!$B$2:$B$501,Catalog!B289)&gt;1),"Duplicate Accession; ",""))</f>
        <v/>
      </c>
    </row>
    <row r="314">
      <c r="A314" s="23">
        <f>Catalog!A290</f>
        <v/>
      </c>
      <c r="B314" s="24">
        <f>Catalog!D290</f>
        <v/>
      </c>
      <c r="C314" s="25">
        <f>IF(Catalog!D290="","",IF(ISBLANK(Catalog!F290),"Missing Creator; ","")&amp;IF(ISBLANK(Catalog!K290),"Missing Type; ","")&amp;IF(ISBLANK(Catalog!L290),"Missing Genre; ","")&amp;IF(ISBLANK(Catalog!W290),"Missing Location Type; ","")&amp;IF(ISBLANK(Catalog!X290),"Missing Location Id; ","")&amp;IF(AND(Catalog!S290&lt;&gt;"",COUNTIF(Catalog!$S$2:$S$501,Catalog!S290)&gt;1),"Duplicate ISBN; ","")&amp;IF(AND(Catalog!B290&lt;&gt;"",COUNTIF(Catalog!$B$2:$B$501,Catalog!B290)&gt;1),"Duplicate Accession; ",""))</f>
        <v/>
      </c>
    </row>
    <row r="315">
      <c r="A315" s="23">
        <f>Catalog!A291</f>
        <v/>
      </c>
      <c r="B315" s="24">
        <f>Catalog!D291</f>
        <v/>
      </c>
      <c r="C315" s="25">
        <f>IF(Catalog!D291="","",IF(ISBLANK(Catalog!F291),"Missing Creator; ","")&amp;IF(ISBLANK(Catalog!K291),"Missing Type; ","")&amp;IF(ISBLANK(Catalog!L291),"Missing Genre; ","")&amp;IF(ISBLANK(Catalog!W291),"Missing Location Type; ","")&amp;IF(ISBLANK(Catalog!X291),"Missing Location Id; ","")&amp;IF(AND(Catalog!S291&lt;&gt;"",COUNTIF(Catalog!$S$2:$S$501,Catalog!S291)&gt;1),"Duplicate ISBN; ","")&amp;IF(AND(Catalog!B291&lt;&gt;"",COUNTIF(Catalog!$B$2:$B$501,Catalog!B291)&gt;1),"Duplicate Accession; ",""))</f>
        <v/>
      </c>
    </row>
    <row r="316">
      <c r="A316" s="23">
        <f>Catalog!A292</f>
        <v/>
      </c>
      <c r="B316" s="24">
        <f>Catalog!D292</f>
        <v/>
      </c>
      <c r="C316" s="25">
        <f>IF(Catalog!D292="","",IF(ISBLANK(Catalog!F292),"Missing Creator; ","")&amp;IF(ISBLANK(Catalog!K292),"Missing Type; ","")&amp;IF(ISBLANK(Catalog!L292),"Missing Genre; ","")&amp;IF(ISBLANK(Catalog!W292),"Missing Location Type; ","")&amp;IF(ISBLANK(Catalog!X292),"Missing Location Id; ","")&amp;IF(AND(Catalog!S292&lt;&gt;"",COUNTIF(Catalog!$S$2:$S$501,Catalog!S292)&gt;1),"Duplicate ISBN; ","")&amp;IF(AND(Catalog!B292&lt;&gt;"",COUNTIF(Catalog!$B$2:$B$501,Catalog!B292)&gt;1),"Duplicate Accession; ",""))</f>
        <v/>
      </c>
    </row>
    <row r="317">
      <c r="A317" s="23">
        <f>Catalog!A293</f>
        <v/>
      </c>
      <c r="B317" s="24">
        <f>Catalog!D293</f>
        <v/>
      </c>
      <c r="C317" s="25">
        <f>IF(Catalog!D293="","",IF(ISBLANK(Catalog!F293),"Missing Creator; ","")&amp;IF(ISBLANK(Catalog!K293),"Missing Type; ","")&amp;IF(ISBLANK(Catalog!L293),"Missing Genre; ","")&amp;IF(ISBLANK(Catalog!W293),"Missing Location Type; ","")&amp;IF(ISBLANK(Catalog!X293),"Missing Location Id; ","")&amp;IF(AND(Catalog!S293&lt;&gt;"",COUNTIF(Catalog!$S$2:$S$501,Catalog!S293)&gt;1),"Duplicate ISBN; ","")&amp;IF(AND(Catalog!B293&lt;&gt;"",COUNTIF(Catalog!$B$2:$B$501,Catalog!B293)&gt;1),"Duplicate Accession; ",""))</f>
        <v/>
      </c>
    </row>
    <row r="318">
      <c r="A318" s="23">
        <f>Catalog!A294</f>
        <v/>
      </c>
      <c r="B318" s="24">
        <f>Catalog!D294</f>
        <v/>
      </c>
      <c r="C318" s="25">
        <f>IF(Catalog!D294="","",IF(ISBLANK(Catalog!F294),"Missing Creator; ","")&amp;IF(ISBLANK(Catalog!K294),"Missing Type; ","")&amp;IF(ISBLANK(Catalog!L294),"Missing Genre; ","")&amp;IF(ISBLANK(Catalog!W294),"Missing Location Type; ","")&amp;IF(ISBLANK(Catalog!X294),"Missing Location Id; ","")&amp;IF(AND(Catalog!S294&lt;&gt;"",COUNTIF(Catalog!$S$2:$S$501,Catalog!S294)&gt;1),"Duplicate ISBN; ","")&amp;IF(AND(Catalog!B294&lt;&gt;"",COUNTIF(Catalog!$B$2:$B$501,Catalog!B294)&gt;1),"Duplicate Accession; ",""))</f>
        <v/>
      </c>
    </row>
    <row r="319">
      <c r="A319" s="23">
        <f>Catalog!A295</f>
        <v/>
      </c>
      <c r="B319" s="24">
        <f>Catalog!D295</f>
        <v/>
      </c>
      <c r="C319" s="25">
        <f>IF(Catalog!D295="","",IF(ISBLANK(Catalog!F295),"Missing Creator; ","")&amp;IF(ISBLANK(Catalog!K295),"Missing Type; ","")&amp;IF(ISBLANK(Catalog!L295),"Missing Genre; ","")&amp;IF(ISBLANK(Catalog!W295),"Missing Location Type; ","")&amp;IF(ISBLANK(Catalog!X295),"Missing Location Id; ","")&amp;IF(AND(Catalog!S295&lt;&gt;"",COUNTIF(Catalog!$S$2:$S$501,Catalog!S295)&gt;1),"Duplicate ISBN; ","")&amp;IF(AND(Catalog!B295&lt;&gt;"",COUNTIF(Catalog!$B$2:$B$501,Catalog!B295)&gt;1),"Duplicate Accession; ",""))</f>
        <v/>
      </c>
    </row>
    <row r="320">
      <c r="A320" s="23">
        <f>Catalog!A296</f>
        <v/>
      </c>
      <c r="B320" s="24">
        <f>Catalog!D296</f>
        <v/>
      </c>
      <c r="C320" s="25">
        <f>IF(Catalog!D296="","",IF(ISBLANK(Catalog!F296),"Missing Creator; ","")&amp;IF(ISBLANK(Catalog!K296),"Missing Type; ","")&amp;IF(ISBLANK(Catalog!L296),"Missing Genre; ","")&amp;IF(ISBLANK(Catalog!W296),"Missing Location Type; ","")&amp;IF(ISBLANK(Catalog!X296),"Missing Location Id; ","")&amp;IF(AND(Catalog!S296&lt;&gt;"",COUNTIF(Catalog!$S$2:$S$501,Catalog!S296)&gt;1),"Duplicate ISBN; ","")&amp;IF(AND(Catalog!B296&lt;&gt;"",COUNTIF(Catalog!$B$2:$B$501,Catalog!B296)&gt;1),"Duplicate Accession; ",""))</f>
        <v/>
      </c>
    </row>
    <row r="321">
      <c r="A321" s="23">
        <f>Catalog!A297</f>
        <v/>
      </c>
      <c r="B321" s="24">
        <f>Catalog!D297</f>
        <v/>
      </c>
      <c r="C321" s="25">
        <f>IF(Catalog!D297="","",IF(ISBLANK(Catalog!F297),"Missing Creator; ","")&amp;IF(ISBLANK(Catalog!K297),"Missing Type; ","")&amp;IF(ISBLANK(Catalog!L297),"Missing Genre; ","")&amp;IF(ISBLANK(Catalog!W297),"Missing Location Type; ","")&amp;IF(ISBLANK(Catalog!X297),"Missing Location Id; ","")&amp;IF(AND(Catalog!S297&lt;&gt;"",COUNTIF(Catalog!$S$2:$S$501,Catalog!S297)&gt;1),"Duplicate ISBN; ","")&amp;IF(AND(Catalog!B297&lt;&gt;"",COUNTIF(Catalog!$B$2:$B$501,Catalog!B297)&gt;1),"Duplicate Accession; ",""))</f>
        <v/>
      </c>
    </row>
    <row r="322">
      <c r="A322" s="23">
        <f>Catalog!A298</f>
        <v/>
      </c>
      <c r="B322" s="24">
        <f>Catalog!D298</f>
        <v/>
      </c>
      <c r="C322" s="25">
        <f>IF(Catalog!D298="","",IF(ISBLANK(Catalog!F298),"Missing Creator; ","")&amp;IF(ISBLANK(Catalog!K298),"Missing Type; ","")&amp;IF(ISBLANK(Catalog!L298),"Missing Genre; ","")&amp;IF(ISBLANK(Catalog!W298),"Missing Location Type; ","")&amp;IF(ISBLANK(Catalog!X298),"Missing Location Id; ","")&amp;IF(AND(Catalog!S298&lt;&gt;"",COUNTIF(Catalog!$S$2:$S$501,Catalog!S298)&gt;1),"Duplicate ISBN; ","")&amp;IF(AND(Catalog!B298&lt;&gt;"",COUNTIF(Catalog!$B$2:$B$501,Catalog!B298)&gt;1),"Duplicate Accession; ",""))</f>
        <v/>
      </c>
    </row>
    <row r="323">
      <c r="A323" s="23">
        <f>Catalog!A299</f>
        <v/>
      </c>
      <c r="B323" s="24">
        <f>Catalog!D299</f>
        <v/>
      </c>
      <c r="C323" s="25">
        <f>IF(Catalog!D299="","",IF(ISBLANK(Catalog!F299),"Missing Creator; ","")&amp;IF(ISBLANK(Catalog!K299),"Missing Type; ","")&amp;IF(ISBLANK(Catalog!L299),"Missing Genre; ","")&amp;IF(ISBLANK(Catalog!W299),"Missing Location Type; ","")&amp;IF(ISBLANK(Catalog!X299),"Missing Location Id; ","")&amp;IF(AND(Catalog!S299&lt;&gt;"",COUNTIF(Catalog!$S$2:$S$501,Catalog!S299)&gt;1),"Duplicate ISBN; ","")&amp;IF(AND(Catalog!B299&lt;&gt;"",COUNTIF(Catalog!$B$2:$B$501,Catalog!B299)&gt;1),"Duplicate Accession; ",""))</f>
        <v/>
      </c>
    </row>
    <row r="324">
      <c r="A324" s="23">
        <f>Catalog!A300</f>
        <v/>
      </c>
      <c r="B324" s="24">
        <f>Catalog!D300</f>
        <v/>
      </c>
      <c r="C324" s="25">
        <f>IF(Catalog!D300="","",IF(ISBLANK(Catalog!F300),"Missing Creator; ","")&amp;IF(ISBLANK(Catalog!K300),"Missing Type; ","")&amp;IF(ISBLANK(Catalog!L300),"Missing Genre; ","")&amp;IF(ISBLANK(Catalog!W300),"Missing Location Type; ","")&amp;IF(ISBLANK(Catalog!X300),"Missing Location Id; ","")&amp;IF(AND(Catalog!S300&lt;&gt;"",COUNTIF(Catalog!$S$2:$S$501,Catalog!S300)&gt;1),"Duplicate ISBN; ","")&amp;IF(AND(Catalog!B300&lt;&gt;"",COUNTIF(Catalog!$B$2:$B$501,Catalog!B300)&gt;1),"Duplicate Accession; ",""))</f>
        <v/>
      </c>
    </row>
    <row r="325">
      <c r="A325" s="23">
        <f>Catalog!A301</f>
        <v/>
      </c>
      <c r="B325" s="24">
        <f>Catalog!D301</f>
        <v/>
      </c>
      <c r="C325" s="25">
        <f>IF(Catalog!D301="","",IF(ISBLANK(Catalog!F301),"Missing Creator; ","")&amp;IF(ISBLANK(Catalog!K301),"Missing Type; ","")&amp;IF(ISBLANK(Catalog!L301),"Missing Genre; ","")&amp;IF(ISBLANK(Catalog!W301),"Missing Location Type; ","")&amp;IF(ISBLANK(Catalog!X301),"Missing Location Id; ","")&amp;IF(AND(Catalog!S301&lt;&gt;"",COUNTIF(Catalog!$S$2:$S$501,Catalog!S301)&gt;1),"Duplicate ISBN; ","")&amp;IF(AND(Catalog!B301&lt;&gt;"",COUNTIF(Catalog!$B$2:$B$501,Catalog!B301)&gt;1),"Duplicate Accession; ",""))</f>
        <v/>
      </c>
    </row>
    <row r="326">
      <c r="A326" s="23">
        <f>Catalog!A302</f>
        <v/>
      </c>
      <c r="B326" s="24">
        <f>Catalog!D302</f>
        <v/>
      </c>
      <c r="C326" s="25">
        <f>IF(Catalog!D302="","",IF(ISBLANK(Catalog!F302),"Missing Creator; ","")&amp;IF(ISBLANK(Catalog!K302),"Missing Type; ","")&amp;IF(ISBLANK(Catalog!L302),"Missing Genre; ","")&amp;IF(ISBLANK(Catalog!W302),"Missing Location Type; ","")&amp;IF(ISBLANK(Catalog!X302),"Missing Location Id; ","")&amp;IF(AND(Catalog!S302&lt;&gt;"",COUNTIF(Catalog!$S$2:$S$501,Catalog!S302)&gt;1),"Duplicate ISBN; ","")&amp;IF(AND(Catalog!B302&lt;&gt;"",COUNTIF(Catalog!$B$2:$B$501,Catalog!B302)&gt;1),"Duplicate Accession; ",""))</f>
        <v/>
      </c>
    </row>
    <row r="327">
      <c r="A327" s="23">
        <f>Catalog!A303</f>
        <v/>
      </c>
      <c r="B327" s="24">
        <f>Catalog!D303</f>
        <v/>
      </c>
      <c r="C327" s="25">
        <f>IF(Catalog!D303="","",IF(ISBLANK(Catalog!F303),"Missing Creator; ","")&amp;IF(ISBLANK(Catalog!K303),"Missing Type; ","")&amp;IF(ISBLANK(Catalog!L303),"Missing Genre; ","")&amp;IF(ISBLANK(Catalog!W303),"Missing Location Type; ","")&amp;IF(ISBLANK(Catalog!X303),"Missing Location Id; ","")&amp;IF(AND(Catalog!S303&lt;&gt;"",COUNTIF(Catalog!$S$2:$S$501,Catalog!S303)&gt;1),"Duplicate ISBN; ","")&amp;IF(AND(Catalog!B303&lt;&gt;"",COUNTIF(Catalog!$B$2:$B$501,Catalog!B303)&gt;1),"Duplicate Accession; ",""))</f>
        <v/>
      </c>
    </row>
    <row r="328">
      <c r="A328" s="23">
        <f>Catalog!A304</f>
        <v/>
      </c>
      <c r="B328" s="24">
        <f>Catalog!D304</f>
        <v/>
      </c>
      <c r="C328" s="25">
        <f>IF(Catalog!D304="","",IF(ISBLANK(Catalog!F304),"Missing Creator; ","")&amp;IF(ISBLANK(Catalog!K304),"Missing Type; ","")&amp;IF(ISBLANK(Catalog!L304),"Missing Genre; ","")&amp;IF(ISBLANK(Catalog!W304),"Missing Location Type; ","")&amp;IF(ISBLANK(Catalog!X304),"Missing Location Id; ","")&amp;IF(AND(Catalog!S304&lt;&gt;"",COUNTIF(Catalog!$S$2:$S$501,Catalog!S304)&gt;1),"Duplicate ISBN; ","")&amp;IF(AND(Catalog!B304&lt;&gt;"",COUNTIF(Catalog!$B$2:$B$501,Catalog!B304)&gt;1),"Duplicate Accession; ",""))</f>
        <v/>
      </c>
    </row>
    <row r="329">
      <c r="A329" s="23">
        <f>Catalog!A305</f>
        <v/>
      </c>
      <c r="B329" s="24">
        <f>Catalog!D305</f>
        <v/>
      </c>
      <c r="C329" s="25">
        <f>IF(Catalog!D305="","",IF(ISBLANK(Catalog!F305),"Missing Creator; ","")&amp;IF(ISBLANK(Catalog!K305),"Missing Type; ","")&amp;IF(ISBLANK(Catalog!L305),"Missing Genre; ","")&amp;IF(ISBLANK(Catalog!W305),"Missing Location Type; ","")&amp;IF(ISBLANK(Catalog!X305),"Missing Location Id; ","")&amp;IF(AND(Catalog!S305&lt;&gt;"",COUNTIF(Catalog!$S$2:$S$501,Catalog!S305)&gt;1),"Duplicate ISBN; ","")&amp;IF(AND(Catalog!B305&lt;&gt;"",COUNTIF(Catalog!$B$2:$B$501,Catalog!B305)&gt;1),"Duplicate Accession; ",""))</f>
        <v/>
      </c>
    </row>
    <row r="330">
      <c r="A330" s="23">
        <f>Catalog!A306</f>
        <v/>
      </c>
      <c r="B330" s="24">
        <f>Catalog!D306</f>
        <v/>
      </c>
      <c r="C330" s="25">
        <f>IF(Catalog!D306="","",IF(ISBLANK(Catalog!F306),"Missing Creator; ","")&amp;IF(ISBLANK(Catalog!K306),"Missing Type; ","")&amp;IF(ISBLANK(Catalog!L306),"Missing Genre; ","")&amp;IF(ISBLANK(Catalog!W306),"Missing Location Type; ","")&amp;IF(ISBLANK(Catalog!X306),"Missing Location Id; ","")&amp;IF(AND(Catalog!S306&lt;&gt;"",COUNTIF(Catalog!$S$2:$S$501,Catalog!S306)&gt;1),"Duplicate ISBN; ","")&amp;IF(AND(Catalog!B306&lt;&gt;"",COUNTIF(Catalog!$B$2:$B$501,Catalog!B306)&gt;1),"Duplicate Accession; ",""))</f>
        <v/>
      </c>
    </row>
    <row r="331">
      <c r="A331" s="23">
        <f>Catalog!A307</f>
        <v/>
      </c>
      <c r="B331" s="24">
        <f>Catalog!D307</f>
        <v/>
      </c>
      <c r="C331" s="25">
        <f>IF(Catalog!D307="","",IF(ISBLANK(Catalog!F307),"Missing Creator; ","")&amp;IF(ISBLANK(Catalog!K307),"Missing Type; ","")&amp;IF(ISBLANK(Catalog!L307),"Missing Genre; ","")&amp;IF(ISBLANK(Catalog!W307),"Missing Location Type; ","")&amp;IF(ISBLANK(Catalog!X307),"Missing Location Id; ","")&amp;IF(AND(Catalog!S307&lt;&gt;"",COUNTIF(Catalog!$S$2:$S$501,Catalog!S307)&gt;1),"Duplicate ISBN; ","")&amp;IF(AND(Catalog!B307&lt;&gt;"",COUNTIF(Catalog!$B$2:$B$501,Catalog!B307)&gt;1),"Duplicate Accession; ",""))</f>
        <v/>
      </c>
    </row>
    <row r="332">
      <c r="A332" s="23">
        <f>Catalog!A308</f>
        <v/>
      </c>
      <c r="B332" s="24">
        <f>Catalog!D308</f>
        <v/>
      </c>
      <c r="C332" s="25">
        <f>IF(Catalog!D308="","",IF(ISBLANK(Catalog!F308),"Missing Creator; ","")&amp;IF(ISBLANK(Catalog!K308),"Missing Type; ","")&amp;IF(ISBLANK(Catalog!L308),"Missing Genre; ","")&amp;IF(ISBLANK(Catalog!W308),"Missing Location Type; ","")&amp;IF(ISBLANK(Catalog!X308),"Missing Location Id; ","")&amp;IF(AND(Catalog!S308&lt;&gt;"",COUNTIF(Catalog!$S$2:$S$501,Catalog!S308)&gt;1),"Duplicate ISBN; ","")&amp;IF(AND(Catalog!B308&lt;&gt;"",COUNTIF(Catalog!$B$2:$B$501,Catalog!B308)&gt;1),"Duplicate Accession; ",""))</f>
        <v/>
      </c>
    </row>
    <row r="333">
      <c r="A333" s="23">
        <f>Catalog!A309</f>
        <v/>
      </c>
      <c r="B333" s="24">
        <f>Catalog!D309</f>
        <v/>
      </c>
      <c r="C333" s="25">
        <f>IF(Catalog!D309="","",IF(ISBLANK(Catalog!F309),"Missing Creator; ","")&amp;IF(ISBLANK(Catalog!K309),"Missing Type; ","")&amp;IF(ISBLANK(Catalog!L309),"Missing Genre; ","")&amp;IF(ISBLANK(Catalog!W309),"Missing Location Type; ","")&amp;IF(ISBLANK(Catalog!X309),"Missing Location Id; ","")&amp;IF(AND(Catalog!S309&lt;&gt;"",COUNTIF(Catalog!$S$2:$S$501,Catalog!S309)&gt;1),"Duplicate ISBN; ","")&amp;IF(AND(Catalog!B309&lt;&gt;"",COUNTIF(Catalog!$B$2:$B$501,Catalog!B309)&gt;1),"Duplicate Accession; ",""))</f>
        <v/>
      </c>
    </row>
    <row r="334">
      <c r="A334" s="23">
        <f>Catalog!A310</f>
        <v/>
      </c>
      <c r="B334" s="24">
        <f>Catalog!D310</f>
        <v/>
      </c>
      <c r="C334" s="25">
        <f>IF(Catalog!D310="","",IF(ISBLANK(Catalog!F310),"Missing Creator; ","")&amp;IF(ISBLANK(Catalog!K310),"Missing Type; ","")&amp;IF(ISBLANK(Catalog!L310),"Missing Genre; ","")&amp;IF(ISBLANK(Catalog!W310),"Missing Location Type; ","")&amp;IF(ISBLANK(Catalog!X310),"Missing Location Id; ","")&amp;IF(AND(Catalog!S310&lt;&gt;"",COUNTIF(Catalog!$S$2:$S$501,Catalog!S310)&gt;1),"Duplicate ISBN; ","")&amp;IF(AND(Catalog!B310&lt;&gt;"",COUNTIF(Catalog!$B$2:$B$501,Catalog!B310)&gt;1),"Duplicate Accession; ",""))</f>
        <v/>
      </c>
    </row>
    <row r="335">
      <c r="A335" s="23">
        <f>Catalog!A311</f>
        <v/>
      </c>
      <c r="B335" s="24">
        <f>Catalog!D311</f>
        <v/>
      </c>
      <c r="C335" s="25">
        <f>IF(Catalog!D311="","",IF(ISBLANK(Catalog!F311),"Missing Creator; ","")&amp;IF(ISBLANK(Catalog!K311),"Missing Type; ","")&amp;IF(ISBLANK(Catalog!L311),"Missing Genre; ","")&amp;IF(ISBLANK(Catalog!W311),"Missing Location Type; ","")&amp;IF(ISBLANK(Catalog!X311),"Missing Location Id; ","")&amp;IF(AND(Catalog!S311&lt;&gt;"",COUNTIF(Catalog!$S$2:$S$501,Catalog!S311)&gt;1),"Duplicate ISBN; ","")&amp;IF(AND(Catalog!B311&lt;&gt;"",COUNTIF(Catalog!$B$2:$B$501,Catalog!B311)&gt;1),"Duplicate Accession; ",""))</f>
        <v/>
      </c>
    </row>
    <row r="336">
      <c r="A336" s="23">
        <f>Catalog!A312</f>
        <v/>
      </c>
      <c r="B336" s="24">
        <f>Catalog!D312</f>
        <v/>
      </c>
      <c r="C336" s="25">
        <f>IF(Catalog!D312="","",IF(ISBLANK(Catalog!F312),"Missing Creator; ","")&amp;IF(ISBLANK(Catalog!K312),"Missing Type; ","")&amp;IF(ISBLANK(Catalog!L312),"Missing Genre; ","")&amp;IF(ISBLANK(Catalog!W312),"Missing Location Type; ","")&amp;IF(ISBLANK(Catalog!X312),"Missing Location Id; ","")&amp;IF(AND(Catalog!S312&lt;&gt;"",COUNTIF(Catalog!$S$2:$S$501,Catalog!S312)&gt;1),"Duplicate ISBN; ","")&amp;IF(AND(Catalog!B312&lt;&gt;"",COUNTIF(Catalog!$B$2:$B$501,Catalog!B312)&gt;1),"Duplicate Accession; ",""))</f>
        <v/>
      </c>
    </row>
    <row r="337">
      <c r="A337" s="23">
        <f>Catalog!A313</f>
        <v/>
      </c>
      <c r="B337" s="24">
        <f>Catalog!D313</f>
        <v/>
      </c>
      <c r="C337" s="25">
        <f>IF(Catalog!D313="","",IF(ISBLANK(Catalog!F313),"Missing Creator; ","")&amp;IF(ISBLANK(Catalog!K313),"Missing Type; ","")&amp;IF(ISBLANK(Catalog!L313),"Missing Genre; ","")&amp;IF(ISBLANK(Catalog!W313),"Missing Location Type; ","")&amp;IF(ISBLANK(Catalog!X313),"Missing Location Id; ","")&amp;IF(AND(Catalog!S313&lt;&gt;"",COUNTIF(Catalog!$S$2:$S$501,Catalog!S313)&gt;1),"Duplicate ISBN; ","")&amp;IF(AND(Catalog!B313&lt;&gt;"",COUNTIF(Catalog!$B$2:$B$501,Catalog!B313)&gt;1),"Duplicate Accession; ",""))</f>
        <v/>
      </c>
    </row>
    <row r="338">
      <c r="A338" s="23">
        <f>Catalog!A314</f>
        <v/>
      </c>
      <c r="B338" s="24">
        <f>Catalog!D314</f>
        <v/>
      </c>
      <c r="C338" s="25">
        <f>IF(Catalog!D314="","",IF(ISBLANK(Catalog!F314),"Missing Creator; ","")&amp;IF(ISBLANK(Catalog!K314),"Missing Type; ","")&amp;IF(ISBLANK(Catalog!L314),"Missing Genre; ","")&amp;IF(ISBLANK(Catalog!W314),"Missing Location Type; ","")&amp;IF(ISBLANK(Catalog!X314),"Missing Location Id; ","")&amp;IF(AND(Catalog!S314&lt;&gt;"",COUNTIF(Catalog!$S$2:$S$501,Catalog!S314)&gt;1),"Duplicate ISBN; ","")&amp;IF(AND(Catalog!B314&lt;&gt;"",COUNTIF(Catalog!$B$2:$B$501,Catalog!B314)&gt;1),"Duplicate Accession; ",""))</f>
        <v/>
      </c>
    </row>
    <row r="339">
      <c r="A339" s="23">
        <f>Catalog!A315</f>
        <v/>
      </c>
      <c r="B339" s="24">
        <f>Catalog!D315</f>
        <v/>
      </c>
      <c r="C339" s="25">
        <f>IF(Catalog!D315="","",IF(ISBLANK(Catalog!F315),"Missing Creator; ","")&amp;IF(ISBLANK(Catalog!K315),"Missing Type; ","")&amp;IF(ISBLANK(Catalog!L315),"Missing Genre; ","")&amp;IF(ISBLANK(Catalog!W315),"Missing Location Type; ","")&amp;IF(ISBLANK(Catalog!X315),"Missing Location Id; ","")&amp;IF(AND(Catalog!S315&lt;&gt;"",COUNTIF(Catalog!$S$2:$S$501,Catalog!S315)&gt;1),"Duplicate ISBN; ","")&amp;IF(AND(Catalog!B315&lt;&gt;"",COUNTIF(Catalog!$B$2:$B$501,Catalog!B315)&gt;1),"Duplicate Accession; ",""))</f>
        <v/>
      </c>
    </row>
    <row r="340">
      <c r="A340" s="23">
        <f>Catalog!A316</f>
        <v/>
      </c>
      <c r="B340" s="24">
        <f>Catalog!D316</f>
        <v/>
      </c>
      <c r="C340" s="25">
        <f>IF(Catalog!D316="","",IF(ISBLANK(Catalog!F316),"Missing Creator; ","")&amp;IF(ISBLANK(Catalog!K316),"Missing Type; ","")&amp;IF(ISBLANK(Catalog!L316),"Missing Genre; ","")&amp;IF(ISBLANK(Catalog!W316),"Missing Location Type; ","")&amp;IF(ISBLANK(Catalog!X316),"Missing Location Id; ","")&amp;IF(AND(Catalog!S316&lt;&gt;"",COUNTIF(Catalog!$S$2:$S$501,Catalog!S316)&gt;1),"Duplicate ISBN; ","")&amp;IF(AND(Catalog!B316&lt;&gt;"",COUNTIF(Catalog!$B$2:$B$501,Catalog!B316)&gt;1),"Duplicate Accession; ",""))</f>
        <v/>
      </c>
    </row>
    <row r="341">
      <c r="A341" s="23">
        <f>Catalog!A317</f>
        <v/>
      </c>
      <c r="B341" s="24">
        <f>Catalog!D317</f>
        <v/>
      </c>
      <c r="C341" s="25">
        <f>IF(Catalog!D317="","",IF(ISBLANK(Catalog!F317),"Missing Creator; ","")&amp;IF(ISBLANK(Catalog!K317),"Missing Type; ","")&amp;IF(ISBLANK(Catalog!L317),"Missing Genre; ","")&amp;IF(ISBLANK(Catalog!W317),"Missing Location Type; ","")&amp;IF(ISBLANK(Catalog!X317),"Missing Location Id; ","")&amp;IF(AND(Catalog!S317&lt;&gt;"",COUNTIF(Catalog!$S$2:$S$501,Catalog!S317)&gt;1),"Duplicate ISBN; ","")&amp;IF(AND(Catalog!B317&lt;&gt;"",COUNTIF(Catalog!$B$2:$B$501,Catalog!B317)&gt;1),"Duplicate Accession; ",""))</f>
        <v/>
      </c>
    </row>
    <row r="342">
      <c r="A342" s="23">
        <f>Catalog!A318</f>
        <v/>
      </c>
      <c r="B342" s="24">
        <f>Catalog!D318</f>
        <v/>
      </c>
      <c r="C342" s="25">
        <f>IF(Catalog!D318="","",IF(ISBLANK(Catalog!F318),"Missing Creator; ","")&amp;IF(ISBLANK(Catalog!K318),"Missing Type; ","")&amp;IF(ISBLANK(Catalog!L318),"Missing Genre; ","")&amp;IF(ISBLANK(Catalog!W318),"Missing Location Type; ","")&amp;IF(ISBLANK(Catalog!X318),"Missing Location Id; ","")&amp;IF(AND(Catalog!S318&lt;&gt;"",COUNTIF(Catalog!$S$2:$S$501,Catalog!S318)&gt;1),"Duplicate ISBN; ","")&amp;IF(AND(Catalog!B318&lt;&gt;"",COUNTIF(Catalog!$B$2:$B$501,Catalog!B318)&gt;1),"Duplicate Accession; ",""))</f>
        <v/>
      </c>
    </row>
    <row r="343">
      <c r="A343" s="23">
        <f>Catalog!A319</f>
        <v/>
      </c>
      <c r="B343" s="24">
        <f>Catalog!D319</f>
        <v/>
      </c>
      <c r="C343" s="25">
        <f>IF(Catalog!D319="","",IF(ISBLANK(Catalog!F319),"Missing Creator; ","")&amp;IF(ISBLANK(Catalog!K319),"Missing Type; ","")&amp;IF(ISBLANK(Catalog!L319),"Missing Genre; ","")&amp;IF(ISBLANK(Catalog!W319),"Missing Location Type; ","")&amp;IF(ISBLANK(Catalog!X319),"Missing Location Id; ","")&amp;IF(AND(Catalog!S319&lt;&gt;"",COUNTIF(Catalog!$S$2:$S$501,Catalog!S319)&gt;1),"Duplicate ISBN; ","")&amp;IF(AND(Catalog!B319&lt;&gt;"",COUNTIF(Catalog!$B$2:$B$501,Catalog!B319)&gt;1),"Duplicate Accession; ",""))</f>
        <v/>
      </c>
    </row>
    <row r="344">
      <c r="A344" s="23">
        <f>Catalog!A320</f>
        <v/>
      </c>
      <c r="B344" s="24">
        <f>Catalog!D320</f>
        <v/>
      </c>
      <c r="C344" s="25">
        <f>IF(Catalog!D320="","",IF(ISBLANK(Catalog!F320),"Missing Creator; ","")&amp;IF(ISBLANK(Catalog!K320),"Missing Type; ","")&amp;IF(ISBLANK(Catalog!L320),"Missing Genre; ","")&amp;IF(ISBLANK(Catalog!W320),"Missing Location Type; ","")&amp;IF(ISBLANK(Catalog!X320),"Missing Location Id; ","")&amp;IF(AND(Catalog!S320&lt;&gt;"",COUNTIF(Catalog!$S$2:$S$501,Catalog!S320)&gt;1),"Duplicate ISBN; ","")&amp;IF(AND(Catalog!B320&lt;&gt;"",COUNTIF(Catalog!$B$2:$B$501,Catalog!B320)&gt;1),"Duplicate Accession; ",""))</f>
        <v/>
      </c>
    </row>
    <row r="345">
      <c r="A345" s="23">
        <f>Catalog!A321</f>
        <v/>
      </c>
      <c r="B345" s="24">
        <f>Catalog!D321</f>
        <v/>
      </c>
      <c r="C345" s="25">
        <f>IF(Catalog!D321="","",IF(ISBLANK(Catalog!F321),"Missing Creator; ","")&amp;IF(ISBLANK(Catalog!K321),"Missing Type; ","")&amp;IF(ISBLANK(Catalog!L321),"Missing Genre; ","")&amp;IF(ISBLANK(Catalog!W321),"Missing Location Type; ","")&amp;IF(ISBLANK(Catalog!X321),"Missing Location Id; ","")&amp;IF(AND(Catalog!S321&lt;&gt;"",COUNTIF(Catalog!$S$2:$S$501,Catalog!S321)&gt;1),"Duplicate ISBN; ","")&amp;IF(AND(Catalog!B321&lt;&gt;"",COUNTIF(Catalog!$B$2:$B$501,Catalog!B321)&gt;1),"Duplicate Accession; ",""))</f>
        <v/>
      </c>
    </row>
    <row r="346">
      <c r="A346" s="23">
        <f>Catalog!A322</f>
        <v/>
      </c>
      <c r="B346" s="24">
        <f>Catalog!D322</f>
        <v/>
      </c>
      <c r="C346" s="25">
        <f>IF(Catalog!D322="","",IF(ISBLANK(Catalog!F322),"Missing Creator; ","")&amp;IF(ISBLANK(Catalog!K322),"Missing Type; ","")&amp;IF(ISBLANK(Catalog!L322),"Missing Genre; ","")&amp;IF(ISBLANK(Catalog!W322),"Missing Location Type; ","")&amp;IF(ISBLANK(Catalog!X322),"Missing Location Id; ","")&amp;IF(AND(Catalog!S322&lt;&gt;"",COUNTIF(Catalog!$S$2:$S$501,Catalog!S322)&gt;1),"Duplicate ISBN; ","")&amp;IF(AND(Catalog!B322&lt;&gt;"",COUNTIF(Catalog!$B$2:$B$501,Catalog!B322)&gt;1),"Duplicate Accession; ",""))</f>
        <v/>
      </c>
    </row>
    <row r="347">
      <c r="A347" s="23">
        <f>Catalog!A323</f>
        <v/>
      </c>
      <c r="B347" s="24">
        <f>Catalog!D323</f>
        <v/>
      </c>
      <c r="C347" s="25">
        <f>IF(Catalog!D323="","",IF(ISBLANK(Catalog!F323),"Missing Creator; ","")&amp;IF(ISBLANK(Catalog!K323),"Missing Type; ","")&amp;IF(ISBLANK(Catalog!L323),"Missing Genre; ","")&amp;IF(ISBLANK(Catalog!W323),"Missing Location Type; ","")&amp;IF(ISBLANK(Catalog!X323),"Missing Location Id; ","")&amp;IF(AND(Catalog!S323&lt;&gt;"",COUNTIF(Catalog!$S$2:$S$501,Catalog!S323)&gt;1),"Duplicate ISBN; ","")&amp;IF(AND(Catalog!B323&lt;&gt;"",COUNTIF(Catalog!$B$2:$B$501,Catalog!B323)&gt;1),"Duplicate Accession; ",""))</f>
        <v/>
      </c>
    </row>
    <row r="348">
      <c r="A348" s="23">
        <f>Catalog!A324</f>
        <v/>
      </c>
      <c r="B348" s="24">
        <f>Catalog!D324</f>
        <v/>
      </c>
      <c r="C348" s="25">
        <f>IF(Catalog!D324="","",IF(ISBLANK(Catalog!F324),"Missing Creator; ","")&amp;IF(ISBLANK(Catalog!K324),"Missing Type; ","")&amp;IF(ISBLANK(Catalog!L324),"Missing Genre; ","")&amp;IF(ISBLANK(Catalog!W324),"Missing Location Type; ","")&amp;IF(ISBLANK(Catalog!X324),"Missing Location Id; ","")&amp;IF(AND(Catalog!S324&lt;&gt;"",COUNTIF(Catalog!$S$2:$S$501,Catalog!S324)&gt;1),"Duplicate ISBN; ","")&amp;IF(AND(Catalog!B324&lt;&gt;"",COUNTIF(Catalog!$B$2:$B$501,Catalog!B324)&gt;1),"Duplicate Accession; ",""))</f>
        <v/>
      </c>
    </row>
    <row r="349">
      <c r="A349" s="23">
        <f>Catalog!A325</f>
        <v/>
      </c>
      <c r="B349" s="24">
        <f>Catalog!D325</f>
        <v/>
      </c>
      <c r="C349" s="25">
        <f>IF(Catalog!D325="","",IF(ISBLANK(Catalog!F325),"Missing Creator; ","")&amp;IF(ISBLANK(Catalog!K325),"Missing Type; ","")&amp;IF(ISBLANK(Catalog!L325),"Missing Genre; ","")&amp;IF(ISBLANK(Catalog!W325),"Missing Location Type; ","")&amp;IF(ISBLANK(Catalog!X325),"Missing Location Id; ","")&amp;IF(AND(Catalog!S325&lt;&gt;"",COUNTIF(Catalog!$S$2:$S$501,Catalog!S325)&gt;1),"Duplicate ISBN; ","")&amp;IF(AND(Catalog!B325&lt;&gt;"",COUNTIF(Catalog!$B$2:$B$501,Catalog!B325)&gt;1),"Duplicate Accession; ",""))</f>
        <v/>
      </c>
    </row>
    <row r="350">
      <c r="A350" s="23">
        <f>Catalog!A326</f>
        <v/>
      </c>
      <c r="B350" s="24">
        <f>Catalog!D326</f>
        <v/>
      </c>
      <c r="C350" s="25">
        <f>IF(Catalog!D326="","",IF(ISBLANK(Catalog!F326),"Missing Creator; ","")&amp;IF(ISBLANK(Catalog!K326),"Missing Type; ","")&amp;IF(ISBLANK(Catalog!L326),"Missing Genre; ","")&amp;IF(ISBLANK(Catalog!W326),"Missing Location Type; ","")&amp;IF(ISBLANK(Catalog!X326),"Missing Location Id; ","")&amp;IF(AND(Catalog!S326&lt;&gt;"",COUNTIF(Catalog!$S$2:$S$501,Catalog!S326)&gt;1),"Duplicate ISBN; ","")&amp;IF(AND(Catalog!B326&lt;&gt;"",COUNTIF(Catalog!$B$2:$B$501,Catalog!B326)&gt;1),"Duplicate Accession; ",""))</f>
        <v/>
      </c>
    </row>
    <row r="351">
      <c r="A351" s="23">
        <f>Catalog!A327</f>
        <v/>
      </c>
      <c r="B351" s="24">
        <f>Catalog!D327</f>
        <v/>
      </c>
      <c r="C351" s="25">
        <f>IF(Catalog!D327="","",IF(ISBLANK(Catalog!F327),"Missing Creator; ","")&amp;IF(ISBLANK(Catalog!K327),"Missing Type; ","")&amp;IF(ISBLANK(Catalog!L327),"Missing Genre; ","")&amp;IF(ISBLANK(Catalog!W327),"Missing Location Type; ","")&amp;IF(ISBLANK(Catalog!X327),"Missing Location Id; ","")&amp;IF(AND(Catalog!S327&lt;&gt;"",COUNTIF(Catalog!$S$2:$S$501,Catalog!S327)&gt;1),"Duplicate ISBN; ","")&amp;IF(AND(Catalog!B327&lt;&gt;"",COUNTIF(Catalog!$B$2:$B$501,Catalog!B327)&gt;1),"Duplicate Accession; ",""))</f>
        <v/>
      </c>
    </row>
    <row r="352">
      <c r="A352" s="23">
        <f>Catalog!A328</f>
        <v/>
      </c>
      <c r="B352" s="24">
        <f>Catalog!D328</f>
        <v/>
      </c>
      <c r="C352" s="25">
        <f>IF(Catalog!D328="","",IF(ISBLANK(Catalog!F328),"Missing Creator; ","")&amp;IF(ISBLANK(Catalog!K328),"Missing Type; ","")&amp;IF(ISBLANK(Catalog!L328),"Missing Genre; ","")&amp;IF(ISBLANK(Catalog!W328),"Missing Location Type; ","")&amp;IF(ISBLANK(Catalog!X328),"Missing Location Id; ","")&amp;IF(AND(Catalog!S328&lt;&gt;"",COUNTIF(Catalog!$S$2:$S$501,Catalog!S328)&gt;1),"Duplicate ISBN; ","")&amp;IF(AND(Catalog!B328&lt;&gt;"",COUNTIF(Catalog!$B$2:$B$501,Catalog!B328)&gt;1),"Duplicate Accession; ",""))</f>
        <v/>
      </c>
    </row>
    <row r="353">
      <c r="A353" s="23">
        <f>Catalog!A329</f>
        <v/>
      </c>
      <c r="B353" s="24">
        <f>Catalog!D329</f>
        <v/>
      </c>
      <c r="C353" s="25">
        <f>IF(Catalog!D329="","",IF(ISBLANK(Catalog!F329),"Missing Creator; ","")&amp;IF(ISBLANK(Catalog!K329),"Missing Type; ","")&amp;IF(ISBLANK(Catalog!L329),"Missing Genre; ","")&amp;IF(ISBLANK(Catalog!W329),"Missing Location Type; ","")&amp;IF(ISBLANK(Catalog!X329),"Missing Location Id; ","")&amp;IF(AND(Catalog!S329&lt;&gt;"",COUNTIF(Catalog!$S$2:$S$501,Catalog!S329)&gt;1),"Duplicate ISBN; ","")&amp;IF(AND(Catalog!B329&lt;&gt;"",COUNTIF(Catalog!$B$2:$B$501,Catalog!B329)&gt;1),"Duplicate Accession; ",""))</f>
        <v/>
      </c>
    </row>
    <row r="354">
      <c r="A354" s="23">
        <f>Catalog!A330</f>
        <v/>
      </c>
      <c r="B354" s="24">
        <f>Catalog!D330</f>
        <v/>
      </c>
      <c r="C354" s="25">
        <f>IF(Catalog!D330="","",IF(ISBLANK(Catalog!F330),"Missing Creator; ","")&amp;IF(ISBLANK(Catalog!K330),"Missing Type; ","")&amp;IF(ISBLANK(Catalog!L330),"Missing Genre; ","")&amp;IF(ISBLANK(Catalog!W330),"Missing Location Type; ","")&amp;IF(ISBLANK(Catalog!X330),"Missing Location Id; ","")&amp;IF(AND(Catalog!S330&lt;&gt;"",COUNTIF(Catalog!$S$2:$S$501,Catalog!S330)&gt;1),"Duplicate ISBN; ","")&amp;IF(AND(Catalog!B330&lt;&gt;"",COUNTIF(Catalog!$B$2:$B$501,Catalog!B330)&gt;1),"Duplicate Accession; ",""))</f>
        <v/>
      </c>
    </row>
    <row r="355">
      <c r="A355" s="23">
        <f>Catalog!A331</f>
        <v/>
      </c>
      <c r="B355" s="24">
        <f>Catalog!D331</f>
        <v/>
      </c>
      <c r="C355" s="25">
        <f>IF(Catalog!D331="","",IF(ISBLANK(Catalog!F331),"Missing Creator; ","")&amp;IF(ISBLANK(Catalog!K331),"Missing Type; ","")&amp;IF(ISBLANK(Catalog!L331),"Missing Genre; ","")&amp;IF(ISBLANK(Catalog!W331),"Missing Location Type; ","")&amp;IF(ISBLANK(Catalog!X331),"Missing Location Id; ","")&amp;IF(AND(Catalog!S331&lt;&gt;"",COUNTIF(Catalog!$S$2:$S$501,Catalog!S331)&gt;1),"Duplicate ISBN; ","")&amp;IF(AND(Catalog!B331&lt;&gt;"",COUNTIF(Catalog!$B$2:$B$501,Catalog!B331)&gt;1),"Duplicate Accession; ",""))</f>
        <v/>
      </c>
    </row>
    <row r="356">
      <c r="A356" s="23">
        <f>Catalog!A332</f>
        <v/>
      </c>
      <c r="B356" s="24">
        <f>Catalog!D332</f>
        <v/>
      </c>
      <c r="C356" s="25">
        <f>IF(Catalog!D332="","",IF(ISBLANK(Catalog!F332),"Missing Creator; ","")&amp;IF(ISBLANK(Catalog!K332),"Missing Type; ","")&amp;IF(ISBLANK(Catalog!L332),"Missing Genre; ","")&amp;IF(ISBLANK(Catalog!W332),"Missing Location Type; ","")&amp;IF(ISBLANK(Catalog!X332),"Missing Location Id; ","")&amp;IF(AND(Catalog!S332&lt;&gt;"",COUNTIF(Catalog!$S$2:$S$501,Catalog!S332)&gt;1),"Duplicate ISBN; ","")&amp;IF(AND(Catalog!B332&lt;&gt;"",COUNTIF(Catalog!$B$2:$B$501,Catalog!B332)&gt;1),"Duplicate Accession; ",""))</f>
        <v/>
      </c>
    </row>
    <row r="357">
      <c r="A357" s="23">
        <f>Catalog!A333</f>
        <v/>
      </c>
      <c r="B357" s="24">
        <f>Catalog!D333</f>
        <v/>
      </c>
      <c r="C357" s="25">
        <f>IF(Catalog!D333="","",IF(ISBLANK(Catalog!F333),"Missing Creator; ","")&amp;IF(ISBLANK(Catalog!K333),"Missing Type; ","")&amp;IF(ISBLANK(Catalog!L333),"Missing Genre; ","")&amp;IF(ISBLANK(Catalog!W333),"Missing Location Type; ","")&amp;IF(ISBLANK(Catalog!X333),"Missing Location Id; ","")&amp;IF(AND(Catalog!S333&lt;&gt;"",COUNTIF(Catalog!$S$2:$S$501,Catalog!S333)&gt;1),"Duplicate ISBN; ","")&amp;IF(AND(Catalog!B333&lt;&gt;"",COUNTIF(Catalog!$B$2:$B$501,Catalog!B333)&gt;1),"Duplicate Accession; ",""))</f>
        <v/>
      </c>
    </row>
    <row r="358">
      <c r="A358" s="23">
        <f>Catalog!A334</f>
        <v/>
      </c>
      <c r="B358" s="24">
        <f>Catalog!D334</f>
        <v/>
      </c>
      <c r="C358" s="25">
        <f>IF(Catalog!D334="","",IF(ISBLANK(Catalog!F334),"Missing Creator; ","")&amp;IF(ISBLANK(Catalog!K334),"Missing Type; ","")&amp;IF(ISBLANK(Catalog!L334),"Missing Genre; ","")&amp;IF(ISBLANK(Catalog!W334),"Missing Location Type; ","")&amp;IF(ISBLANK(Catalog!X334),"Missing Location Id; ","")&amp;IF(AND(Catalog!S334&lt;&gt;"",COUNTIF(Catalog!$S$2:$S$501,Catalog!S334)&gt;1),"Duplicate ISBN; ","")&amp;IF(AND(Catalog!B334&lt;&gt;"",COUNTIF(Catalog!$B$2:$B$501,Catalog!B334)&gt;1),"Duplicate Accession; ",""))</f>
        <v/>
      </c>
    </row>
    <row r="359">
      <c r="A359" s="23">
        <f>Catalog!A335</f>
        <v/>
      </c>
      <c r="B359" s="24">
        <f>Catalog!D335</f>
        <v/>
      </c>
      <c r="C359" s="25">
        <f>IF(Catalog!D335="","",IF(ISBLANK(Catalog!F335),"Missing Creator; ","")&amp;IF(ISBLANK(Catalog!K335),"Missing Type; ","")&amp;IF(ISBLANK(Catalog!L335),"Missing Genre; ","")&amp;IF(ISBLANK(Catalog!W335),"Missing Location Type; ","")&amp;IF(ISBLANK(Catalog!X335),"Missing Location Id; ","")&amp;IF(AND(Catalog!S335&lt;&gt;"",COUNTIF(Catalog!$S$2:$S$501,Catalog!S335)&gt;1),"Duplicate ISBN; ","")&amp;IF(AND(Catalog!B335&lt;&gt;"",COUNTIF(Catalog!$B$2:$B$501,Catalog!B335)&gt;1),"Duplicate Accession; ",""))</f>
        <v/>
      </c>
    </row>
    <row r="360">
      <c r="A360" s="23">
        <f>Catalog!A336</f>
        <v/>
      </c>
      <c r="B360" s="24">
        <f>Catalog!D336</f>
        <v/>
      </c>
      <c r="C360" s="25">
        <f>IF(Catalog!D336="","",IF(ISBLANK(Catalog!F336),"Missing Creator; ","")&amp;IF(ISBLANK(Catalog!K336),"Missing Type; ","")&amp;IF(ISBLANK(Catalog!L336),"Missing Genre; ","")&amp;IF(ISBLANK(Catalog!W336),"Missing Location Type; ","")&amp;IF(ISBLANK(Catalog!X336),"Missing Location Id; ","")&amp;IF(AND(Catalog!S336&lt;&gt;"",COUNTIF(Catalog!$S$2:$S$501,Catalog!S336)&gt;1),"Duplicate ISBN; ","")&amp;IF(AND(Catalog!B336&lt;&gt;"",COUNTIF(Catalog!$B$2:$B$501,Catalog!B336)&gt;1),"Duplicate Accession; ",""))</f>
        <v/>
      </c>
    </row>
    <row r="361">
      <c r="A361" s="23">
        <f>Catalog!A337</f>
        <v/>
      </c>
      <c r="B361" s="24">
        <f>Catalog!D337</f>
        <v/>
      </c>
      <c r="C361" s="25">
        <f>IF(Catalog!D337="","",IF(ISBLANK(Catalog!F337),"Missing Creator; ","")&amp;IF(ISBLANK(Catalog!K337),"Missing Type; ","")&amp;IF(ISBLANK(Catalog!L337),"Missing Genre; ","")&amp;IF(ISBLANK(Catalog!W337),"Missing Location Type; ","")&amp;IF(ISBLANK(Catalog!X337),"Missing Location Id; ","")&amp;IF(AND(Catalog!S337&lt;&gt;"",COUNTIF(Catalog!$S$2:$S$501,Catalog!S337)&gt;1),"Duplicate ISBN; ","")&amp;IF(AND(Catalog!B337&lt;&gt;"",COUNTIF(Catalog!$B$2:$B$501,Catalog!B337)&gt;1),"Duplicate Accession; ",""))</f>
        <v/>
      </c>
    </row>
    <row r="362">
      <c r="A362" s="23">
        <f>Catalog!A338</f>
        <v/>
      </c>
      <c r="B362" s="24">
        <f>Catalog!D338</f>
        <v/>
      </c>
      <c r="C362" s="25">
        <f>IF(Catalog!D338="","",IF(ISBLANK(Catalog!F338),"Missing Creator; ","")&amp;IF(ISBLANK(Catalog!K338),"Missing Type; ","")&amp;IF(ISBLANK(Catalog!L338),"Missing Genre; ","")&amp;IF(ISBLANK(Catalog!W338),"Missing Location Type; ","")&amp;IF(ISBLANK(Catalog!X338),"Missing Location Id; ","")&amp;IF(AND(Catalog!S338&lt;&gt;"",COUNTIF(Catalog!$S$2:$S$501,Catalog!S338)&gt;1),"Duplicate ISBN; ","")&amp;IF(AND(Catalog!B338&lt;&gt;"",COUNTIF(Catalog!$B$2:$B$501,Catalog!B338)&gt;1),"Duplicate Accession; ",""))</f>
        <v/>
      </c>
    </row>
    <row r="363">
      <c r="A363" s="23">
        <f>Catalog!A339</f>
        <v/>
      </c>
      <c r="B363" s="24">
        <f>Catalog!D339</f>
        <v/>
      </c>
      <c r="C363" s="25">
        <f>IF(Catalog!D339="","",IF(ISBLANK(Catalog!F339),"Missing Creator; ","")&amp;IF(ISBLANK(Catalog!K339),"Missing Type; ","")&amp;IF(ISBLANK(Catalog!L339),"Missing Genre; ","")&amp;IF(ISBLANK(Catalog!W339),"Missing Location Type; ","")&amp;IF(ISBLANK(Catalog!X339),"Missing Location Id; ","")&amp;IF(AND(Catalog!S339&lt;&gt;"",COUNTIF(Catalog!$S$2:$S$501,Catalog!S339)&gt;1),"Duplicate ISBN; ","")&amp;IF(AND(Catalog!B339&lt;&gt;"",COUNTIF(Catalog!$B$2:$B$501,Catalog!B339)&gt;1),"Duplicate Accession; ",""))</f>
        <v/>
      </c>
    </row>
    <row r="364">
      <c r="A364" s="23">
        <f>Catalog!A340</f>
        <v/>
      </c>
      <c r="B364" s="24">
        <f>Catalog!D340</f>
        <v/>
      </c>
      <c r="C364" s="25">
        <f>IF(Catalog!D340="","",IF(ISBLANK(Catalog!F340),"Missing Creator; ","")&amp;IF(ISBLANK(Catalog!K340),"Missing Type; ","")&amp;IF(ISBLANK(Catalog!L340),"Missing Genre; ","")&amp;IF(ISBLANK(Catalog!W340),"Missing Location Type; ","")&amp;IF(ISBLANK(Catalog!X340),"Missing Location Id; ","")&amp;IF(AND(Catalog!S340&lt;&gt;"",COUNTIF(Catalog!$S$2:$S$501,Catalog!S340)&gt;1),"Duplicate ISBN; ","")&amp;IF(AND(Catalog!B340&lt;&gt;"",COUNTIF(Catalog!$B$2:$B$501,Catalog!B340)&gt;1),"Duplicate Accession; ",""))</f>
        <v/>
      </c>
    </row>
    <row r="365">
      <c r="A365" s="23">
        <f>Catalog!A341</f>
        <v/>
      </c>
      <c r="B365" s="24">
        <f>Catalog!D341</f>
        <v/>
      </c>
      <c r="C365" s="25">
        <f>IF(Catalog!D341="","",IF(ISBLANK(Catalog!F341),"Missing Creator; ","")&amp;IF(ISBLANK(Catalog!K341),"Missing Type; ","")&amp;IF(ISBLANK(Catalog!L341),"Missing Genre; ","")&amp;IF(ISBLANK(Catalog!W341),"Missing Location Type; ","")&amp;IF(ISBLANK(Catalog!X341),"Missing Location Id; ","")&amp;IF(AND(Catalog!S341&lt;&gt;"",COUNTIF(Catalog!$S$2:$S$501,Catalog!S341)&gt;1),"Duplicate ISBN; ","")&amp;IF(AND(Catalog!B341&lt;&gt;"",COUNTIF(Catalog!$B$2:$B$501,Catalog!B341)&gt;1),"Duplicate Accession; ",""))</f>
        <v/>
      </c>
    </row>
    <row r="366">
      <c r="A366" s="23">
        <f>Catalog!A342</f>
        <v/>
      </c>
      <c r="B366" s="24">
        <f>Catalog!D342</f>
        <v/>
      </c>
      <c r="C366" s="25">
        <f>IF(Catalog!D342="","",IF(ISBLANK(Catalog!F342),"Missing Creator; ","")&amp;IF(ISBLANK(Catalog!K342),"Missing Type; ","")&amp;IF(ISBLANK(Catalog!L342),"Missing Genre; ","")&amp;IF(ISBLANK(Catalog!W342),"Missing Location Type; ","")&amp;IF(ISBLANK(Catalog!X342),"Missing Location Id; ","")&amp;IF(AND(Catalog!S342&lt;&gt;"",COUNTIF(Catalog!$S$2:$S$501,Catalog!S342)&gt;1),"Duplicate ISBN; ","")&amp;IF(AND(Catalog!B342&lt;&gt;"",COUNTIF(Catalog!$B$2:$B$501,Catalog!B342)&gt;1),"Duplicate Accession; ",""))</f>
        <v/>
      </c>
    </row>
    <row r="367">
      <c r="A367" s="23">
        <f>Catalog!A343</f>
        <v/>
      </c>
      <c r="B367" s="24">
        <f>Catalog!D343</f>
        <v/>
      </c>
      <c r="C367" s="25">
        <f>IF(Catalog!D343="","",IF(ISBLANK(Catalog!F343),"Missing Creator; ","")&amp;IF(ISBLANK(Catalog!K343),"Missing Type; ","")&amp;IF(ISBLANK(Catalog!L343),"Missing Genre; ","")&amp;IF(ISBLANK(Catalog!W343),"Missing Location Type; ","")&amp;IF(ISBLANK(Catalog!X343),"Missing Location Id; ","")&amp;IF(AND(Catalog!S343&lt;&gt;"",COUNTIF(Catalog!$S$2:$S$501,Catalog!S343)&gt;1),"Duplicate ISBN; ","")&amp;IF(AND(Catalog!B343&lt;&gt;"",COUNTIF(Catalog!$B$2:$B$501,Catalog!B343)&gt;1),"Duplicate Accession; ",""))</f>
        <v/>
      </c>
    </row>
    <row r="368">
      <c r="A368" s="23">
        <f>Catalog!A344</f>
        <v/>
      </c>
      <c r="B368" s="24">
        <f>Catalog!D344</f>
        <v/>
      </c>
      <c r="C368" s="25">
        <f>IF(Catalog!D344="","",IF(ISBLANK(Catalog!F344),"Missing Creator; ","")&amp;IF(ISBLANK(Catalog!K344),"Missing Type; ","")&amp;IF(ISBLANK(Catalog!L344),"Missing Genre; ","")&amp;IF(ISBLANK(Catalog!W344),"Missing Location Type; ","")&amp;IF(ISBLANK(Catalog!X344),"Missing Location Id; ","")&amp;IF(AND(Catalog!S344&lt;&gt;"",COUNTIF(Catalog!$S$2:$S$501,Catalog!S344)&gt;1),"Duplicate ISBN; ","")&amp;IF(AND(Catalog!B344&lt;&gt;"",COUNTIF(Catalog!$B$2:$B$501,Catalog!B344)&gt;1),"Duplicate Accession; ",""))</f>
        <v/>
      </c>
    </row>
    <row r="369">
      <c r="A369" s="23">
        <f>Catalog!A345</f>
        <v/>
      </c>
      <c r="B369" s="24">
        <f>Catalog!D345</f>
        <v/>
      </c>
      <c r="C369" s="25">
        <f>IF(Catalog!D345="","",IF(ISBLANK(Catalog!F345),"Missing Creator; ","")&amp;IF(ISBLANK(Catalog!K345),"Missing Type; ","")&amp;IF(ISBLANK(Catalog!L345),"Missing Genre; ","")&amp;IF(ISBLANK(Catalog!W345),"Missing Location Type; ","")&amp;IF(ISBLANK(Catalog!X345),"Missing Location Id; ","")&amp;IF(AND(Catalog!S345&lt;&gt;"",COUNTIF(Catalog!$S$2:$S$501,Catalog!S345)&gt;1),"Duplicate ISBN; ","")&amp;IF(AND(Catalog!B345&lt;&gt;"",COUNTIF(Catalog!$B$2:$B$501,Catalog!B345)&gt;1),"Duplicate Accession; ",""))</f>
        <v/>
      </c>
    </row>
    <row r="370">
      <c r="A370" s="23">
        <f>Catalog!A346</f>
        <v/>
      </c>
      <c r="B370" s="24">
        <f>Catalog!D346</f>
        <v/>
      </c>
      <c r="C370" s="25">
        <f>IF(Catalog!D346="","",IF(ISBLANK(Catalog!F346),"Missing Creator; ","")&amp;IF(ISBLANK(Catalog!K346),"Missing Type; ","")&amp;IF(ISBLANK(Catalog!L346),"Missing Genre; ","")&amp;IF(ISBLANK(Catalog!W346),"Missing Location Type; ","")&amp;IF(ISBLANK(Catalog!X346),"Missing Location Id; ","")&amp;IF(AND(Catalog!S346&lt;&gt;"",COUNTIF(Catalog!$S$2:$S$501,Catalog!S346)&gt;1),"Duplicate ISBN; ","")&amp;IF(AND(Catalog!B346&lt;&gt;"",COUNTIF(Catalog!$B$2:$B$501,Catalog!B346)&gt;1),"Duplicate Accession; ",""))</f>
        <v/>
      </c>
    </row>
    <row r="371">
      <c r="A371" s="23">
        <f>Catalog!A347</f>
        <v/>
      </c>
      <c r="B371" s="24">
        <f>Catalog!D347</f>
        <v/>
      </c>
      <c r="C371" s="25">
        <f>IF(Catalog!D347="","",IF(ISBLANK(Catalog!F347),"Missing Creator; ","")&amp;IF(ISBLANK(Catalog!K347),"Missing Type; ","")&amp;IF(ISBLANK(Catalog!L347),"Missing Genre; ","")&amp;IF(ISBLANK(Catalog!W347),"Missing Location Type; ","")&amp;IF(ISBLANK(Catalog!X347),"Missing Location Id; ","")&amp;IF(AND(Catalog!S347&lt;&gt;"",COUNTIF(Catalog!$S$2:$S$501,Catalog!S347)&gt;1),"Duplicate ISBN; ","")&amp;IF(AND(Catalog!B347&lt;&gt;"",COUNTIF(Catalog!$B$2:$B$501,Catalog!B347)&gt;1),"Duplicate Accession; ",""))</f>
        <v/>
      </c>
    </row>
    <row r="372">
      <c r="A372" s="23">
        <f>Catalog!A348</f>
        <v/>
      </c>
      <c r="B372" s="24">
        <f>Catalog!D348</f>
        <v/>
      </c>
      <c r="C372" s="25">
        <f>IF(Catalog!D348="","",IF(ISBLANK(Catalog!F348),"Missing Creator; ","")&amp;IF(ISBLANK(Catalog!K348),"Missing Type; ","")&amp;IF(ISBLANK(Catalog!L348),"Missing Genre; ","")&amp;IF(ISBLANK(Catalog!W348),"Missing Location Type; ","")&amp;IF(ISBLANK(Catalog!X348),"Missing Location Id; ","")&amp;IF(AND(Catalog!S348&lt;&gt;"",COUNTIF(Catalog!$S$2:$S$501,Catalog!S348)&gt;1),"Duplicate ISBN; ","")&amp;IF(AND(Catalog!B348&lt;&gt;"",COUNTIF(Catalog!$B$2:$B$501,Catalog!B348)&gt;1),"Duplicate Accession; ",""))</f>
        <v/>
      </c>
    </row>
    <row r="373">
      <c r="A373" s="23">
        <f>Catalog!A349</f>
        <v/>
      </c>
      <c r="B373" s="24">
        <f>Catalog!D349</f>
        <v/>
      </c>
      <c r="C373" s="25">
        <f>IF(Catalog!D349="","",IF(ISBLANK(Catalog!F349),"Missing Creator; ","")&amp;IF(ISBLANK(Catalog!K349),"Missing Type; ","")&amp;IF(ISBLANK(Catalog!L349),"Missing Genre; ","")&amp;IF(ISBLANK(Catalog!W349),"Missing Location Type; ","")&amp;IF(ISBLANK(Catalog!X349),"Missing Location Id; ","")&amp;IF(AND(Catalog!S349&lt;&gt;"",COUNTIF(Catalog!$S$2:$S$501,Catalog!S349)&gt;1),"Duplicate ISBN; ","")&amp;IF(AND(Catalog!B349&lt;&gt;"",COUNTIF(Catalog!$B$2:$B$501,Catalog!B349)&gt;1),"Duplicate Accession; ",""))</f>
        <v/>
      </c>
    </row>
    <row r="374">
      <c r="A374" s="23">
        <f>Catalog!A350</f>
        <v/>
      </c>
      <c r="B374" s="24">
        <f>Catalog!D350</f>
        <v/>
      </c>
      <c r="C374" s="25">
        <f>IF(Catalog!D350="","",IF(ISBLANK(Catalog!F350),"Missing Creator; ","")&amp;IF(ISBLANK(Catalog!K350),"Missing Type; ","")&amp;IF(ISBLANK(Catalog!L350),"Missing Genre; ","")&amp;IF(ISBLANK(Catalog!W350),"Missing Location Type; ","")&amp;IF(ISBLANK(Catalog!X350),"Missing Location Id; ","")&amp;IF(AND(Catalog!S350&lt;&gt;"",COUNTIF(Catalog!$S$2:$S$501,Catalog!S350)&gt;1),"Duplicate ISBN; ","")&amp;IF(AND(Catalog!B350&lt;&gt;"",COUNTIF(Catalog!$B$2:$B$501,Catalog!B350)&gt;1),"Duplicate Accession; ",""))</f>
        <v/>
      </c>
    </row>
    <row r="375">
      <c r="A375" s="23">
        <f>Catalog!A351</f>
        <v/>
      </c>
      <c r="B375" s="24">
        <f>Catalog!D351</f>
        <v/>
      </c>
      <c r="C375" s="25">
        <f>IF(Catalog!D351="","",IF(ISBLANK(Catalog!F351),"Missing Creator; ","")&amp;IF(ISBLANK(Catalog!K351),"Missing Type; ","")&amp;IF(ISBLANK(Catalog!L351),"Missing Genre; ","")&amp;IF(ISBLANK(Catalog!W351),"Missing Location Type; ","")&amp;IF(ISBLANK(Catalog!X351),"Missing Location Id; ","")&amp;IF(AND(Catalog!S351&lt;&gt;"",COUNTIF(Catalog!$S$2:$S$501,Catalog!S351)&gt;1),"Duplicate ISBN; ","")&amp;IF(AND(Catalog!B351&lt;&gt;"",COUNTIF(Catalog!$B$2:$B$501,Catalog!B351)&gt;1),"Duplicate Accession; ",""))</f>
        <v/>
      </c>
    </row>
    <row r="376">
      <c r="A376" s="23">
        <f>Catalog!A352</f>
        <v/>
      </c>
      <c r="B376" s="24">
        <f>Catalog!D352</f>
        <v/>
      </c>
      <c r="C376" s="25">
        <f>IF(Catalog!D352="","",IF(ISBLANK(Catalog!F352),"Missing Creator; ","")&amp;IF(ISBLANK(Catalog!K352),"Missing Type; ","")&amp;IF(ISBLANK(Catalog!L352),"Missing Genre; ","")&amp;IF(ISBLANK(Catalog!W352),"Missing Location Type; ","")&amp;IF(ISBLANK(Catalog!X352),"Missing Location Id; ","")&amp;IF(AND(Catalog!S352&lt;&gt;"",COUNTIF(Catalog!$S$2:$S$501,Catalog!S352)&gt;1),"Duplicate ISBN; ","")&amp;IF(AND(Catalog!B352&lt;&gt;"",COUNTIF(Catalog!$B$2:$B$501,Catalog!B352)&gt;1),"Duplicate Accession; ",""))</f>
        <v/>
      </c>
    </row>
    <row r="377">
      <c r="A377" s="23">
        <f>Catalog!A353</f>
        <v/>
      </c>
      <c r="B377" s="24">
        <f>Catalog!D353</f>
        <v/>
      </c>
      <c r="C377" s="25">
        <f>IF(Catalog!D353="","",IF(ISBLANK(Catalog!F353),"Missing Creator; ","")&amp;IF(ISBLANK(Catalog!K353),"Missing Type; ","")&amp;IF(ISBLANK(Catalog!L353),"Missing Genre; ","")&amp;IF(ISBLANK(Catalog!W353),"Missing Location Type; ","")&amp;IF(ISBLANK(Catalog!X353),"Missing Location Id; ","")&amp;IF(AND(Catalog!S353&lt;&gt;"",COUNTIF(Catalog!$S$2:$S$501,Catalog!S353)&gt;1),"Duplicate ISBN; ","")&amp;IF(AND(Catalog!B353&lt;&gt;"",COUNTIF(Catalog!$B$2:$B$501,Catalog!B353)&gt;1),"Duplicate Accession; ",""))</f>
        <v/>
      </c>
    </row>
    <row r="378">
      <c r="A378" s="23">
        <f>Catalog!A354</f>
        <v/>
      </c>
      <c r="B378" s="24">
        <f>Catalog!D354</f>
        <v/>
      </c>
      <c r="C378" s="25">
        <f>IF(Catalog!D354="","",IF(ISBLANK(Catalog!F354),"Missing Creator; ","")&amp;IF(ISBLANK(Catalog!K354),"Missing Type; ","")&amp;IF(ISBLANK(Catalog!L354),"Missing Genre; ","")&amp;IF(ISBLANK(Catalog!W354),"Missing Location Type; ","")&amp;IF(ISBLANK(Catalog!X354),"Missing Location Id; ","")&amp;IF(AND(Catalog!S354&lt;&gt;"",COUNTIF(Catalog!$S$2:$S$501,Catalog!S354)&gt;1),"Duplicate ISBN; ","")&amp;IF(AND(Catalog!B354&lt;&gt;"",COUNTIF(Catalog!$B$2:$B$501,Catalog!B354)&gt;1),"Duplicate Accession; ",""))</f>
        <v/>
      </c>
    </row>
    <row r="379">
      <c r="A379" s="23">
        <f>Catalog!A355</f>
        <v/>
      </c>
      <c r="B379" s="24">
        <f>Catalog!D355</f>
        <v/>
      </c>
      <c r="C379" s="25">
        <f>IF(Catalog!D355="","",IF(ISBLANK(Catalog!F355),"Missing Creator; ","")&amp;IF(ISBLANK(Catalog!K355),"Missing Type; ","")&amp;IF(ISBLANK(Catalog!L355),"Missing Genre; ","")&amp;IF(ISBLANK(Catalog!W355),"Missing Location Type; ","")&amp;IF(ISBLANK(Catalog!X355),"Missing Location Id; ","")&amp;IF(AND(Catalog!S355&lt;&gt;"",COUNTIF(Catalog!$S$2:$S$501,Catalog!S355)&gt;1),"Duplicate ISBN; ","")&amp;IF(AND(Catalog!B355&lt;&gt;"",COUNTIF(Catalog!$B$2:$B$501,Catalog!B355)&gt;1),"Duplicate Accession; ",""))</f>
        <v/>
      </c>
    </row>
    <row r="380">
      <c r="A380" s="23">
        <f>Catalog!A356</f>
        <v/>
      </c>
      <c r="B380" s="24">
        <f>Catalog!D356</f>
        <v/>
      </c>
      <c r="C380" s="25">
        <f>IF(Catalog!D356="","",IF(ISBLANK(Catalog!F356),"Missing Creator; ","")&amp;IF(ISBLANK(Catalog!K356),"Missing Type; ","")&amp;IF(ISBLANK(Catalog!L356),"Missing Genre; ","")&amp;IF(ISBLANK(Catalog!W356),"Missing Location Type; ","")&amp;IF(ISBLANK(Catalog!X356),"Missing Location Id; ","")&amp;IF(AND(Catalog!S356&lt;&gt;"",COUNTIF(Catalog!$S$2:$S$501,Catalog!S356)&gt;1),"Duplicate ISBN; ","")&amp;IF(AND(Catalog!B356&lt;&gt;"",COUNTIF(Catalog!$B$2:$B$501,Catalog!B356)&gt;1),"Duplicate Accession; ",""))</f>
        <v/>
      </c>
    </row>
    <row r="381">
      <c r="A381" s="23">
        <f>Catalog!A357</f>
        <v/>
      </c>
      <c r="B381" s="24">
        <f>Catalog!D357</f>
        <v/>
      </c>
      <c r="C381" s="25">
        <f>IF(Catalog!D357="","",IF(ISBLANK(Catalog!F357),"Missing Creator; ","")&amp;IF(ISBLANK(Catalog!K357),"Missing Type; ","")&amp;IF(ISBLANK(Catalog!L357),"Missing Genre; ","")&amp;IF(ISBLANK(Catalog!W357),"Missing Location Type; ","")&amp;IF(ISBLANK(Catalog!X357),"Missing Location Id; ","")&amp;IF(AND(Catalog!S357&lt;&gt;"",COUNTIF(Catalog!$S$2:$S$501,Catalog!S357)&gt;1),"Duplicate ISBN; ","")&amp;IF(AND(Catalog!B357&lt;&gt;"",COUNTIF(Catalog!$B$2:$B$501,Catalog!B357)&gt;1),"Duplicate Accession; ",""))</f>
        <v/>
      </c>
    </row>
    <row r="382">
      <c r="A382" s="23">
        <f>Catalog!A358</f>
        <v/>
      </c>
      <c r="B382" s="24">
        <f>Catalog!D358</f>
        <v/>
      </c>
      <c r="C382" s="25">
        <f>IF(Catalog!D358="","",IF(ISBLANK(Catalog!F358),"Missing Creator; ","")&amp;IF(ISBLANK(Catalog!K358),"Missing Type; ","")&amp;IF(ISBLANK(Catalog!L358),"Missing Genre; ","")&amp;IF(ISBLANK(Catalog!W358),"Missing Location Type; ","")&amp;IF(ISBLANK(Catalog!X358),"Missing Location Id; ","")&amp;IF(AND(Catalog!S358&lt;&gt;"",COUNTIF(Catalog!$S$2:$S$501,Catalog!S358)&gt;1),"Duplicate ISBN; ","")&amp;IF(AND(Catalog!B358&lt;&gt;"",COUNTIF(Catalog!$B$2:$B$501,Catalog!B358)&gt;1),"Duplicate Accession; ",""))</f>
        <v/>
      </c>
    </row>
    <row r="383">
      <c r="A383" s="23">
        <f>Catalog!A359</f>
        <v/>
      </c>
      <c r="B383" s="24">
        <f>Catalog!D359</f>
        <v/>
      </c>
      <c r="C383" s="25">
        <f>IF(Catalog!D359="","",IF(ISBLANK(Catalog!F359),"Missing Creator; ","")&amp;IF(ISBLANK(Catalog!K359),"Missing Type; ","")&amp;IF(ISBLANK(Catalog!L359),"Missing Genre; ","")&amp;IF(ISBLANK(Catalog!W359),"Missing Location Type; ","")&amp;IF(ISBLANK(Catalog!X359),"Missing Location Id; ","")&amp;IF(AND(Catalog!S359&lt;&gt;"",COUNTIF(Catalog!$S$2:$S$501,Catalog!S359)&gt;1),"Duplicate ISBN; ","")&amp;IF(AND(Catalog!B359&lt;&gt;"",COUNTIF(Catalog!$B$2:$B$501,Catalog!B359)&gt;1),"Duplicate Accession; ",""))</f>
        <v/>
      </c>
    </row>
    <row r="384">
      <c r="A384" s="23">
        <f>Catalog!A360</f>
        <v/>
      </c>
      <c r="B384" s="24">
        <f>Catalog!D360</f>
        <v/>
      </c>
      <c r="C384" s="25">
        <f>IF(Catalog!D360="","",IF(ISBLANK(Catalog!F360),"Missing Creator; ","")&amp;IF(ISBLANK(Catalog!K360),"Missing Type; ","")&amp;IF(ISBLANK(Catalog!L360),"Missing Genre; ","")&amp;IF(ISBLANK(Catalog!W360),"Missing Location Type; ","")&amp;IF(ISBLANK(Catalog!X360),"Missing Location Id; ","")&amp;IF(AND(Catalog!S360&lt;&gt;"",COUNTIF(Catalog!$S$2:$S$501,Catalog!S360)&gt;1),"Duplicate ISBN; ","")&amp;IF(AND(Catalog!B360&lt;&gt;"",COUNTIF(Catalog!$B$2:$B$501,Catalog!B360)&gt;1),"Duplicate Accession; ",""))</f>
        <v/>
      </c>
    </row>
    <row r="385">
      <c r="A385" s="23">
        <f>Catalog!A361</f>
        <v/>
      </c>
      <c r="B385" s="24">
        <f>Catalog!D361</f>
        <v/>
      </c>
      <c r="C385" s="25">
        <f>IF(Catalog!D361="","",IF(ISBLANK(Catalog!F361),"Missing Creator; ","")&amp;IF(ISBLANK(Catalog!K361),"Missing Type; ","")&amp;IF(ISBLANK(Catalog!L361),"Missing Genre; ","")&amp;IF(ISBLANK(Catalog!W361),"Missing Location Type; ","")&amp;IF(ISBLANK(Catalog!X361),"Missing Location Id; ","")&amp;IF(AND(Catalog!S361&lt;&gt;"",COUNTIF(Catalog!$S$2:$S$501,Catalog!S361)&gt;1),"Duplicate ISBN; ","")&amp;IF(AND(Catalog!B361&lt;&gt;"",COUNTIF(Catalog!$B$2:$B$501,Catalog!B361)&gt;1),"Duplicate Accession; ",""))</f>
        <v/>
      </c>
    </row>
    <row r="386">
      <c r="A386" s="23">
        <f>Catalog!A362</f>
        <v/>
      </c>
      <c r="B386" s="24">
        <f>Catalog!D362</f>
        <v/>
      </c>
      <c r="C386" s="25">
        <f>IF(Catalog!D362="","",IF(ISBLANK(Catalog!F362),"Missing Creator; ","")&amp;IF(ISBLANK(Catalog!K362),"Missing Type; ","")&amp;IF(ISBLANK(Catalog!L362),"Missing Genre; ","")&amp;IF(ISBLANK(Catalog!W362),"Missing Location Type; ","")&amp;IF(ISBLANK(Catalog!X362),"Missing Location Id; ","")&amp;IF(AND(Catalog!S362&lt;&gt;"",COUNTIF(Catalog!$S$2:$S$501,Catalog!S362)&gt;1),"Duplicate ISBN; ","")&amp;IF(AND(Catalog!B362&lt;&gt;"",COUNTIF(Catalog!$B$2:$B$501,Catalog!B362)&gt;1),"Duplicate Accession; ",""))</f>
        <v/>
      </c>
    </row>
    <row r="387">
      <c r="A387" s="23">
        <f>Catalog!A363</f>
        <v/>
      </c>
      <c r="B387" s="24">
        <f>Catalog!D363</f>
        <v/>
      </c>
      <c r="C387" s="25">
        <f>IF(Catalog!D363="","",IF(ISBLANK(Catalog!F363),"Missing Creator; ","")&amp;IF(ISBLANK(Catalog!K363),"Missing Type; ","")&amp;IF(ISBLANK(Catalog!L363),"Missing Genre; ","")&amp;IF(ISBLANK(Catalog!W363),"Missing Location Type; ","")&amp;IF(ISBLANK(Catalog!X363),"Missing Location Id; ","")&amp;IF(AND(Catalog!S363&lt;&gt;"",COUNTIF(Catalog!$S$2:$S$501,Catalog!S363)&gt;1),"Duplicate ISBN; ","")&amp;IF(AND(Catalog!B363&lt;&gt;"",COUNTIF(Catalog!$B$2:$B$501,Catalog!B363)&gt;1),"Duplicate Accession; ",""))</f>
        <v/>
      </c>
    </row>
    <row r="388">
      <c r="A388" s="23">
        <f>Catalog!A364</f>
        <v/>
      </c>
      <c r="B388" s="24">
        <f>Catalog!D364</f>
        <v/>
      </c>
      <c r="C388" s="25">
        <f>IF(Catalog!D364="","",IF(ISBLANK(Catalog!F364),"Missing Creator; ","")&amp;IF(ISBLANK(Catalog!K364),"Missing Type; ","")&amp;IF(ISBLANK(Catalog!L364),"Missing Genre; ","")&amp;IF(ISBLANK(Catalog!W364),"Missing Location Type; ","")&amp;IF(ISBLANK(Catalog!X364),"Missing Location Id; ","")&amp;IF(AND(Catalog!S364&lt;&gt;"",COUNTIF(Catalog!$S$2:$S$501,Catalog!S364)&gt;1),"Duplicate ISBN; ","")&amp;IF(AND(Catalog!B364&lt;&gt;"",COUNTIF(Catalog!$B$2:$B$501,Catalog!B364)&gt;1),"Duplicate Accession; ",""))</f>
        <v/>
      </c>
    </row>
    <row r="389">
      <c r="A389" s="23">
        <f>Catalog!A365</f>
        <v/>
      </c>
      <c r="B389" s="24">
        <f>Catalog!D365</f>
        <v/>
      </c>
      <c r="C389" s="25">
        <f>IF(Catalog!D365="","",IF(ISBLANK(Catalog!F365),"Missing Creator; ","")&amp;IF(ISBLANK(Catalog!K365),"Missing Type; ","")&amp;IF(ISBLANK(Catalog!L365),"Missing Genre; ","")&amp;IF(ISBLANK(Catalog!W365),"Missing Location Type; ","")&amp;IF(ISBLANK(Catalog!X365),"Missing Location Id; ","")&amp;IF(AND(Catalog!S365&lt;&gt;"",COUNTIF(Catalog!$S$2:$S$501,Catalog!S365)&gt;1),"Duplicate ISBN; ","")&amp;IF(AND(Catalog!B365&lt;&gt;"",COUNTIF(Catalog!$B$2:$B$501,Catalog!B365)&gt;1),"Duplicate Accession; ",""))</f>
        <v/>
      </c>
    </row>
    <row r="390">
      <c r="A390" s="23">
        <f>Catalog!A366</f>
        <v/>
      </c>
      <c r="B390" s="24">
        <f>Catalog!D366</f>
        <v/>
      </c>
      <c r="C390" s="25">
        <f>IF(Catalog!D366="","",IF(ISBLANK(Catalog!F366),"Missing Creator; ","")&amp;IF(ISBLANK(Catalog!K366),"Missing Type; ","")&amp;IF(ISBLANK(Catalog!L366),"Missing Genre; ","")&amp;IF(ISBLANK(Catalog!W366),"Missing Location Type; ","")&amp;IF(ISBLANK(Catalog!X366),"Missing Location Id; ","")&amp;IF(AND(Catalog!S366&lt;&gt;"",COUNTIF(Catalog!$S$2:$S$501,Catalog!S366)&gt;1),"Duplicate ISBN; ","")&amp;IF(AND(Catalog!B366&lt;&gt;"",COUNTIF(Catalog!$B$2:$B$501,Catalog!B366)&gt;1),"Duplicate Accession; ",""))</f>
        <v/>
      </c>
    </row>
    <row r="391">
      <c r="A391" s="23">
        <f>Catalog!A367</f>
        <v/>
      </c>
      <c r="B391" s="24">
        <f>Catalog!D367</f>
        <v/>
      </c>
      <c r="C391" s="25">
        <f>IF(Catalog!D367="","",IF(ISBLANK(Catalog!F367),"Missing Creator; ","")&amp;IF(ISBLANK(Catalog!K367),"Missing Type; ","")&amp;IF(ISBLANK(Catalog!L367),"Missing Genre; ","")&amp;IF(ISBLANK(Catalog!W367),"Missing Location Type; ","")&amp;IF(ISBLANK(Catalog!X367),"Missing Location Id; ","")&amp;IF(AND(Catalog!S367&lt;&gt;"",COUNTIF(Catalog!$S$2:$S$501,Catalog!S367)&gt;1),"Duplicate ISBN; ","")&amp;IF(AND(Catalog!B367&lt;&gt;"",COUNTIF(Catalog!$B$2:$B$501,Catalog!B367)&gt;1),"Duplicate Accession; ",""))</f>
        <v/>
      </c>
    </row>
    <row r="392">
      <c r="A392" s="23">
        <f>Catalog!A368</f>
        <v/>
      </c>
      <c r="B392" s="24">
        <f>Catalog!D368</f>
        <v/>
      </c>
      <c r="C392" s="25">
        <f>IF(Catalog!D368="","",IF(ISBLANK(Catalog!F368),"Missing Creator; ","")&amp;IF(ISBLANK(Catalog!K368),"Missing Type; ","")&amp;IF(ISBLANK(Catalog!L368),"Missing Genre; ","")&amp;IF(ISBLANK(Catalog!W368),"Missing Location Type; ","")&amp;IF(ISBLANK(Catalog!X368),"Missing Location Id; ","")&amp;IF(AND(Catalog!S368&lt;&gt;"",COUNTIF(Catalog!$S$2:$S$501,Catalog!S368)&gt;1),"Duplicate ISBN; ","")&amp;IF(AND(Catalog!B368&lt;&gt;"",COUNTIF(Catalog!$B$2:$B$501,Catalog!B368)&gt;1),"Duplicate Accession; ",""))</f>
        <v/>
      </c>
    </row>
    <row r="393">
      <c r="A393" s="23">
        <f>Catalog!A369</f>
        <v/>
      </c>
      <c r="B393" s="24">
        <f>Catalog!D369</f>
        <v/>
      </c>
      <c r="C393" s="25">
        <f>IF(Catalog!D369="","",IF(ISBLANK(Catalog!F369),"Missing Creator; ","")&amp;IF(ISBLANK(Catalog!K369),"Missing Type; ","")&amp;IF(ISBLANK(Catalog!L369),"Missing Genre; ","")&amp;IF(ISBLANK(Catalog!W369),"Missing Location Type; ","")&amp;IF(ISBLANK(Catalog!X369),"Missing Location Id; ","")&amp;IF(AND(Catalog!S369&lt;&gt;"",COUNTIF(Catalog!$S$2:$S$501,Catalog!S369)&gt;1),"Duplicate ISBN; ","")&amp;IF(AND(Catalog!B369&lt;&gt;"",COUNTIF(Catalog!$B$2:$B$501,Catalog!B369)&gt;1),"Duplicate Accession; ",""))</f>
        <v/>
      </c>
    </row>
    <row r="394">
      <c r="A394" s="23">
        <f>Catalog!A370</f>
        <v/>
      </c>
      <c r="B394" s="24">
        <f>Catalog!D370</f>
        <v/>
      </c>
      <c r="C394" s="25">
        <f>IF(Catalog!D370="","",IF(ISBLANK(Catalog!F370),"Missing Creator; ","")&amp;IF(ISBLANK(Catalog!K370),"Missing Type; ","")&amp;IF(ISBLANK(Catalog!L370),"Missing Genre; ","")&amp;IF(ISBLANK(Catalog!W370),"Missing Location Type; ","")&amp;IF(ISBLANK(Catalog!X370),"Missing Location Id; ","")&amp;IF(AND(Catalog!S370&lt;&gt;"",COUNTIF(Catalog!$S$2:$S$501,Catalog!S370)&gt;1),"Duplicate ISBN; ","")&amp;IF(AND(Catalog!B370&lt;&gt;"",COUNTIF(Catalog!$B$2:$B$501,Catalog!B370)&gt;1),"Duplicate Accession; ",""))</f>
        <v/>
      </c>
    </row>
    <row r="395">
      <c r="A395" s="23">
        <f>Catalog!A371</f>
        <v/>
      </c>
      <c r="B395" s="24">
        <f>Catalog!D371</f>
        <v/>
      </c>
      <c r="C395" s="25">
        <f>IF(Catalog!D371="","",IF(ISBLANK(Catalog!F371),"Missing Creator; ","")&amp;IF(ISBLANK(Catalog!K371),"Missing Type; ","")&amp;IF(ISBLANK(Catalog!L371),"Missing Genre; ","")&amp;IF(ISBLANK(Catalog!W371),"Missing Location Type; ","")&amp;IF(ISBLANK(Catalog!X371),"Missing Location Id; ","")&amp;IF(AND(Catalog!S371&lt;&gt;"",COUNTIF(Catalog!$S$2:$S$501,Catalog!S371)&gt;1),"Duplicate ISBN; ","")&amp;IF(AND(Catalog!B371&lt;&gt;"",COUNTIF(Catalog!$B$2:$B$501,Catalog!B371)&gt;1),"Duplicate Accession; ",""))</f>
        <v/>
      </c>
    </row>
    <row r="396">
      <c r="A396" s="23">
        <f>Catalog!A372</f>
        <v/>
      </c>
      <c r="B396" s="24">
        <f>Catalog!D372</f>
        <v/>
      </c>
      <c r="C396" s="25">
        <f>IF(Catalog!D372="","",IF(ISBLANK(Catalog!F372),"Missing Creator; ","")&amp;IF(ISBLANK(Catalog!K372),"Missing Type; ","")&amp;IF(ISBLANK(Catalog!L372),"Missing Genre; ","")&amp;IF(ISBLANK(Catalog!W372),"Missing Location Type; ","")&amp;IF(ISBLANK(Catalog!X372),"Missing Location Id; ","")&amp;IF(AND(Catalog!S372&lt;&gt;"",COUNTIF(Catalog!$S$2:$S$501,Catalog!S372)&gt;1),"Duplicate ISBN; ","")&amp;IF(AND(Catalog!B372&lt;&gt;"",COUNTIF(Catalog!$B$2:$B$501,Catalog!B372)&gt;1),"Duplicate Accession; ",""))</f>
        <v/>
      </c>
    </row>
    <row r="397">
      <c r="A397" s="23">
        <f>Catalog!A373</f>
        <v/>
      </c>
      <c r="B397" s="24">
        <f>Catalog!D373</f>
        <v/>
      </c>
      <c r="C397" s="25">
        <f>IF(Catalog!D373="","",IF(ISBLANK(Catalog!F373),"Missing Creator; ","")&amp;IF(ISBLANK(Catalog!K373),"Missing Type; ","")&amp;IF(ISBLANK(Catalog!L373),"Missing Genre; ","")&amp;IF(ISBLANK(Catalog!W373),"Missing Location Type; ","")&amp;IF(ISBLANK(Catalog!X373),"Missing Location Id; ","")&amp;IF(AND(Catalog!S373&lt;&gt;"",COUNTIF(Catalog!$S$2:$S$501,Catalog!S373)&gt;1),"Duplicate ISBN; ","")&amp;IF(AND(Catalog!B373&lt;&gt;"",COUNTIF(Catalog!$B$2:$B$501,Catalog!B373)&gt;1),"Duplicate Accession; ",""))</f>
        <v/>
      </c>
    </row>
    <row r="398">
      <c r="A398" s="23">
        <f>Catalog!A374</f>
        <v/>
      </c>
      <c r="B398" s="24">
        <f>Catalog!D374</f>
        <v/>
      </c>
      <c r="C398" s="25">
        <f>IF(Catalog!D374="","",IF(ISBLANK(Catalog!F374),"Missing Creator; ","")&amp;IF(ISBLANK(Catalog!K374),"Missing Type; ","")&amp;IF(ISBLANK(Catalog!L374),"Missing Genre; ","")&amp;IF(ISBLANK(Catalog!W374),"Missing Location Type; ","")&amp;IF(ISBLANK(Catalog!X374),"Missing Location Id; ","")&amp;IF(AND(Catalog!S374&lt;&gt;"",COUNTIF(Catalog!$S$2:$S$501,Catalog!S374)&gt;1),"Duplicate ISBN; ","")&amp;IF(AND(Catalog!B374&lt;&gt;"",COUNTIF(Catalog!$B$2:$B$501,Catalog!B374)&gt;1),"Duplicate Accession; ",""))</f>
        <v/>
      </c>
    </row>
    <row r="399">
      <c r="A399" s="23">
        <f>Catalog!A375</f>
        <v/>
      </c>
      <c r="B399" s="24">
        <f>Catalog!D375</f>
        <v/>
      </c>
      <c r="C399" s="25">
        <f>IF(Catalog!D375="","",IF(ISBLANK(Catalog!F375),"Missing Creator; ","")&amp;IF(ISBLANK(Catalog!K375),"Missing Type; ","")&amp;IF(ISBLANK(Catalog!L375),"Missing Genre; ","")&amp;IF(ISBLANK(Catalog!W375),"Missing Location Type; ","")&amp;IF(ISBLANK(Catalog!X375),"Missing Location Id; ","")&amp;IF(AND(Catalog!S375&lt;&gt;"",COUNTIF(Catalog!$S$2:$S$501,Catalog!S375)&gt;1),"Duplicate ISBN; ","")&amp;IF(AND(Catalog!B375&lt;&gt;"",COUNTIF(Catalog!$B$2:$B$501,Catalog!B375)&gt;1),"Duplicate Accession; ",""))</f>
        <v/>
      </c>
    </row>
    <row r="400">
      <c r="A400" s="23">
        <f>Catalog!A376</f>
        <v/>
      </c>
      <c r="B400" s="24">
        <f>Catalog!D376</f>
        <v/>
      </c>
      <c r="C400" s="25">
        <f>IF(Catalog!D376="","",IF(ISBLANK(Catalog!F376),"Missing Creator; ","")&amp;IF(ISBLANK(Catalog!K376),"Missing Type; ","")&amp;IF(ISBLANK(Catalog!L376),"Missing Genre; ","")&amp;IF(ISBLANK(Catalog!W376),"Missing Location Type; ","")&amp;IF(ISBLANK(Catalog!X376),"Missing Location Id; ","")&amp;IF(AND(Catalog!S376&lt;&gt;"",COUNTIF(Catalog!$S$2:$S$501,Catalog!S376)&gt;1),"Duplicate ISBN; ","")&amp;IF(AND(Catalog!B376&lt;&gt;"",COUNTIF(Catalog!$B$2:$B$501,Catalog!B376)&gt;1),"Duplicate Accession; ",""))</f>
        <v/>
      </c>
    </row>
    <row r="401">
      <c r="A401" s="23">
        <f>Catalog!A377</f>
        <v/>
      </c>
      <c r="B401" s="24">
        <f>Catalog!D377</f>
        <v/>
      </c>
      <c r="C401" s="25">
        <f>IF(Catalog!D377="","",IF(ISBLANK(Catalog!F377),"Missing Creator; ","")&amp;IF(ISBLANK(Catalog!K377),"Missing Type; ","")&amp;IF(ISBLANK(Catalog!L377),"Missing Genre; ","")&amp;IF(ISBLANK(Catalog!W377),"Missing Location Type; ","")&amp;IF(ISBLANK(Catalog!X377),"Missing Location Id; ","")&amp;IF(AND(Catalog!S377&lt;&gt;"",COUNTIF(Catalog!$S$2:$S$501,Catalog!S377)&gt;1),"Duplicate ISBN; ","")&amp;IF(AND(Catalog!B377&lt;&gt;"",COUNTIF(Catalog!$B$2:$B$501,Catalog!B377)&gt;1),"Duplicate Accession; ",""))</f>
        <v/>
      </c>
    </row>
    <row r="402">
      <c r="A402" s="23">
        <f>Catalog!A378</f>
        <v/>
      </c>
      <c r="B402" s="24">
        <f>Catalog!D378</f>
        <v/>
      </c>
      <c r="C402" s="25">
        <f>IF(Catalog!D378="","",IF(ISBLANK(Catalog!F378),"Missing Creator; ","")&amp;IF(ISBLANK(Catalog!K378),"Missing Type; ","")&amp;IF(ISBLANK(Catalog!L378),"Missing Genre; ","")&amp;IF(ISBLANK(Catalog!W378),"Missing Location Type; ","")&amp;IF(ISBLANK(Catalog!X378),"Missing Location Id; ","")&amp;IF(AND(Catalog!S378&lt;&gt;"",COUNTIF(Catalog!$S$2:$S$501,Catalog!S378)&gt;1),"Duplicate ISBN; ","")&amp;IF(AND(Catalog!B378&lt;&gt;"",COUNTIF(Catalog!$B$2:$B$501,Catalog!B378)&gt;1),"Duplicate Accession; ",""))</f>
        <v/>
      </c>
    </row>
    <row r="403">
      <c r="A403" s="23">
        <f>Catalog!A379</f>
        <v/>
      </c>
      <c r="B403" s="24">
        <f>Catalog!D379</f>
        <v/>
      </c>
      <c r="C403" s="25">
        <f>IF(Catalog!D379="","",IF(ISBLANK(Catalog!F379),"Missing Creator; ","")&amp;IF(ISBLANK(Catalog!K379),"Missing Type; ","")&amp;IF(ISBLANK(Catalog!L379),"Missing Genre; ","")&amp;IF(ISBLANK(Catalog!W379),"Missing Location Type; ","")&amp;IF(ISBLANK(Catalog!X379),"Missing Location Id; ","")&amp;IF(AND(Catalog!S379&lt;&gt;"",COUNTIF(Catalog!$S$2:$S$501,Catalog!S379)&gt;1),"Duplicate ISBN; ","")&amp;IF(AND(Catalog!B379&lt;&gt;"",COUNTIF(Catalog!$B$2:$B$501,Catalog!B379)&gt;1),"Duplicate Accession; ",""))</f>
        <v/>
      </c>
    </row>
    <row r="404">
      <c r="A404" s="23">
        <f>Catalog!A380</f>
        <v/>
      </c>
      <c r="B404" s="24">
        <f>Catalog!D380</f>
        <v/>
      </c>
      <c r="C404" s="25">
        <f>IF(Catalog!D380="","",IF(ISBLANK(Catalog!F380),"Missing Creator; ","")&amp;IF(ISBLANK(Catalog!K380),"Missing Type; ","")&amp;IF(ISBLANK(Catalog!L380),"Missing Genre; ","")&amp;IF(ISBLANK(Catalog!W380),"Missing Location Type; ","")&amp;IF(ISBLANK(Catalog!X380),"Missing Location Id; ","")&amp;IF(AND(Catalog!S380&lt;&gt;"",COUNTIF(Catalog!$S$2:$S$501,Catalog!S380)&gt;1),"Duplicate ISBN; ","")&amp;IF(AND(Catalog!B380&lt;&gt;"",COUNTIF(Catalog!$B$2:$B$501,Catalog!B380)&gt;1),"Duplicate Accession; ",""))</f>
        <v/>
      </c>
    </row>
    <row r="405">
      <c r="A405" s="23">
        <f>Catalog!A381</f>
        <v/>
      </c>
      <c r="B405" s="24">
        <f>Catalog!D381</f>
        <v/>
      </c>
      <c r="C405" s="25">
        <f>IF(Catalog!D381="","",IF(ISBLANK(Catalog!F381),"Missing Creator; ","")&amp;IF(ISBLANK(Catalog!K381),"Missing Type; ","")&amp;IF(ISBLANK(Catalog!L381),"Missing Genre; ","")&amp;IF(ISBLANK(Catalog!W381),"Missing Location Type; ","")&amp;IF(ISBLANK(Catalog!X381),"Missing Location Id; ","")&amp;IF(AND(Catalog!S381&lt;&gt;"",COUNTIF(Catalog!$S$2:$S$501,Catalog!S381)&gt;1),"Duplicate ISBN; ","")&amp;IF(AND(Catalog!B381&lt;&gt;"",COUNTIF(Catalog!$B$2:$B$501,Catalog!B381)&gt;1),"Duplicate Accession; ",""))</f>
        <v/>
      </c>
    </row>
    <row r="406">
      <c r="A406" s="23">
        <f>Catalog!A382</f>
        <v/>
      </c>
      <c r="B406" s="24">
        <f>Catalog!D382</f>
        <v/>
      </c>
      <c r="C406" s="25">
        <f>IF(Catalog!D382="","",IF(ISBLANK(Catalog!F382),"Missing Creator; ","")&amp;IF(ISBLANK(Catalog!K382),"Missing Type; ","")&amp;IF(ISBLANK(Catalog!L382),"Missing Genre; ","")&amp;IF(ISBLANK(Catalog!W382),"Missing Location Type; ","")&amp;IF(ISBLANK(Catalog!X382),"Missing Location Id; ","")&amp;IF(AND(Catalog!S382&lt;&gt;"",COUNTIF(Catalog!$S$2:$S$501,Catalog!S382)&gt;1),"Duplicate ISBN; ","")&amp;IF(AND(Catalog!B382&lt;&gt;"",COUNTIF(Catalog!$B$2:$B$501,Catalog!B382)&gt;1),"Duplicate Accession; ",""))</f>
        <v/>
      </c>
    </row>
    <row r="407">
      <c r="A407" s="23">
        <f>Catalog!A383</f>
        <v/>
      </c>
      <c r="B407" s="24">
        <f>Catalog!D383</f>
        <v/>
      </c>
      <c r="C407" s="25">
        <f>IF(Catalog!D383="","",IF(ISBLANK(Catalog!F383),"Missing Creator; ","")&amp;IF(ISBLANK(Catalog!K383),"Missing Type; ","")&amp;IF(ISBLANK(Catalog!L383),"Missing Genre; ","")&amp;IF(ISBLANK(Catalog!W383),"Missing Location Type; ","")&amp;IF(ISBLANK(Catalog!X383),"Missing Location Id; ","")&amp;IF(AND(Catalog!S383&lt;&gt;"",COUNTIF(Catalog!$S$2:$S$501,Catalog!S383)&gt;1),"Duplicate ISBN; ","")&amp;IF(AND(Catalog!B383&lt;&gt;"",COUNTIF(Catalog!$B$2:$B$501,Catalog!B383)&gt;1),"Duplicate Accession; ",""))</f>
        <v/>
      </c>
    </row>
    <row r="408">
      <c r="A408" s="23">
        <f>Catalog!A384</f>
        <v/>
      </c>
      <c r="B408" s="24">
        <f>Catalog!D384</f>
        <v/>
      </c>
      <c r="C408" s="25">
        <f>IF(Catalog!D384="","",IF(ISBLANK(Catalog!F384),"Missing Creator; ","")&amp;IF(ISBLANK(Catalog!K384),"Missing Type; ","")&amp;IF(ISBLANK(Catalog!L384),"Missing Genre; ","")&amp;IF(ISBLANK(Catalog!W384),"Missing Location Type; ","")&amp;IF(ISBLANK(Catalog!X384),"Missing Location Id; ","")&amp;IF(AND(Catalog!S384&lt;&gt;"",COUNTIF(Catalog!$S$2:$S$501,Catalog!S384)&gt;1),"Duplicate ISBN; ","")&amp;IF(AND(Catalog!B384&lt;&gt;"",COUNTIF(Catalog!$B$2:$B$501,Catalog!B384)&gt;1),"Duplicate Accession; ",""))</f>
        <v/>
      </c>
    </row>
    <row r="409">
      <c r="A409" s="23">
        <f>Catalog!A385</f>
        <v/>
      </c>
      <c r="B409" s="24">
        <f>Catalog!D385</f>
        <v/>
      </c>
      <c r="C409" s="25">
        <f>IF(Catalog!D385="","",IF(ISBLANK(Catalog!F385),"Missing Creator; ","")&amp;IF(ISBLANK(Catalog!K385),"Missing Type; ","")&amp;IF(ISBLANK(Catalog!L385),"Missing Genre; ","")&amp;IF(ISBLANK(Catalog!W385),"Missing Location Type; ","")&amp;IF(ISBLANK(Catalog!X385),"Missing Location Id; ","")&amp;IF(AND(Catalog!S385&lt;&gt;"",COUNTIF(Catalog!$S$2:$S$501,Catalog!S385)&gt;1),"Duplicate ISBN; ","")&amp;IF(AND(Catalog!B385&lt;&gt;"",COUNTIF(Catalog!$B$2:$B$501,Catalog!B385)&gt;1),"Duplicate Accession; ",""))</f>
        <v/>
      </c>
    </row>
    <row r="410">
      <c r="A410" s="23">
        <f>Catalog!A386</f>
        <v/>
      </c>
      <c r="B410" s="24">
        <f>Catalog!D386</f>
        <v/>
      </c>
      <c r="C410" s="25">
        <f>IF(Catalog!D386="","",IF(ISBLANK(Catalog!F386),"Missing Creator; ","")&amp;IF(ISBLANK(Catalog!K386),"Missing Type; ","")&amp;IF(ISBLANK(Catalog!L386),"Missing Genre; ","")&amp;IF(ISBLANK(Catalog!W386),"Missing Location Type; ","")&amp;IF(ISBLANK(Catalog!X386),"Missing Location Id; ","")&amp;IF(AND(Catalog!S386&lt;&gt;"",COUNTIF(Catalog!$S$2:$S$501,Catalog!S386)&gt;1),"Duplicate ISBN; ","")&amp;IF(AND(Catalog!B386&lt;&gt;"",COUNTIF(Catalog!$B$2:$B$501,Catalog!B386)&gt;1),"Duplicate Accession; ",""))</f>
        <v/>
      </c>
    </row>
    <row r="411">
      <c r="A411" s="23">
        <f>Catalog!A387</f>
        <v/>
      </c>
      <c r="B411" s="24">
        <f>Catalog!D387</f>
        <v/>
      </c>
      <c r="C411" s="25">
        <f>IF(Catalog!D387="","",IF(ISBLANK(Catalog!F387),"Missing Creator; ","")&amp;IF(ISBLANK(Catalog!K387),"Missing Type; ","")&amp;IF(ISBLANK(Catalog!L387),"Missing Genre; ","")&amp;IF(ISBLANK(Catalog!W387),"Missing Location Type; ","")&amp;IF(ISBLANK(Catalog!X387),"Missing Location Id; ","")&amp;IF(AND(Catalog!S387&lt;&gt;"",COUNTIF(Catalog!$S$2:$S$501,Catalog!S387)&gt;1),"Duplicate ISBN; ","")&amp;IF(AND(Catalog!B387&lt;&gt;"",COUNTIF(Catalog!$B$2:$B$501,Catalog!B387)&gt;1),"Duplicate Accession; ",""))</f>
        <v/>
      </c>
    </row>
    <row r="412">
      <c r="A412" s="23">
        <f>Catalog!A388</f>
        <v/>
      </c>
      <c r="B412" s="24">
        <f>Catalog!D388</f>
        <v/>
      </c>
      <c r="C412" s="25">
        <f>IF(Catalog!D388="","",IF(ISBLANK(Catalog!F388),"Missing Creator; ","")&amp;IF(ISBLANK(Catalog!K388),"Missing Type; ","")&amp;IF(ISBLANK(Catalog!L388),"Missing Genre; ","")&amp;IF(ISBLANK(Catalog!W388),"Missing Location Type; ","")&amp;IF(ISBLANK(Catalog!X388),"Missing Location Id; ","")&amp;IF(AND(Catalog!S388&lt;&gt;"",COUNTIF(Catalog!$S$2:$S$501,Catalog!S388)&gt;1),"Duplicate ISBN; ","")&amp;IF(AND(Catalog!B388&lt;&gt;"",COUNTIF(Catalog!$B$2:$B$501,Catalog!B388)&gt;1),"Duplicate Accession; ",""))</f>
        <v/>
      </c>
    </row>
    <row r="413">
      <c r="A413" s="23">
        <f>Catalog!A389</f>
        <v/>
      </c>
      <c r="B413" s="24">
        <f>Catalog!D389</f>
        <v/>
      </c>
      <c r="C413" s="25">
        <f>IF(Catalog!D389="","",IF(ISBLANK(Catalog!F389),"Missing Creator; ","")&amp;IF(ISBLANK(Catalog!K389),"Missing Type; ","")&amp;IF(ISBLANK(Catalog!L389),"Missing Genre; ","")&amp;IF(ISBLANK(Catalog!W389),"Missing Location Type; ","")&amp;IF(ISBLANK(Catalog!X389),"Missing Location Id; ","")&amp;IF(AND(Catalog!S389&lt;&gt;"",COUNTIF(Catalog!$S$2:$S$501,Catalog!S389)&gt;1),"Duplicate ISBN; ","")&amp;IF(AND(Catalog!B389&lt;&gt;"",COUNTIF(Catalog!$B$2:$B$501,Catalog!B389)&gt;1),"Duplicate Accession; ",""))</f>
        <v/>
      </c>
    </row>
    <row r="414">
      <c r="A414" s="23">
        <f>Catalog!A390</f>
        <v/>
      </c>
      <c r="B414" s="24">
        <f>Catalog!D390</f>
        <v/>
      </c>
      <c r="C414" s="25">
        <f>IF(Catalog!D390="","",IF(ISBLANK(Catalog!F390),"Missing Creator; ","")&amp;IF(ISBLANK(Catalog!K390),"Missing Type; ","")&amp;IF(ISBLANK(Catalog!L390),"Missing Genre; ","")&amp;IF(ISBLANK(Catalog!W390),"Missing Location Type; ","")&amp;IF(ISBLANK(Catalog!X390),"Missing Location Id; ","")&amp;IF(AND(Catalog!S390&lt;&gt;"",COUNTIF(Catalog!$S$2:$S$501,Catalog!S390)&gt;1),"Duplicate ISBN; ","")&amp;IF(AND(Catalog!B390&lt;&gt;"",COUNTIF(Catalog!$B$2:$B$501,Catalog!B390)&gt;1),"Duplicate Accession; ",""))</f>
        <v/>
      </c>
    </row>
    <row r="415">
      <c r="A415" s="23">
        <f>Catalog!A391</f>
        <v/>
      </c>
      <c r="B415" s="24">
        <f>Catalog!D391</f>
        <v/>
      </c>
      <c r="C415" s="25">
        <f>IF(Catalog!D391="","",IF(ISBLANK(Catalog!F391),"Missing Creator; ","")&amp;IF(ISBLANK(Catalog!K391),"Missing Type; ","")&amp;IF(ISBLANK(Catalog!L391),"Missing Genre; ","")&amp;IF(ISBLANK(Catalog!W391),"Missing Location Type; ","")&amp;IF(ISBLANK(Catalog!X391),"Missing Location Id; ","")&amp;IF(AND(Catalog!S391&lt;&gt;"",COUNTIF(Catalog!$S$2:$S$501,Catalog!S391)&gt;1),"Duplicate ISBN; ","")&amp;IF(AND(Catalog!B391&lt;&gt;"",COUNTIF(Catalog!$B$2:$B$501,Catalog!B391)&gt;1),"Duplicate Accession; ",""))</f>
        <v/>
      </c>
    </row>
    <row r="416">
      <c r="A416" s="23">
        <f>Catalog!A392</f>
        <v/>
      </c>
      <c r="B416" s="24">
        <f>Catalog!D392</f>
        <v/>
      </c>
      <c r="C416" s="25">
        <f>IF(Catalog!D392="","",IF(ISBLANK(Catalog!F392),"Missing Creator; ","")&amp;IF(ISBLANK(Catalog!K392),"Missing Type; ","")&amp;IF(ISBLANK(Catalog!L392),"Missing Genre; ","")&amp;IF(ISBLANK(Catalog!W392),"Missing Location Type; ","")&amp;IF(ISBLANK(Catalog!X392),"Missing Location Id; ","")&amp;IF(AND(Catalog!S392&lt;&gt;"",COUNTIF(Catalog!$S$2:$S$501,Catalog!S392)&gt;1),"Duplicate ISBN; ","")&amp;IF(AND(Catalog!B392&lt;&gt;"",COUNTIF(Catalog!$B$2:$B$501,Catalog!B392)&gt;1),"Duplicate Accession; ",""))</f>
        <v/>
      </c>
    </row>
    <row r="417">
      <c r="A417" s="23">
        <f>Catalog!A393</f>
        <v/>
      </c>
      <c r="B417" s="24">
        <f>Catalog!D393</f>
        <v/>
      </c>
      <c r="C417" s="25">
        <f>IF(Catalog!D393="","",IF(ISBLANK(Catalog!F393),"Missing Creator; ","")&amp;IF(ISBLANK(Catalog!K393),"Missing Type; ","")&amp;IF(ISBLANK(Catalog!L393),"Missing Genre; ","")&amp;IF(ISBLANK(Catalog!W393),"Missing Location Type; ","")&amp;IF(ISBLANK(Catalog!X393),"Missing Location Id; ","")&amp;IF(AND(Catalog!S393&lt;&gt;"",COUNTIF(Catalog!$S$2:$S$501,Catalog!S393)&gt;1),"Duplicate ISBN; ","")&amp;IF(AND(Catalog!B393&lt;&gt;"",COUNTIF(Catalog!$B$2:$B$501,Catalog!B393)&gt;1),"Duplicate Accession; ",""))</f>
        <v/>
      </c>
    </row>
    <row r="418">
      <c r="A418" s="23">
        <f>Catalog!A394</f>
        <v/>
      </c>
      <c r="B418" s="24">
        <f>Catalog!D394</f>
        <v/>
      </c>
      <c r="C418" s="25">
        <f>IF(Catalog!D394="","",IF(ISBLANK(Catalog!F394),"Missing Creator; ","")&amp;IF(ISBLANK(Catalog!K394),"Missing Type; ","")&amp;IF(ISBLANK(Catalog!L394),"Missing Genre; ","")&amp;IF(ISBLANK(Catalog!W394),"Missing Location Type; ","")&amp;IF(ISBLANK(Catalog!X394),"Missing Location Id; ","")&amp;IF(AND(Catalog!S394&lt;&gt;"",COUNTIF(Catalog!$S$2:$S$501,Catalog!S394)&gt;1),"Duplicate ISBN; ","")&amp;IF(AND(Catalog!B394&lt;&gt;"",COUNTIF(Catalog!$B$2:$B$501,Catalog!B394)&gt;1),"Duplicate Accession; ",""))</f>
        <v/>
      </c>
    </row>
    <row r="419">
      <c r="A419" s="23">
        <f>Catalog!A395</f>
        <v/>
      </c>
      <c r="B419" s="24">
        <f>Catalog!D395</f>
        <v/>
      </c>
      <c r="C419" s="25">
        <f>IF(Catalog!D395="","",IF(ISBLANK(Catalog!F395),"Missing Creator; ","")&amp;IF(ISBLANK(Catalog!K395),"Missing Type; ","")&amp;IF(ISBLANK(Catalog!L395),"Missing Genre; ","")&amp;IF(ISBLANK(Catalog!W395),"Missing Location Type; ","")&amp;IF(ISBLANK(Catalog!X395),"Missing Location Id; ","")&amp;IF(AND(Catalog!S395&lt;&gt;"",COUNTIF(Catalog!$S$2:$S$501,Catalog!S395)&gt;1),"Duplicate ISBN; ","")&amp;IF(AND(Catalog!B395&lt;&gt;"",COUNTIF(Catalog!$B$2:$B$501,Catalog!B395)&gt;1),"Duplicate Accession; ",""))</f>
        <v/>
      </c>
    </row>
    <row r="420">
      <c r="A420" s="23">
        <f>Catalog!A396</f>
        <v/>
      </c>
      <c r="B420" s="24">
        <f>Catalog!D396</f>
        <v/>
      </c>
      <c r="C420" s="25">
        <f>IF(Catalog!D396="","",IF(ISBLANK(Catalog!F396),"Missing Creator; ","")&amp;IF(ISBLANK(Catalog!K396),"Missing Type; ","")&amp;IF(ISBLANK(Catalog!L396),"Missing Genre; ","")&amp;IF(ISBLANK(Catalog!W396),"Missing Location Type; ","")&amp;IF(ISBLANK(Catalog!X396),"Missing Location Id; ","")&amp;IF(AND(Catalog!S396&lt;&gt;"",COUNTIF(Catalog!$S$2:$S$501,Catalog!S396)&gt;1),"Duplicate ISBN; ","")&amp;IF(AND(Catalog!B396&lt;&gt;"",COUNTIF(Catalog!$B$2:$B$501,Catalog!B396)&gt;1),"Duplicate Accession; ",""))</f>
        <v/>
      </c>
    </row>
    <row r="421">
      <c r="A421" s="23">
        <f>Catalog!A397</f>
        <v/>
      </c>
      <c r="B421" s="24">
        <f>Catalog!D397</f>
        <v/>
      </c>
      <c r="C421" s="25">
        <f>IF(Catalog!D397="","",IF(ISBLANK(Catalog!F397),"Missing Creator; ","")&amp;IF(ISBLANK(Catalog!K397),"Missing Type; ","")&amp;IF(ISBLANK(Catalog!L397),"Missing Genre; ","")&amp;IF(ISBLANK(Catalog!W397),"Missing Location Type; ","")&amp;IF(ISBLANK(Catalog!X397),"Missing Location Id; ","")&amp;IF(AND(Catalog!S397&lt;&gt;"",COUNTIF(Catalog!$S$2:$S$501,Catalog!S397)&gt;1),"Duplicate ISBN; ","")&amp;IF(AND(Catalog!B397&lt;&gt;"",COUNTIF(Catalog!$B$2:$B$501,Catalog!B397)&gt;1),"Duplicate Accession; ",""))</f>
        <v/>
      </c>
    </row>
    <row r="422">
      <c r="A422" s="23">
        <f>Catalog!A398</f>
        <v/>
      </c>
      <c r="B422" s="24">
        <f>Catalog!D398</f>
        <v/>
      </c>
      <c r="C422" s="25">
        <f>IF(Catalog!D398="","",IF(ISBLANK(Catalog!F398),"Missing Creator; ","")&amp;IF(ISBLANK(Catalog!K398),"Missing Type; ","")&amp;IF(ISBLANK(Catalog!L398),"Missing Genre; ","")&amp;IF(ISBLANK(Catalog!W398),"Missing Location Type; ","")&amp;IF(ISBLANK(Catalog!X398),"Missing Location Id; ","")&amp;IF(AND(Catalog!S398&lt;&gt;"",COUNTIF(Catalog!$S$2:$S$501,Catalog!S398)&gt;1),"Duplicate ISBN; ","")&amp;IF(AND(Catalog!B398&lt;&gt;"",COUNTIF(Catalog!$B$2:$B$501,Catalog!B398)&gt;1),"Duplicate Accession; ",""))</f>
        <v/>
      </c>
    </row>
    <row r="423">
      <c r="A423" s="23">
        <f>Catalog!A399</f>
        <v/>
      </c>
      <c r="B423" s="24">
        <f>Catalog!D399</f>
        <v/>
      </c>
      <c r="C423" s="25">
        <f>IF(Catalog!D399="","",IF(ISBLANK(Catalog!F399),"Missing Creator; ","")&amp;IF(ISBLANK(Catalog!K399),"Missing Type; ","")&amp;IF(ISBLANK(Catalog!L399),"Missing Genre; ","")&amp;IF(ISBLANK(Catalog!W399),"Missing Location Type; ","")&amp;IF(ISBLANK(Catalog!X399),"Missing Location Id; ","")&amp;IF(AND(Catalog!S399&lt;&gt;"",COUNTIF(Catalog!$S$2:$S$501,Catalog!S399)&gt;1),"Duplicate ISBN; ","")&amp;IF(AND(Catalog!B399&lt;&gt;"",COUNTIF(Catalog!$B$2:$B$501,Catalog!B399)&gt;1),"Duplicate Accession; ",""))</f>
        <v/>
      </c>
    </row>
    <row r="424">
      <c r="A424" s="23">
        <f>Catalog!A400</f>
        <v/>
      </c>
      <c r="B424" s="24">
        <f>Catalog!D400</f>
        <v/>
      </c>
      <c r="C424" s="25">
        <f>IF(Catalog!D400="","",IF(ISBLANK(Catalog!F400),"Missing Creator; ","")&amp;IF(ISBLANK(Catalog!K400),"Missing Type; ","")&amp;IF(ISBLANK(Catalog!L400),"Missing Genre; ","")&amp;IF(ISBLANK(Catalog!W400),"Missing Location Type; ","")&amp;IF(ISBLANK(Catalog!X400),"Missing Location Id; ","")&amp;IF(AND(Catalog!S400&lt;&gt;"",COUNTIF(Catalog!$S$2:$S$501,Catalog!S400)&gt;1),"Duplicate ISBN; ","")&amp;IF(AND(Catalog!B400&lt;&gt;"",COUNTIF(Catalog!$B$2:$B$501,Catalog!B400)&gt;1),"Duplicate Accession; ",""))</f>
        <v/>
      </c>
    </row>
    <row r="425">
      <c r="A425" s="23">
        <f>Catalog!A401</f>
        <v/>
      </c>
      <c r="B425" s="24">
        <f>Catalog!D401</f>
        <v/>
      </c>
      <c r="C425" s="25">
        <f>IF(Catalog!D401="","",IF(ISBLANK(Catalog!F401),"Missing Creator; ","")&amp;IF(ISBLANK(Catalog!K401),"Missing Type; ","")&amp;IF(ISBLANK(Catalog!L401),"Missing Genre; ","")&amp;IF(ISBLANK(Catalog!W401),"Missing Location Type; ","")&amp;IF(ISBLANK(Catalog!X401),"Missing Location Id; ","")&amp;IF(AND(Catalog!S401&lt;&gt;"",COUNTIF(Catalog!$S$2:$S$501,Catalog!S401)&gt;1),"Duplicate ISBN; ","")&amp;IF(AND(Catalog!B401&lt;&gt;"",COUNTIF(Catalog!$B$2:$B$501,Catalog!B401)&gt;1),"Duplicate Accession; ",""))</f>
        <v/>
      </c>
    </row>
    <row r="426">
      <c r="A426" s="23">
        <f>Catalog!A402</f>
        <v/>
      </c>
      <c r="B426" s="24">
        <f>Catalog!D402</f>
        <v/>
      </c>
      <c r="C426" s="25">
        <f>IF(Catalog!D402="","",IF(ISBLANK(Catalog!F402),"Missing Creator; ","")&amp;IF(ISBLANK(Catalog!K402),"Missing Type; ","")&amp;IF(ISBLANK(Catalog!L402),"Missing Genre; ","")&amp;IF(ISBLANK(Catalog!W402),"Missing Location Type; ","")&amp;IF(ISBLANK(Catalog!X402),"Missing Location Id; ","")&amp;IF(AND(Catalog!S402&lt;&gt;"",COUNTIF(Catalog!$S$2:$S$501,Catalog!S402)&gt;1),"Duplicate ISBN; ","")&amp;IF(AND(Catalog!B402&lt;&gt;"",COUNTIF(Catalog!$B$2:$B$501,Catalog!B402)&gt;1),"Duplicate Accession; ",""))</f>
        <v/>
      </c>
    </row>
    <row r="427">
      <c r="A427" s="23">
        <f>Catalog!A403</f>
        <v/>
      </c>
      <c r="B427" s="24">
        <f>Catalog!D403</f>
        <v/>
      </c>
      <c r="C427" s="25">
        <f>IF(Catalog!D403="","",IF(ISBLANK(Catalog!F403),"Missing Creator; ","")&amp;IF(ISBLANK(Catalog!K403),"Missing Type; ","")&amp;IF(ISBLANK(Catalog!L403),"Missing Genre; ","")&amp;IF(ISBLANK(Catalog!W403),"Missing Location Type; ","")&amp;IF(ISBLANK(Catalog!X403),"Missing Location Id; ","")&amp;IF(AND(Catalog!S403&lt;&gt;"",COUNTIF(Catalog!$S$2:$S$501,Catalog!S403)&gt;1),"Duplicate ISBN; ","")&amp;IF(AND(Catalog!B403&lt;&gt;"",COUNTIF(Catalog!$B$2:$B$501,Catalog!B403)&gt;1),"Duplicate Accession; ",""))</f>
        <v/>
      </c>
    </row>
    <row r="428">
      <c r="A428" s="23">
        <f>Catalog!A404</f>
        <v/>
      </c>
      <c r="B428" s="24">
        <f>Catalog!D404</f>
        <v/>
      </c>
      <c r="C428" s="25">
        <f>IF(Catalog!D404="","",IF(ISBLANK(Catalog!F404),"Missing Creator; ","")&amp;IF(ISBLANK(Catalog!K404),"Missing Type; ","")&amp;IF(ISBLANK(Catalog!L404),"Missing Genre; ","")&amp;IF(ISBLANK(Catalog!W404),"Missing Location Type; ","")&amp;IF(ISBLANK(Catalog!X404),"Missing Location Id; ","")&amp;IF(AND(Catalog!S404&lt;&gt;"",COUNTIF(Catalog!$S$2:$S$501,Catalog!S404)&gt;1),"Duplicate ISBN; ","")&amp;IF(AND(Catalog!B404&lt;&gt;"",COUNTIF(Catalog!$B$2:$B$501,Catalog!B404)&gt;1),"Duplicate Accession; ",""))</f>
        <v/>
      </c>
    </row>
    <row r="429">
      <c r="A429" s="23">
        <f>Catalog!A405</f>
        <v/>
      </c>
      <c r="B429" s="24">
        <f>Catalog!D405</f>
        <v/>
      </c>
      <c r="C429" s="25">
        <f>IF(Catalog!D405="","",IF(ISBLANK(Catalog!F405),"Missing Creator; ","")&amp;IF(ISBLANK(Catalog!K405),"Missing Type; ","")&amp;IF(ISBLANK(Catalog!L405),"Missing Genre; ","")&amp;IF(ISBLANK(Catalog!W405),"Missing Location Type; ","")&amp;IF(ISBLANK(Catalog!X405),"Missing Location Id; ","")&amp;IF(AND(Catalog!S405&lt;&gt;"",COUNTIF(Catalog!$S$2:$S$501,Catalog!S405)&gt;1),"Duplicate ISBN; ","")&amp;IF(AND(Catalog!B405&lt;&gt;"",COUNTIF(Catalog!$B$2:$B$501,Catalog!B405)&gt;1),"Duplicate Accession; ",""))</f>
        <v/>
      </c>
    </row>
    <row r="430">
      <c r="A430" s="23">
        <f>Catalog!A406</f>
        <v/>
      </c>
      <c r="B430" s="24">
        <f>Catalog!D406</f>
        <v/>
      </c>
      <c r="C430" s="25">
        <f>IF(Catalog!D406="","",IF(ISBLANK(Catalog!F406),"Missing Creator; ","")&amp;IF(ISBLANK(Catalog!K406),"Missing Type; ","")&amp;IF(ISBLANK(Catalog!L406),"Missing Genre; ","")&amp;IF(ISBLANK(Catalog!W406),"Missing Location Type; ","")&amp;IF(ISBLANK(Catalog!X406),"Missing Location Id; ","")&amp;IF(AND(Catalog!S406&lt;&gt;"",COUNTIF(Catalog!$S$2:$S$501,Catalog!S406)&gt;1),"Duplicate ISBN; ","")&amp;IF(AND(Catalog!B406&lt;&gt;"",COUNTIF(Catalog!$B$2:$B$501,Catalog!B406)&gt;1),"Duplicate Accession; ",""))</f>
        <v/>
      </c>
    </row>
    <row r="431">
      <c r="A431" s="23">
        <f>Catalog!A407</f>
        <v/>
      </c>
      <c r="B431" s="24">
        <f>Catalog!D407</f>
        <v/>
      </c>
      <c r="C431" s="25">
        <f>IF(Catalog!D407="","",IF(ISBLANK(Catalog!F407),"Missing Creator; ","")&amp;IF(ISBLANK(Catalog!K407),"Missing Type; ","")&amp;IF(ISBLANK(Catalog!L407),"Missing Genre; ","")&amp;IF(ISBLANK(Catalog!W407),"Missing Location Type; ","")&amp;IF(ISBLANK(Catalog!X407),"Missing Location Id; ","")&amp;IF(AND(Catalog!S407&lt;&gt;"",COUNTIF(Catalog!$S$2:$S$501,Catalog!S407)&gt;1),"Duplicate ISBN; ","")&amp;IF(AND(Catalog!B407&lt;&gt;"",COUNTIF(Catalog!$B$2:$B$501,Catalog!B407)&gt;1),"Duplicate Accession; ",""))</f>
        <v/>
      </c>
    </row>
    <row r="432">
      <c r="A432" s="23">
        <f>Catalog!A408</f>
        <v/>
      </c>
      <c r="B432" s="24">
        <f>Catalog!D408</f>
        <v/>
      </c>
      <c r="C432" s="25">
        <f>IF(Catalog!D408="","",IF(ISBLANK(Catalog!F408),"Missing Creator; ","")&amp;IF(ISBLANK(Catalog!K408),"Missing Type; ","")&amp;IF(ISBLANK(Catalog!L408),"Missing Genre; ","")&amp;IF(ISBLANK(Catalog!W408),"Missing Location Type; ","")&amp;IF(ISBLANK(Catalog!X408),"Missing Location Id; ","")&amp;IF(AND(Catalog!S408&lt;&gt;"",COUNTIF(Catalog!$S$2:$S$501,Catalog!S408)&gt;1),"Duplicate ISBN; ","")&amp;IF(AND(Catalog!B408&lt;&gt;"",COUNTIF(Catalog!$B$2:$B$501,Catalog!B408)&gt;1),"Duplicate Accession; ",""))</f>
        <v/>
      </c>
    </row>
    <row r="433">
      <c r="A433" s="23">
        <f>Catalog!A409</f>
        <v/>
      </c>
      <c r="B433" s="24">
        <f>Catalog!D409</f>
        <v/>
      </c>
      <c r="C433" s="25">
        <f>IF(Catalog!D409="","",IF(ISBLANK(Catalog!F409),"Missing Creator; ","")&amp;IF(ISBLANK(Catalog!K409),"Missing Type; ","")&amp;IF(ISBLANK(Catalog!L409),"Missing Genre; ","")&amp;IF(ISBLANK(Catalog!W409),"Missing Location Type; ","")&amp;IF(ISBLANK(Catalog!X409),"Missing Location Id; ","")&amp;IF(AND(Catalog!S409&lt;&gt;"",COUNTIF(Catalog!$S$2:$S$501,Catalog!S409)&gt;1),"Duplicate ISBN; ","")&amp;IF(AND(Catalog!B409&lt;&gt;"",COUNTIF(Catalog!$B$2:$B$501,Catalog!B409)&gt;1),"Duplicate Accession; ",""))</f>
        <v/>
      </c>
    </row>
    <row r="434">
      <c r="A434" s="23">
        <f>Catalog!A410</f>
        <v/>
      </c>
      <c r="B434" s="24">
        <f>Catalog!D410</f>
        <v/>
      </c>
      <c r="C434" s="25">
        <f>IF(Catalog!D410="","",IF(ISBLANK(Catalog!F410),"Missing Creator; ","")&amp;IF(ISBLANK(Catalog!K410),"Missing Type; ","")&amp;IF(ISBLANK(Catalog!L410),"Missing Genre; ","")&amp;IF(ISBLANK(Catalog!W410),"Missing Location Type; ","")&amp;IF(ISBLANK(Catalog!X410),"Missing Location Id; ","")&amp;IF(AND(Catalog!S410&lt;&gt;"",COUNTIF(Catalog!$S$2:$S$501,Catalog!S410)&gt;1),"Duplicate ISBN; ","")&amp;IF(AND(Catalog!B410&lt;&gt;"",COUNTIF(Catalog!$B$2:$B$501,Catalog!B410)&gt;1),"Duplicate Accession; ",""))</f>
        <v/>
      </c>
    </row>
    <row r="435">
      <c r="A435" s="23">
        <f>Catalog!A411</f>
        <v/>
      </c>
      <c r="B435" s="24">
        <f>Catalog!D411</f>
        <v/>
      </c>
      <c r="C435" s="25">
        <f>IF(Catalog!D411="","",IF(ISBLANK(Catalog!F411),"Missing Creator; ","")&amp;IF(ISBLANK(Catalog!K411),"Missing Type; ","")&amp;IF(ISBLANK(Catalog!L411),"Missing Genre; ","")&amp;IF(ISBLANK(Catalog!W411),"Missing Location Type; ","")&amp;IF(ISBLANK(Catalog!X411),"Missing Location Id; ","")&amp;IF(AND(Catalog!S411&lt;&gt;"",COUNTIF(Catalog!$S$2:$S$501,Catalog!S411)&gt;1),"Duplicate ISBN; ","")&amp;IF(AND(Catalog!B411&lt;&gt;"",COUNTIF(Catalog!$B$2:$B$501,Catalog!B411)&gt;1),"Duplicate Accession; ",""))</f>
        <v/>
      </c>
    </row>
    <row r="436">
      <c r="A436" s="23">
        <f>Catalog!A412</f>
        <v/>
      </c>
      <c r="B436" s="24">
        <f>Catalog!D412</f>
        <v/>
      </c>
      <c r="C436" s="25">
        <f>IF(Catalog!D412="","",IF(ISBLANK(Catalog!F412),"Missing Creator; ","")&amp;IF(ISBLANK(Catalog!K412),"Missing Type; ","")&amp;IF(ISBLANK(Catalog!L412),"Missing Genre; ","")&amp;IF(ISBLANK(Catalog!W412),"Missing Location Type; ","")&amp;IF(ISBLANK(Catalog!X412),"Missing Location Id; ","")&amp;IF(AND(Catalog!S412&lt;&gt;"",COUNTIF(Catalog!$S$2:$S$501,Catalog!S412)&gt;1),"Duplicate ISBN; ","")&amp;IF(AND(Catalog!B412&lt;&gt;"",COUNTIF(Catalog!$B$2:$B$501,Catalog!B412)&gt;1),"Duplicate Accession; ",""))</f>
        <v/>
      </c>
    </row>
    <row r="437">
      <c r="A437" s="23">
        <f>Catalog!A413</f>
        <v/>
      </c>
      <c r="B437" s="24">
        <f>Catalog!D413</f>
        <v/>
      </c>
      <c r="C437" s="25">
        <f>IF(Catalog!D413="","",IF(ISBLANK(Catalog!F413),"Missing Creator; ","")&amp;IF(ISBLANK(Catalog!K413),"Missing Type; ","")&amp;IF(ISBLANK(Catalog!L413),"Missing Genre; ","")&amp;IF(ISBLANK(Catalog!W413),"Missing Location Type; ","")&amp;IF(ISBLANK(Catalog!X413),"Missing Location Id; ","")&amp;IF(AND(Catalog!S413&lt;&gt;"",COUNTIF(Catalog!$S$2:$S$501,Catalog!S413)&gt;1),"Duplicate ISBN; ","")&amp;IF(AND(Catalog!B413&lt;&gt;"",COUNTIF(Catalog!$B$2:$B$501,Catalog!B413)&gt;1),"Duplicate Accession; ",""))</f>
        <v/>
      </c>
    </row>
    <row r="438">
      <c r="A438" s="23">
        <f>Catalog!A414</f>
        <v/>
      </c>
      <c r="B438" s="24">
        <f>Catalog!D414</f>
        <v/>
      </c>
      <c r="C438" s="25">
        <f>IF(Catalog!D414="","",IF(ISBLANK(Catalog!F414),"Missing Creator; ","")&amp;IF(ISBLANK(Catalog!K414),"Missing Type; ","")&amp;IF(ISBLANK(Catalog!L414),"Missing Genre; ","")&amp;IF(ISBLANK(Catalog!W414),"Missing Location Type; ","")&amp;IF(ISBLANK(Catalog!X414),"Missing Location Id; ","")&amp;IF(AND(Catalog!S414&lt;&gt;"",COUNTIF(Catalog!$S$2:$S$501,Catalog!S414)&gt;1),"Duplicate ISBN; ","")&amp;IF(AND(Catalog!B414&lt;&gt;"",COUNTIF(Catalog!$B$2:$B$501,Catalog!B414)&gt;1),"Duplicate Accession; ",""))</f>
        <v/>
      </c>
    </row>
    <row r="439">
      <c r="A439" s="23">
        <f>Catalog!A415</f>
        <v/>
      </c>
      <c r="B439" s="24">
        <f>Catalog!D415</f>
        <v/>
      </c>
      <c r="C439" s="25">
        <f>IF(Catalog!D415="","",IF(ISBLANK(Catalog!F415),"Missing Creator; ","")&amp;IF(ISBLANK(Catalog!K415),"Missing Type; ","")&amp;IF(ISBLANK(Catalog!L415),"Missing Genre; ","")&amp;IF(ISBLANK(Catalog!W415),"Missing Location Type; ","")&amp;IF(ISBLANK(Catalog!X415),"Missing Location Id; ","")&amp;IF(AND(Catalog!S415&lt;&gt;"",COUNTIF(Catalog!$S$2:$S$501,Catalog!S415)&gt;1),"Duplicate ISBN; ","")&amp;IF(AND(Catalog!B415&lt;&gt;"",COUNTIF(Catalog!$B$2:$B$501,Catalog!B415)&gt;1),"Duplicate Accession; ",""))</f>
        <v/>
      </c>
    </row>
    <row r="440">
      <c r="A440" s="23">
        <f>Catalog!A416</f>
        <v/>
      </c>
      <c r="B440" s="24">
        <f>Catalog!D416</f>
        <v/>
      </c>
      <c r="C440" s="25">
        <f>IF(Catalog!D416="","",IF(ISBLANK(Catalog!F416),"Missing Creator; ","")&amp;IF(ISBLANK(Catalog!K416),"Missing Type; ","")&amp;IF(ISBLANK(Catalog!L416),"Missing Genre; ","")&amp;IF(ISBLANK(Catalog!W416),"Missing Location Type; ","")&amp;IF(ISBLANK(Catalog!X416),"Missing Location Id; ","")&amp;IF(AND(Catalog!S416&lt;&gt;"",COUNTIF(Catalog!$S$2:$S$501,Catalog!S416)&gt;1),"Duplicate ISBN; ","")&amp;IF(AND(Catalog!B416&lt;&gt;"",COUNTIF(Catalog!$B$2:$B$501,Catalog!B416)&gt;1),"Duplicate Accession; ",""))</f>
        <v/>
      </c>
    </row>
    <row r="441">
      <c r="A441" s="23">
        <f>Catalog!A417</f>
        <v/>
      </c>
      <c r="B441" s="24">
        <f>Catalog!D417</f>
        <v/>
      </c>
      <c r="C441" s="25">
        <f>IF(Catalog!D417="","",IF(ISBLANK(Catalog!F417),"Missing Creator; ","")&amp;IF(ISBLANK(Catalog!K417),"Missing Type; ","")&amp;IF(ISBLANK(Catalog!L417),"Missing Genre; ","")&amp;IF(ISBLANK(Catalog!W417),"Missing Location Type; ","")&amp;IF(ISBLANK(Catalog!X417),"Missing Location Id; ","")&amp;IF(AND(Catalog!S417&lt;&gt;"",COUNTIF(Catalog!$S$2:$S$501,Catalog!S417)&gt;1),"Duplicate ISBN; ","")&amp;IF(AND(Catalog!B417&lt;&gt;"",COUNTIF(Catalog!$B$2:$B$501,Catalog!B417)&gt;1),"Duplicate Accession; ",""))</f>
        <v/>
      </c>
    </row>
    <row r="442">
      <c r="A442" s="23">
        <f>Catalog!A418</f>
        <v/>
      </c>
      <c r="B442" s="24">
        <f>Catalog!D418</f>
        <v/>
      </c>
      <c r="C442" s="25">
        <f>IF(Catalog!D418="","",IF(ISBLANK(Catalog!F418),"Missing Creator; ","")&amp;IF(ISBLANK(Catalog!K418),"Missing Type; ","")&amp;IF(ISBLANK(Catalog!L418),"Missing Genre; ","")&amp;IF(ISBLANK(Catalog!W418),"Missing Location Type; ","")&amp;IF(ISBLANK(Catalog!X418),"Missing Location Id; ","")&amp;IF(AND(Catalog!S418&lt;&gt;"",COUNTIF(Catalog!$S$2:$S$501,Catalog!S418)&gt;1),"Duplicate ISBN; ","")&amp;IF(AND(Catalog!B418&lt;&gt;"",COUNTIF(Catalog!$B$2:$B$501,Catalog!B418)&gt;1),"Duplicate Accession; ",""))</f>
        <v/>
      </c>
    </row>
    <row r="443">
      <c r="A443" s="23">
        <f>Catalog!A419</f>
        <v/>
      </c>
      <c r="B443" s="24">
        <f>Catalog!D419</f>
        <v/>
      </c>
      <c r="C443" s="25">
        <f>IF(Catalog!D419="","",IF(ISBLANK(Catalog!F419),"Missing Creator; ","")&amp;IF(ISBLANK(Catalog!K419),"Missing Type; ","")&amp;IF(ISBLANK(Catalog!L419),"Missing Genre; ","")&amp;IF(ISBLANK(Catalog!W419),"Missing Location Type; ","")&amp;IF(ISBLANK(Catalog!X419),"Missing Location Id; ","")&amp;IF(AND(Catalog!S419&lt;&gt;"",COUNTIF(Catalog!$S$2:$S$501,Catalog!S419)&gt;1),"Duplicate ISBN; ","")&amp;IF(AND(Catalog!B419&lt;&gt;"",COUNTIF(Catalog!$B$2:$B$501,Catalog!B419)&gt;1),"Duplicate Accession; ",""))</f>
        <v/>
      </c>
    </row>
    <row r="444">
      <c r="A444" s="23">
        <f>Catalog!A420</f>
        <v/>
      </c>
      <c r="B444" s="24">
        <f>Catalog!D420</f>
        <v/>
      </c>
      <c r="C444" s="25">
        <f>IF(Catalog!D420="","",IF(ISBLANK(Catalog!F420),"Missing Creator; ","")&amp;IF(ISBLANK(Catalog!K420),"Missing Type; ","")&amp;IF(ISBLANK(Catalog!L420),"Missing Genre; ","")&amp;IF(ISBLANK(Catalog!W420),"Missing Location Type; ","")&amp;IF(ISBLANK(Catalog!X420),"Missing Location Id; ","")&amp;IF(AND(Catalog!S420&lt;&gt;"",COUNTIF(Catalog!$S$2:$S$501,Catalog!S420)&gt;1),"Duplicate ISBN; ","")&amp;IF(AND(Catalog!B420&lt;&gt;"",COUNTIF(Catalog!$B$2:$B$501,Catalog!B420)&gt;1),"Duplicate Accession; ",""))</f>
        <v/>
      </c>
    </row>
    <row r="445">
      <c r="A445" s="23">
        <f>Catalog!A421</f>
        <v/>
      </c>
      <c r="B445" s="24">
        <f>Catalog!D421</f>
        <v/>
      </c>
      <c r="C445" s="25">
        <f>IF(Catalog!D421="","",IF(ISBLANK(Catalog!F421),"Missing Creator; ","")&amp;IF(ISBLANK(Catalog!K421),"Missing Type; ","")&amp;IF(ISBLANK(Catalog!L421),"Missing Genre; ","")&amp;IF(ISBLANK(Catalog!W421),"Missing Location Type; ","")&amp;IF(ISBLANK(Catalog!X421),"Missing Location Id; ","")&amp;IF(AND(Catalog!S421&lt;&gt;"",COUNTIF(Catalog!$S$2:$S$501,Catalog!S421)&gt;1),"Duplicate ISBN; ","")&amp;IF(AND(Catalog!B421&lt;&gt;"",COUNTIF(Catalog!$B$2:$B$501,Catalog!B421)&gt;1),"Duplicate Accession; ",""))</f>
        <v/>
      </c>
    </row>
    <row r="446">
      <c r="A446" s="23">
        <f>Catalog!A422</f>
        <v/>
      </c>
      <c r="B446" s="24">
        <f>Catalog!D422</f>
        <v/>
      </c>
      <c r="C446" s="25">
        <f>IF(Catalog!D422="","",IF(ISBLANK(Catalog!F422),"Missing Creator; ","")&amp;IF(ISBLANK(Catalog!K422),"Missing Type; ","")&amp;IF(ISBLANK(Catalog!L422),"Missing Genre; ","")&amp;IF(ISBLANK(Catalog!W422),"Missing Location Type; ","")&amp;IF(ISBLANK(Catalog!X422),"Missing Location Id; ","")&amp;IF(AND(Catalog!S422&lt;&gt;"",COUNTIF(Catalog!$S$2:$S$501,Catalog!S422)&gt;1),"Duplicate ISBN; ","")&amp;IF(AND(Catalog!B422&lt;&gt;"",COUNTIF(Catalog!$B$2:$B$501,Catalog!B422)&gt;1),"Duplicate Accession; ",""))</f>
        <v/>
      </c>
    </row>
    <row r="447">
      <c r="A447" s="23">
        <f>Catalog!A423</f>
        <v/>
      </c>
      <c r="B447" s="24">
        <f>Catalog!D423</f>
        <v/>
      </c>
      <c r="C447" s="25">
        <f>IF(Catalog!D423="","",IF(ISBLANK(Catalog!F423),"Missing Creator; ","")&amp;IF(ISBLANK(Catalog!K423),"Missing Type; ","")&amp;IF(ISBLANK(Catalog!L423),"Missing Genre; ","")&amp;IF(ISBLANK(Catalog!W423),"Missing Location Type; ","")&amp;IF(ISBLANK(Catalog!X423),"Missing Location Id; ","")&amp;IF(AND(Catalog!S423&lt;&gt;"",COUNTIF(Catalog!$S$2:$S$501,Catalog!S423)&gt;1),"Duplicate ISBN; ","")&amp;IF(AND(Catalog!B423&lt;&gt;"",COUNTIF(Catalog!$B$2:$B$501,Catalog!B423)&gt;1),"Duplicate Accession; ",""))</f>
        <v/>
      </c>
    </row>
    <row r="448">
      <c r="A448" s="23">
        <f>Catalog!A424</f>
        <v/>
      </c>
      <c r="B448" s="24">
        <f>Catalog!D424</f>
        <v/>
      </c>
      <c r="C448" s="25">
        <f>IF(Catalog!D424="","",IF(ISBLANK(Catalog!F424),"Missing Creator; ","")&amp;IF(ISBLANK(Catalog!K424),"Missing Type; ","")&amp;IF(ISBLANK(Catalog!L424),"Missing Genre; ","")&amp;IF(ISBLANK(Catalog!W424),"Missing Location Type; ","")&amp;IF(ISBLANK(Catalog!X424),"Missing Location Id; ","")&amp;IF(AND(Catalog!S424&lt;&gt;"",COUNTIF(Catalog!$S$2:$S$501,Catalog!S424)&gt;1),"Duplicate ISBN; ","")&amp;IF(AND(Catalog!B424&lt;&gt;"",COUNTIF(Catalog!$B$2:$B$501,Catalog!B424)&gt;1),"Duplicate Accession; ",""))</f>
        <v/>
      </c>
    </row>
    <row r="449">
      <c r="A449" s="23">
        <f>Catalog!A425</f>
        <v/>
      </c>
      <c r="B449" s="24">
        <f>Catalog!D425</f>
        <v/>
      </c>
      <c r="C449" s="25">
        <f>IF(Catalog!D425="","",IF(ISBLANK(Catalog!F425),"Missing Creator; ","")&amp;IF(ISBLANK(Catalog!K425),"Missing Type; ","")&amp;IF(ISBLANK(Catalog!L425),"Missing Genre; ","")&amp;IF(ISBLANK(Catalog!W425),"Missing Location Type; ","")&amp;IF(ISBLANK(Catalog!X425),"Missing Location Id; ","")&amp;IF(AND(Catalog!S425&lt;&gt;"",COUNTIF(Catalog!$S$2:$S$501,Catalog!S425)&gt;1),"Duplicate ISBN; ","")&amp;IF(AND(Catalog!B425&lt;&gt;"",COUNTIF(Catalog!$B$2:$B$501,Catalog!B425)&gt;1),"Duplicate Accession; ",""))</f>
        <v/>
      </c>
    </row>
    <row r="450">
      <c r="A450" s="23">
        <f>Catalog!A426</f>
        <v/>
      </c>
      <c r="B450" s="24">
        <f>Catalog!D426</f>
        <v/>
      </c>
      <c r="C450" s="25">
        <f>IF(Catalog!D426="","",IF(ISBLANK(Catalog!F426),"Missing Creator; ","")&amp;IF(ISBLANK(Catalog!K426),"Missing Type; ","")&amp;IF(ISBLANK(Catalog!L426),"Missing Genre; ","")&amp;IF(ISBLANK(Catalog!W426),"Missing Location Type; ","")&amp;IF(ISBLANK(Catalog!X426),"Missing Location Id; ","")&amp;IF(AND(Catalog!S426&lt;&gt;"",COUNTIF(Catalog!$S$2:$S$501,Catalog!S426)&gt;1),"Duplicate ISBN; ","")&amp;IF(AND(Catalog!B426&lt;&gt;"",COUNTIF(Catalog!$B$2:$B$501,Catalog!B426)&gt;1),"Duplicate Accession; ",""))</f>
        <v/>
      </c>
    </row>
    <row r="451">
      <c r="A451" s="23">
        <f>Catalog!A427</f>
        <v/>
      </c>
      <c r="B451" s="24">
        <f>Catalog!D427</f>
        <v/>
      </c>
      <c r="C451" s="25">
        <f>IF(Catalog!D427="","",IF(ISBLANK(Catalog!F427),"Missing Creator; ","")&amp;IF(ISBLANK(Catalog!K427),"Missing Type; ","")&amp;IF(ISBLANK(Catalog!L427),"Missing Genre; ","")&amp;IF(ISBLANK(Catalog!W427),"Missing Location Type; ","")&amp;IF(ISBLANK(Catalog!X427),"Missing Location Id; ","")&amp;IF(AND(Catalog!S427&lt;&gt;"",COUNTIF(Catalog!$S$2:$S$501,Catalog!S427)&gt;1),"Duplicate ISBN; ","")&amp;IF(AND(Catalog!B427&lt;&gt;"",COUNTIF(Catalog!$B$2:$B$501,Catalog!B427)&gt;1),"Duplicate Accession; ",""))</f>
        <v/>
      </c>
    </row>
    <row r="452">
      <c r="A452" s="23">
        <f>Catalog!A428</f>
        <v/>
      </c>
      <c r="B452" s="24">
        <f>Catalog!D428</f>
        <v/>
      </c>
      <c r="C452" s="25">
        <f>IF(Catalog!D428="","",IF(ISBLANK(Catalog!F428),"Missing Creator; ","")&amp;IF(ISBLANK(Catalog!K428),"Missing Type; ","")&amp;IF(ISBLANK(Catalog!L428),"Missing Genre; ","")&amp;IF(ISBLANK(Catalog!W428),"Missing Location Type; ","")&amp;IF(ISBLANK(Catalog!X428),"Missing Location Id; ","")&amp;IF(AND(Catalog!S428&lt;&gt;"",COUNTIF(Catalog!$S$2:$S$501,Catalog!S428)&gt;1),"Duplicate ISBN; ","")&amp;IF(AND(Catalog!B428&lt;&gt;"",COUNTIF(Catalog!$B$2:$B$501,Catalog!B428)&gt;1),"Duplicate Accession; ",""))</f>
        <v/>
      </c>
    </row>
    <row r="453">
      <c r="A453" s="23">
        <f>Catalog!A429</f>
        <v/>
      </c>
      <c r="B453" s="24">
        <f>Catalog!D429</f>
        <v/>
      </c>
      <c r="C453" s="25">
        <f>IF(Catalog!D429="","",IF(ISBLANK(Catalog!F429),"Missing Creator; ","")&amp;IF(ISBLANK(Catalog!K429),"Missing Type; ","")&amp;IF(ISBLANK(Catalog!L429),"Missing Genre; ","")&amp;IF(ISBLANK(Catalog!W429),"Missing Location Type; ","")&amp;IF(ISBLANK(Catalog!X429),"Missing Location Id; ","")&amp;IF(AND(Catalog!S429&lt;&gt;"",COUNTIF(Catalog!$S$2:$S$501,Catalog!S429)&gt;1),"Duplicate ISBN; ","")&amp;IF(AND(Catalog!B429&lt;&gt;"",COUNTIF(Catalog!$B$2:$B$501,Catalog!B429)&gt;1),"Duplicate Accession; ",""))</f>
        <v/>
      </c>
    </row>
    <row r="454">
      <c r="A454" s="23">
        <f>Catalog!A430</f>
        <v/>
      </c>
      <c r="B454" s="24">
        <f>Catalog!D430</f>
        <v/>
      </c>
      <c r="C454" s="25">
        <f>IF(Catalog!D430="","",IF(ISBLANK(Catalog!F430),"Missing Creator; ","")&amp;IF(ISBLANK(Catalog!K430),"Missing Type; ","")&amp;IF(ISBLANK(Catalog!L430),"Missing Genre; ","")&amp;IF(ISBLANK(Catalog!W430),"Missing Location Type; ","")&amp;IF(ISBLANK(Catalog!X430),"Missing Location Id; ","")&amp;IF(AND(Catalog!S430&lt;&gt;"",COUNTIF(Catalog!$S$2:$S$501,Catalog!S430)&gt;1),"Duplicate ISBN; ","")&amp;IF(AND(Catalog!B430&lt;&gt;"",COUNTIF(Catalog!$B$2:$B$501,Catalog!B430)&gt;1),"Duplicate Accession; ",""))</f>
        <v/>
      </c>
    </row>
    <row r="455">
      <c r="A455" s="23">
        <f>Catalog!A431</f>
        <v/>
      </c>
      <c r="B455" s="24">
        <f>Catalog!D431</f>
        <v/>
      </c>
      <c r="C455" s="25">
        <f>IF(Catalog!D431="","",IF(ISBLANK(Catalog!F431),"Missing Creator; ","")&amp;IF(ISBLANK(Catalog!K431),"Missing Type; ","")&amp;IF(ISBLANK(Catalog!L431),"Missing Genre; ","")&amp;IF(ISBLANK(Catalog!W431),"Missing Location Type; ","")&amp;IF(ISBLANK(Catalog!X431),"Missing Location Id; ","")&amp;IF(AND(Catalog!S431&lt;&gt;"",COUNTIF(Catalog!$S$2:$S$501,Catalog!S431)&gt;1),"Duplicate ISBN; ","")&amp;IF(AND(Catalog!B431&lt;&gt;"",COUNTIF(Catalog!$B$2:$B$501,Catalog!B431)&gt;1),"Duplicate Accession; ",""))</f>
        <v/>
      </c>
    </row>
    <row r="456">
      <c r="A456" s="23">
        <f>Catalog!A432</f>
        <v/>
      </c>
      <c r="B456" s="24">
        <f>Catalog!D432</f>
        <v/>
      </c>
      <c r="C456" s="25">
        <f>IF(Catalog!D432="","",IF(ISBLANK(Catalog!F432),"Missing Creator; ","")&amp;IF(ISBLANK(Catalog!K432),"Missing Type; ","")&amp;IF(ISBLANK(Catalog!L432),"Missing Genre; ","")&amp;IF(ISBLANK(Catalog!W432),"Missing Location Type; ","")&amp;IF(ISBLANK(Catalog!X432),"Missing Location Id; ","")&amp;IF(AND(Catalog!S432&lt;&gt;"",COUNTIF(Catalog!$S$2:$S$501,Catalog!S432)&gt;1),"Duplicate ISBN; ","")&amp;IF(AND(Catalog!B432&lt;&gt;"",COUNTIF(Catalog!$B$2:$B$501,Catalog!B432)&gt;1),"Duplicate Accession; ",""))</f>
        <v/>
      </c>
    </row>
    <row r="457">
      <c r="A457" s="23">
        <f>Catalog!A433</f>
        <v/>
      </c>
      <c r="B457" s="24">
        <f>Catalog!D433</f>
        <v/>
      </c>
      <c r="C457" s="25">
        <f>IF(Catalog!D433="","",IF(ISBLANK(Catalog!F433),"Missing Creator; ","")&amp;IF(ISBLANK(Catalog!K433),"Missing Type; ","")&amp;IF(ISBLANK(Catalog!L433),"Missing Genre; ","")&amp;IF(ISBLANK(Catalog!W433),"Missing Location Type; ","")&amp;IF(ISBLANK(Catalog!X433),"Missing Location Id; ","")&amp;IF(AND(Catalog!S433&lt;&gt;"",COUNTIF(Catalog!$S$2:$S$501,Catalog!S433)&gt;1),"Duplicate ISBN; ","")&amp;IF(AND(Catalog!B433&lt;&gt;"",COUNTIF(Catalog!$B$2:$B$501,Catalog!B433)&gt;1),"Duplicate Accession; ",""))</f>
        <v/>
      </c>
    </row>
    <row r="458">
      <c r="A458" s="23">
        <f>Catalog!A434</f>
        <v/>
      </c>
      <c r="B458" s="24">
        <f>Catalog!D434</f>
        <v/>
      </c>
      <c r="C458" s="25">
        <f>IF(Catalog!D434="","",IF(ISBLANK(Catalog!F434),"Missing Creator; ","")&amp;IF(ISBLANK(Catalog!K434),"Missing Type; ","")&amp;IF(ISBLANK(Catalog!L434),"Missing Genre; ","")&amp;IF(ISBLANK(Catalog!W434),"Missing Location Type; ","")&amp;IF(ISBLANK(Catalog!X434),"Missing Location Id; ","")&amp;IF(AND(Catalog!S434&lt;&gt;"",COUNTIF(Catalog!$S$2:$S$501,Catalog!S434)&gt;1),"Duplicate ISBN; ","")&amp;IF(AND(Catalog!B434&lt;&gt;"",COUNTIF(Catalog!$B$2:$B$501,Catalog!B434)&gt;1),"Duplicate Accession; ",""))</f>
        <v/>
      </c>
    </row>
    <row r="459">
      <c r="A459" s="23">
        <f>Catalog!A435</f>
        <v/>
      </c>
      <c r="B459" s="24">
        <f>Catalog!D435</f>
        <v/>
      </c>
      <c r="C459" s="25">
        <f>IF(Catalog!D435="","",IF(ISBLANK(Catalog!F435),"Missing Creator; ","")&amp;IF(ISBLANK(Catalog!K435),"Missing Type; ","")&amp;IF(ISBLANK(Catalog!L435),"Missing Genre; ","")&amp;IF(ISBLANK(Catalog!W435),"Missing Location Type; ","")&amp;IF(ISBLANK(Catalog!X435),"Missing Location Id; ","")&amp;IF(AND(Catalog!S435&lt;&gt;"",COUNTIF(Catalog!$S$2:$S$501,Catalog!S435)&gt;1),"Duplicate ISBN; ","")&amp;IF(AND(Catalog!B435&lt;&gt;"",COUNTIF(Catalog!$B$2:$B$501,Catalog!B435)&gt;1),"Duplicate Accession; ",""))</f>
        <v/>
      </c>
    </row>
    <row r="460">
      <c r="A460" s="23">
        <f>Catalog!A436</f>
        <v/>
      </c>
      <c r="B460" s="24">
        <f>Catalog!D436</f>
        <v/>
      </c>
      <c r="C460" s="25">
        <f>IF(Catalog!D436="","",IF(ISBLANK(Catalog!F436),"Missing Creator; ","")&amp;IF(ISBLANK(Catalog!K436),"Missing Type; ","")&amp;IF(ISBLANK(Catalog!L436),"Missing Genre; ","")&amp;IF(ISBLANK(Catalog!W436),"Missing Location Type; ","")&amp;IF(ISBLANK(Catalog!X436),"Missing Location Id; ","")&amp;IF(AND(Catalog!S436&lt;&gt;"",COUNTIF(Catalog!$S$2:$S$501,Catalog!S436)&gt;1),"Duplicate ISBN; ","")&amp;IF(AND(Catalog!B436&lt;&gt;"",COUNTIF(Catalog!$B$2:$B$501,Catalog!B436)&gt;1),"Duplicate Accession; ",""))</f>
        <v/>
      </c>
    </row>
    <row r="461">
      <c r="A461" s="23">
        <f>Catalog!A437</f>
        <v/>
      </c>
      <c r="B461" s="24">
        <f>Catalog!D437</f>
        <v/>
      </c>
      <c r="C461" s="25">
        <f>IF(Catalog!D437="","",IF(ISBLANK(Catalog!F437),"Missing Creator; ","")&amp;IF(ISBLANK(Catalog!K437),"Missing Type; ","")&amp;IF(ISBLANK(Catalog!L437),"Missing Genre; ","")&amp;IF(ISBLANK(Catalog!W437),"Missing Location Type; ","")&amp;IF(ISBLANK(Catalog!X437),"Missing Location Id; ","")&amp;IF(AND(Catalog!S437&lt;&gt;"",COUNTIF(Catalog!$S$2:$S$501,Catalog!S437)&gt;1),"Duplicate ISBN; ","")&amp;IF(AND(Catalog!B437&lt;&gt;"",COUNTIF(Catalog!$B$2:$B$501,Catalog!B437)&gt;1),"Duplicate Accession; ",""))</f>
        <v/>
      </c>
    </row>
    <row r="462">
      <c r="A462" s="23">
        <f>Catalog!A438</f>
        <v/>
      </c>
      <c r="B462" s="24">
        <f>Catalog!D438</f>
        <v/>
      </c>
      <c r="C462" s="25">
        <f>IF(Catalog!D438="","",IF(ISBLANK(Catalog!F438),"Missing Creator; ","")&amp;IF(ISBLANK(Catalog!K438),"Missing Type; ","")&amp;IF(ISBLANK(Catalog!L438),"Missing Genre; ","")&amp;IF(ISBLANK(Catalog!W438),"Missing Location Type; ","")&amp;IF(ISBLANK(Catalog!X438),"Missing Location Id; ","")&amp;IF(AND(Catalog!S438&lt;&gt;"",COUNTIF(Catalog!$S$2:$S$501,Catalog!S438)&gt;1),"Duplicate ISBN; ","")&amp;IF(AND(Catalog!B438&lt;&gt;"",COUNTIF(Catalog!$B$2:$B$501,Catalog!B438)&gt;1),"Duplicate Accession; ",""))</f>
        <v/>
      </c>
    </row>
    <row r="463">
      <c r="A463" s="23">
        <f>Catalog!A439</f>
        <v/>
      </c>
      <c r="B463" s="24">
        <f>Catalog!D439</f>
        <v/>
      </c>
      <c r="C463" s="25">
        <f>IF(Catalog!D439="","",IF(ISBLANK(Catalog!F439),"Missing Creator; ","")&amp;IF(ISBLANK(Catalog!K439),"Missing Type; ","")&amp;IF(ISBLANK(Catalog!L439),"Missing Genre; ","")&amp;IF(ISBLANK(Catalog!W439),"Missing Location Type; ","")&amp;IF(ISBLANK(Catalog!X439),"Missing Location Id; ","")&amp;IF(AND(Catalog!S439&lt;&gt;"",COUNTIF(Catalog!$S$2:$S$501,Catalog!S439)&gt;1),"Duplicate ISBN; ","")&amp;IF(AND(Catalog!B439&lt;&gt;"",COUNTIF(Catalog!$B$2:$B$501,Catalog!B439)&gt;1),"Duplicate Accession; ",""))</f>
        <v/>
      </c>
    </row>
    <row r="464">
      <c r="A464" s="23">
        <f>Catalog!A440</f>
        <v/>
      </c>
      <c r="B464" s="24">
        <f>Catalog!D440</f>
        <v/>
      </c>
      <c r="C464" s="25">
        <f>IF(Catalog!D440="","",IF(ISBLANK(Catalog!F440),"Missing Creator; ","")&amp;IF(ISBLANK(Catalog!K440),"Missing Type; ","")&amp;IF(ISBLANK(Catalog!L440),"Missing Genre; ","")&amp;IF(ISBLANK(Catalog!W440),"Missing Location Type; ","")&amp;IF(ISBLANK(Catalog!X440),"Missing Location Id; ","")&amp;IF(AND(Catalog!S440&lt;&gt;"",COUNTIF(Catalog!$S$2:$S$501,Catalog!S440)&gt;1),"Duplicate ISBN; ","")&amp;IF(AND(Catalog!B440&lt;&gt;"",COUNTIF(Catalog!$B$2:$B$501,Catalog!B440)&gt;1),"Duplicate Accession; ",""))</f>
        <v/>
      </c>
    </row>
    <row r="465">
      <c r="A465" s="23">
        <f>Catalog!A441</f>
        <v/>
      </c>
      <c r="B465" s="24">
        <f>Catalog!D441</f>
        <v/>
      </c>
      <c r="C465" s="25">
        <f>IF(Catalog!D441="","",IF(ISBLANK(Catalog!F441),"Missing Creator; ","")&amp;IF(ISBLANK(Catalog!K441),"Missing Type; ","")&amp;IF(ISBLANK(Catalog!L441),"Missing Genre; ","")&amp;IF(ISBLANK(Catalog!W441),"Missing Location Type; ","")&amp;IF(ISBLANK(Catalog!X441),"Missing Location Id; ","")&amp;IF(AND(Catalog!S441&lt;&gt;"",COUNTIF(Catalog!$S$2:$S$501,Catalog!S441)&gt;1),"Duplicate ISBN; ","")&amp;IF(AND(Catalog!B441&lt;&gt;"",COUNTIF(Catalog!$B$2:$B$501,Catalog!B441)&gt;1),"Duplicate Accession; ",""))</f>
        <v/>
      </c>
    </row>
    <row r="466">
      <c r="A466" s="23">
        <f>Catalog!A442</f>
        <v/>
      </c>
      <c r="B466" s="24">
        <f>Catalog!D442</f>
        <v/>
      </c>
      <c r="C466" s="25">
        <f>IF(Catalog!D442="","",IF(ISBLANK(Catalog!F442),"Missing Creator; ","")&amp;IF(ISBLANK(Catalog!K442),"Missing Type; ","")&amp;IF(ISBLANK(Catalog!L442),"Missing Genre; ","")&amp;IF(ISBLANK(Catalog!W442),"Missing Location Type; ","")&amp;IF(ISBLANK(Catalog!X442),"Missing Location Id; ","")&amp;IF(AND(Catalog!S442&lt;&gt;"",COUNTIF(Catalog!$S$2:$S$501,Catalog!S442)&gt;1),"Duplicate ISBN; ","")&amp;IF(AND(Catalog!B442&lt;&gt;"",COUNTIF(Catalog!$B$2:$B$501,Catalog!B442)&gt;1),"Duplicate Accession; ",""))</f>
        <v/>
      </c>
    </row>
    <row r="467">
      <c r="A467" s="23">
        <f>Catalog!A443</f>
        <v/>
      </c>
      <c r="B467" s="24">
        <f>Catalog!D443</f>
        <v/>
      </c>
      <c r="C467" s="25">
        <f>IF(Catalog!D443="","",IF(ISBLANK(Catalog!F443),"Missing Creator; ","")&amp;IF(ISBLANK(Catalog!K443),"Missing Type; ","")&amp;IF(ISBLANK(Catalog!L443),"Missing Genre; ","")&amp;IF(ISBLANK(Catalog!W443),"Missing Location Type; ","")&amp;IF(ISBLANK(Catalog!X443),"Missing Location Id; ","")&amp;IF(AND(Catalog!S443&lt;&gt;"",COUNTIF(Catalog!$S$2:$S$501,Catalog!S443)&gt;1),"Duplicate ISBN; ","")&amp;IF(AND(Catalog!B443&lt;&gt;"",COUNTIF(Catalog!$B$2:$B$501,Catalog!B443)&gt;1),"Duplicate Accession; ",""))</f>
        <v/>
      </c>
    </row>
    <row r="468">
      <c r="A468" s="23">
        <f>Catalog!A444</f>
        <v/>
      </c>
      <c r="B468" s="24">
        <f>Catalog!D444</f>
        <v/>
      </c>
      <c r="C468" s="25">
        <f>IF(Catalog!D444="","",IF(ISBLANK(Catalog!F444),"Missing Creator; ","")&amp;IF(ISBLANK(Catalog!K444),"Missing Type; ","")&amp;IF(ISBLANK(Catalog!L444),"Missing Genre; ","")&amp;IF(ISBLANK(Catalog!W444),"Missing Location Type; ","")&amp;IF(ISBLANK(Catalog!X444),"Missing Location Id; ","")&amp;IF(AND(Catalog!S444&lt;&gt;"",COUNTIF(Catalog!$S$2:$S$501,Catalog!S444)&gt;1),"Duplicate ISBN; ","")&amp;IF(AND(Catalog!B444&lt;&gt;"",COUNTIF(Catalog!$B$2:$B$501,Catalog!B444)&gt;1),"Duplicate Accession; ",""))</f>
        <v/>
      </c>
    </row>
    <row r="469">
      <c r="A469" s="23">
        <f>Catalog!A445</f>
        <v/>
      </c>
      <c r="B469" s="24">
        <f>Catalog!D445</f>
        <v/>
      </c>
      <c r="C469" s="25">
        <f>IF(Catalog!D445="","",IF(ISBLANK(Catalog!F445),"Missing Creator; ","")&amp;IF(ISBLANK(Catalog!K445),"Missing Type; ","")&amp;IF(ISBLANK(Catalog!L445),"Missing Genre; ","")&amp;IF(ISBLANK(Catalog!W445),"Missing Location Type; ","")&amp;IF(ISBLANK(Catalog!X445),"Missing Location Id; ","")&amp;IF(AND(Catalog!S445&lt;&gt;"",COUNTIF(Catalog!$S$2:$S$501,Catalog!S445)&gt;1),"Duplicate ISBN; ","")&amp;IF(AND(Catalog!B445&lt;&gt;"",COUNTIF(Catalog!$B$2:$B$501,Catalog!B445)&gt;1),"Duplicate Accession; ",""))</f>
        <v/>
      </c>
    </row>
    <row r="470">
      <c r="A470" s="23">
        <f>Catalog!A446</f>
        <v/>
      </c>
      <c r="B470" s="24">
        <f>Catalog!D446</f>
        <v/>
      </c>
      <c r="C470" s="25">
        <f>IF(Catalog!D446="","",IF(ISBLANK(Catalog!F446),"Missing Creator; ","")&amp;IF(ISBLANK(Catalog!K446),"Missing Type; ","")&amp;IF(ISBLANK(Catalog!L446),"Missing Genre; ","")&amp;IF(ISBLANK(Catalog!W446),"Missing Location Type; ","")&amp;IF(ISBLANK(Catalog!X446),"Missing Location Id; ","")&amp;IF(AND(Catalog!S446&lt;&gt;"",COUNTIF(Catalog!$S$2:$S$501,Catalog!S446)&gt;1),"Duplicate ISBN; ","")&amp;IF(AND(Catalog!B446&lt;&gt;"",COUNTIF(Catalog!$B$2:$B$501,Catalog!B446)&gt;1),"Duplicate Accession; ",""))</f>
        <v/>
      </c>
    </row>
    <row r="471">
      <c r="A471" s="23">
        <f>Catalog!A447</f>
        <v/>
      </c>
      <c r="B471" s="24">
        <f>Catalog!D447</f>
        <v/>
      </c>
      <c r="C471" s="25">
        <f>IF(Catalog!D447="","",IF(ISBLANK(Catalog!F447),"Missing Creator; ","")&amp;IF(ISBLANK(Catalog!K447),"Missing Type; ","")&amp;IF(ISBLANK(Catalog!L447),"Missing Genre; ","")&amp;IF(ISBLANK(Catalog!W447),"Missing Location Type; ","")&amp;IF(ISBLANK(Catalog!X447),"Missing Location Id; ","")&amp;IF(AND(Catalog!S447&lt;&gt;"",COUNTIF(Catalog!$S$2:$S$501,Catalog!S447)&gt;1),"Duplicate ISBN; ","")&amp;IF(AND(Catalog!B447&lt;&gt;"",COUNTIF(Catalog!$B$2:$B$501,Catalog!B447)&gt;1),"Duplicate Accession; ",""))</f>
        <v/>
      </c>
    </row>
    <row r="472">
      <c r="A472" s="23">
        <f>Catalog!A448</f>
        <v/>
      </c>
      <c r="B472" s="24">
        <f>Catalog!D448</f>
        <v/>
      </c>
      <c r="C472" s="25">
        <f>IF(Catalog!D448="","",IF(ISBLANK(Catalog!F448),"Missing Creator; ","")&amp;IF(ISBLANK(Catalog!K448),"Missing Type; ","")&amp;IF(ISBLANK(Catalog!L448),"Missing Genre; ","")&amp;IF(ISBLANK(Catalog!W448),"Missing Location Type; ","")&amp;IF(ISBLANK(Catalog!X448),"Missing Location Id; ","")&amp;IF(AND(Catalog!S448&lt;&gt;"",COUNTIF(Catalog!$S$2:$S$501,Catalog!S448)&gt;1),"Duplicate ISBN; ","")&amp;IF(AND(Catalog!B448&lt;&gt;"",COUNTIF(Catalog!$B$2:$B$501,Catalog!B448)&gt;1),"Duplicate Accession; ",""))</f>
        <v/>
      </c>
    </row>
    <row r="473">
      <c r="A473" s="23">
        <f>Catalog!A449</f>
        <v/>
      </c>
      <c r="B473" s="24">
        <f>Catalog!D449</f>
        <v/>
      </c>
      <c r="C473" s="25">
        <f>IF(Catalog!D449="","",IF(ISBLANK(Catalog!F449),"Missing Creator; ","")&amp;IF(ISBLANK(Catalog!K449),"Missing Type; ","")&amp;IF(ISBLANK(Catalog!L449),"Missing Genre; ","")&amp;IF(ISBLANK(Catalog!W449),"Missing Location Type; ","")&amp;IF(ISBLANK(Catalog!X449),"Missing Location Id; ","")&amp;IF(AND(Catalog!S449&lt;&gt;"",COUNTIF(Catalog!$S$2:$S$501,Catalog!S449)&gt;1),"Duplicate ISBN; ","")&amp;IF(AND(Catalog!B449&lt;&gt;"",COUNTIF(Catalog!$B$2:$B$501,Catalog!B449)&gt;1),"Duplicate Accession; ",""))</f>
        <v/>
      </c>
    </row>
    <row r="474">
      <c r="A474" s="23">
        <f>Catalog!A450</f>
        <v/>
      </c>
      <c r="B474" s="24">
        <f>Catalog!D450</f>
        <v/>
      </c>
      <c r="C474" s="25">
        <f>IF(Catalog!D450="","",IF(ISBLANK(Catalog!F450),"Missing Creator; ","")&amp;IF(ISBLANK(Catalog!K450),"Missing Type; ","")&amp;IF(ISBLANK(Catalog!L450),"Missing Genre; ","")&amp;IF(ISBLANK(Catalog!W450),"Missing Location Type; ","")&amp;IF(ISBLANK(Catalog!X450),"Missing Location Id; ","")&amp;IF(AND(Catalog!S450&lt;&gt;"",COUNTIF(Catalog!$S$2:$S$501,Catalog!S450)&gt;1),"Duplicate ISBN; ","")&amp;IF(AND(Catalog!B450&lt;&gt;"",COUNTIF(Catalog!$B$2:$B$501,Catalog!B450)&gt;1),"Duplicate Accession; ",""))</f>
        <v/>
      </c>
    </row>
    <row r="475">
      <c r="A475" s="23">
        <f>Catalog!A451</f>
        <v/>
      </c>
      <c r="B475" s="24">
        <f>Catalog!D451</f>
        <v/>
      </c>
      <c r="C475" s="25">
        <f>IF(Catalog!D451="","",IF(ISBLANK(Catalog!F451),"Missing Creator; ","")&amp;IF(ISBLANK(Catalog!K451),"Missing Type; ","")&amp;IF(ISBLANK(Catalog!L451),"Missing Genre; ","")&amp;IF(ISBLANK(Catalog!W451),"Missing Location Type; ","")&amp;IF(ISBLANK(Catalog!X451),"Missing Location Id; ","")&amp;IF(AND(Catalog!S451&lt;&gt;"",COUNTIF(Catalog!$S$2:$S$501,Catalog!S451)&gt;1),"Duplicate ISBN; ","")&amp;IF(AND(Catalog!B451&lt;&gt;"",COUNTIF(Catalog!$B$2:$B$501,Catalog!B451)&gt;1),"Duplicate Accession; ",""))</f>
        <v/>
      </c>
    </row>
    <row r="476">
      <c r="A476" s="23">
        <f>Catalog!A452</f>
        <v/>
      </c>
      <c r="B476" s="24">
        <f>Catalog!D452</f>
        <v/>
      </c>
      <c r="C476" s="25">
        <f>IF(Catalog!D452="","",IF(ISBLANK(Catalog!F452),"Missing Creator; ","")&amp;IF(ISBLANK(Catalog!K452),"Missing Type; ","")&amp;IF(ISBLANK(Catalog!L452),"Missing Genre; ","")&amp;IF(ISBLANK(Catalog!W452),"Missing Location Type; ","")&amp;IF(ISBLANK(Catalog!X452),"Missing Location Id; ","")&amp;IF(AND(Catalog!S452&lt;&gt;"",COUNTIF(Catalog!$S$2:$S$501,Catalog!S452)&gt;1),"Duplicate ISBN; ","")&amp;IF(AND(Catalog!B452&lt;&gt;"",COUNTIF(Catalog!$B$2:$B$501,Catalog!B452)&gt;1),"Duplicate Accession; ",""))</f>
        <v/>
      </c>
    </row>
    <row r="477">
      <c r="A477" s="23">
        <f>Catalog!A453</f>
        <v/>
      </c>
      <c r="B477" s="24">
        <f>Catalog!D453</f>
        <v/>
      </c>
      <c r="C477" s="25">
        <f>IF(Catalog!D453="","",IF(ISBLANK(Catalog!F453),"Missing Creator; ","")&amp;IF(ISBLANK(Catalog!K453),"Missing Type; ","")&amp;IF(ISBLANK(Catalog!L453),"Missing Genre; ","")&amp;IF(ISBLANK(Catalog!W453),"Missing Location Type; ","")&amp;IF(ISBLANK(Catalog!X453),"Missing Location Id; ","")&amp;IF(AND(Catalog!S453&lt;&gt;"",COUNTIF(Catalog!$S$2:$S$501,Catalog!S453)&gt;1),"Duplicate ISBN; ","")&amp;IF(AND(Catalog!B453&lt;&gt;"",COUNTIF(Catalog!$B$2:$B$501,Catalog!B453)&gt;1),"Duplicate Accession; ",""))</f>
        <v/>
      </c>
    </row>
    <row r="478">
      <c r="A478" s="23">
        <f>Catalog!A454</f>
        <v/>
      </c>
      <c r="B478" s="24">
        <f>Catalog!D454</f>
        <v/>
      </c>
      <c r="C478" s="25">
        <f>IF(Catalog!D454="","",IF(ISBLANK(Catalog!F454),"Missing Creator; ","")&amp;IF(ISBLANK(Catalog!K454),"Missing Type; ","")&amp;IF(ISBLANK(Catalog!L454),"Missing Genre; ","")&amp;IF(ISBLANK(Catalog!W454),"Missing Location Type; ","")&amp;IF(ISBLANK(Catalog!X454),"Missing Location Id; ","")&amp;IF(AND(Catalog!S454&lt;&gt;"",COUNTIF(Catalog!$S$2:$S$501,Catalog!S454)&gt;1),"Duplicate ISBN; ","")&amp;IF(AND(Catalog!B454&lt;&gt;"",COUNTIF(Catalog!$B$2:$B$501,Catalog!B454)&gt;1),"Duplicate Accession; ",""))</f>
        <v/>
      </c>
    </row>
    <row r="479">
      <c r="A479" s="23">
        <f>Catalog!A455</f>
        <v/>
      </c>
      <c r="B479" s="24">
        <f>Catalog!D455</f>
        <v/>
      </c>
      <c r="C479" s="25">
        <f>IF(Catalog!D455="","",IF(ISBLANK(Catalog!F455),"Missing Creator; ","")&amp;IF(ISBLANK(Catalog!K455),"Missing Type; ","")&amp;IF(ISBLANK(Catalog!L455),"Missing Genre; ","")&amp;IF(ISBLANK(Catalog!W455),"Missing Location Type; ","")&amp;IF(ISBLANK(Catalog!X455),"Missing Location Id; ","")&amp;IF(AND(Catalog!S455&lt;&gt;"",COUNTIF(Catalog!$S$2:$S$501,Catalog!S455)&gt;1),"Duplicate ISBN; ","")&amp;IF(AND(Catalog!B455&lt;&gt;"",COUNTIF(Catalog!$B$2:$B$501,Catalog!B455)&gt;1),"Duplicate Accession; ",""))</f>
        <v/>
      </c>
    </row>
    <row r="480">
      <c r="A480" s="23">
        <f>Catalog!A456</f>
        <v/>
      </c>
      <c r="B480" s="24">
        <f>Catalog!D456</f>
        <v/>
      </c>
      <c r="C480" s="25">
        <f>IF(Catalog!D456="","",IF(ISBLANK(Catalog!F456),"Missing Creator; ","")&amp;IF(ISBLANK(Catalog!K456),"Missing Type; ","")&amp;IF(ISBLANK(Catalog!L456),"Missing Genre; ","")&amp;IF(ISBLANK(Catalog!W456),"Missing Location Type; ","")&amp;IF(ISBLANK(Catalog!X456),"Missing Location Id; ","")&amp;IF(AND(Catalog!S456&lt;&gt;"",COUNTIF(Catalog!$S$2:$S$501,Catalog!S456)&gt;1),"Duplicate ISBN; ","")&amp;IF(AND(Catalog!B456&lt;&gt;"",COUNTIF(Catalog!$B$2:$B$501,Catalog!B456)&gt;1),"Duplicate Accession; ",""))</f>
        <v/>
      </c>
    </row>
    <row r="481">
      <c r="A481" s="23">
        <f>Catalog!A457</f>
        <v/>
      </c>
      <c r="B481" s="24">
        <f>Catalog!D457</f>
        <v/>
      </c>
      <c r="C481" s="25">
        <f>IF(Catalog!D457="","",IF(ISBLANK(Catalog!F457),"Missing Creator; ","")&amp;IF(ISBLANK(Catalog!K457),"Missing Type; ","")&amp;IF(ISBLANK(Catalog!L457),"Missing Genre; ","")&amp;IF(ISBLANK(Catalog!W457),"Missing Location Type; ","")&amp;IF(ISBLANK(Catalog!X457),"Missing Location Id; ","")&amp;IF(AND(Catalog!S457&lt;&gt;"",COUNTIF(Catalog!$S$2:$S$501,Catalog!S457)&gt;1),"Duplicate ISBN; ","")&amp;IF(AND(Catalog!B457&lt;&gt;"",COUNTIF(Catalog!$B$2:$B$501,Catalog!B457)&gt;1),"Duplicate Accession; ",""))</f>
        <v/>
      </c>
    </row>
    <row r="482">
      <c r="A482" s="23">
        <f>Catalog!A458</f>
        <v/>
      </c>
      <c r="B482" s="24">
        <f>Catalog!D458</f>
        <v/>
      </c>
      <c r="C482" s="25">
        <f>IF(Catalog!D458="","",IF(ISBLANK(Catalog!F458),"Missing Creator; ","")&amp;IF(ISBLANK(Catalog!K458),"Missing Type; ","")&amp;IF(ISBLANK(Catalog!L458),"Missing Genre; ","")&amp;IF(ISBLANK(Catalog!W458),"Missing Location Type; ","")&amp;IF(ISBLANK(Catalog!X458),"Missing Location Id; ","")&amp;IF(AND(Catalog!S458&lt;&gt;"",COUNTIF(Catalog!$S$2:$S$501,Catalog!S458)&gt;1),"Duplicate ISBN; ","")&amp;IF(AND(Catalog!B458&lt;&gt;"",COUNTIF(Catalog!$B$2:$B$501,Catalog!B458)&gt;1),"Duplicate Accession; ",""))</f>
        <v/>
      </c>
    </row>
    <row r="483">
      <c r="A483" s="23">
        <f>Catalog!A459</f>
        <v/>
      </c>
      <c r="B483" s="24">
        <f>Catalog!D459</f>
        <v/>
      </c>
      <c r="C483" s="25">
        <f>IF(Catalog!D459="","",IF(ISBLANK(Catalog!F459),"Missing Creator; ","")&amp;IF(ISBLANK(Catalog!K459),"Missing Type; ","")&amp;IF(ISBLANK(Catalog!L459),"Missing Genre; ","")&amp;IF(ISBLANK(Catalog!W459),"Missing Location Type; ","")&amp;IF(ISBLANK(Catalog!X459),"Missing Location Id; ","")&amp;IF(AND(Catalog!S459&lt;&gt;"",COUNTIF(Catalog!$S$2:$S$501,Catalog!S459)&gt;1),"Duplicate ISBN; ","")&amp;IF(AND(Catalog!B459&lt;&gt;"",COUNTIF(Catalog!$B$2:$B$501,Catalog!B459)&gt;1),"Duplicate Accession; ",""))</f>
        <v/>
      </c>
    </row>
    <row r="484">
      <c r="A484" s="23">
        <f>Catalog!A460</f>
        <v/>
      </c>
      <c r="B484" s="24">
        <f>Catalog!D460</f>
        <v/>
      </c>
      <c r="C484" s="25">
        <f>IF(Catalog!D460="","",IF(ISBLANK(Catalog!F460),"Missing Creator; ","")&amp;IF(ISBLANK(Catalog!K460),"Missing Type; ","")&amp;IF(ISBLANK(Catalog!L460),"Missing Genre; ","")&amp;IF(ISBLANK(Catalog!W460),"Missing Location Type; ","")&amp;IF(ISBLANK(Catalog!X460),"Missing Location Id; ","")&amp;IF(AND(Catalog!S460&lt;&gt;"",COUNTIF(Catalog!$S$2:$S$501,Catalog!S460)&gt;1),"Duplicate ISBN; ","")&amp;IF(AND(Catalog!B460&lt;&gt;"",COUNTIF(Catalog!$B$2:$B$501,Catalog!B460)&gt;1),"Duplicate Accession; ",""))</f>
        <v/>
      </c>
    </row>
    <row r="485">
      <c r="A485" s="23">
        <f>Catalog!A461</f>
        <v/>
      </c>
      <c r="B485" s="24">
        <f>Catalog!D461</f>
        <v/>
      </c>
      <c r="C485" s="25">
        <f>IF(Catalog!D461="","",IF(ISBLANK(Catalog!F461),"Missing Creator; ","")&amp;IF(ISBLANK(Catalog!K461),"Missing Type; ","")&amp;IF(ISBLANK(Catalog!L461),"Missing Genre; ","")&amp;IF(ISBLANK(Catalog!W461),"Missing Location Type; ","")&amp;IF(ISBLANK(Catalog!X461),"Missing Location Id; ","")&amp;IF(AND(Catalog!S461&lt;&gt;"",COUNTIF(Catalog!$S$2:$S$501,Catalog!S461)&gt;1),"Duplicate ISBN; ","")&amp;IF(AND(Catalog!B461&lt;&gt;"",COUNTIF(Catalog!$B$2:$B$501,Catalog!B461)&gt;1),"Duplicate Accession; ",""))</f>
        <v/>
      </c>
    </row>
    <row r="486">
      <c r="A486" s="23">
        <f>Catalog!A462</f>
        <v/>
      </c>
      <c r="B486" s="24">
        <f>Catalog!D462</f>
        <v/>
      </c>
      <c r="C486" s="25">
        <f>IF(Catalog!D462="","",IF(ISBLANK(Catalog!F462),"Missing Creator; ","")&amp;IF(ISBLANK(Catalog!K462),"Missing Type; ","")&amp;IF(ISBLANK(Catalog!L462),"Missing Genre; ","")&amp;IF(ISBLANK(Catalog!W462),"Missing Location Type; ","")&amp;IF(ISBLANK(Catalog!X462),"Missing Location Id; ","")&amp;IF(AND(Catalog!S462&lt;&gt;"",COUNTIF(Catalog!$S$2:$S$501,Catalog!S462)&gt;1),"Duplicate ISBN; ","")&amp;IF(AND(Catalog!B462&lt;&gt;"",COUNTIF(Catalog!$B$2:$B$501,Catalog!B462)&gt;1),"Duplicate Accession; ",""))</f>
        <v/>
      </c>
    </row>
    <row r="487">
      <c r="A487" s="23">
        <f>Catalog!A463</f>
        <v/>
      </c>
      <c r="B487" s="24">
        <f>Catalog!D463</f>
        <v/>
      </c>
      <c r="C487" s="25">
        <f>IF(Catalog!D463="","",IF(ISBLANK(Catalog!F463),"Missing Creator; ","")&amp;IF(ISBLANK(Catalog!K463),"Missing Type; ","")&amp;IF(ISBLANK(Catalog!L463),"Missing Genre; ","")&amp;IF(ISBLANK(Catalog!W463),"Missing Location Type; ","")&amp;IF(ISBLANK(Catalog!X463),"Missing Location Id; ","")&amp;IF(AND(Catalog!S463&lt;&gt;"",COUNTIF(Catalog!$S$2:$S$501,Catalog!S463)&gt;1),"Duplicate ISBN; ","")&amp;IF(AND(Catalog!B463&lt;&gt;"",COUNTIF(Catalog!$B$2:$B$501,Catalog!B463)&gt;1),"Duplicate Accession; ",""))</f>
        <v/>
      </c>
    </row>
    <row r="488">
      <c r="A488" s="23">
        <f>Catalog!A464</f>
        <v/>
      </c>
      <c r="B488" s="24">
        <f>Catalog!D464</f>
        <v/>
      </c>
      <c r="C488" s="25">
        <f>IF(Catalog!D464="","",IF(ISBLANK(Catalog!F464),"Missing Creator; ","")&amp;IF(ISBLANK(Catalog!K464),"Missing Type; ","")&amp;IF(ISBLANK(Catalog!L464),"Missing Genre; ","")&amp;IF(ISBLANK(Catalog!W464),"Missing Location Type; ","")&amp;IF(ISBLANK(Catalog!X464),"Missing Location Id; ","")&amp;IF(AND(Catalog!S464&lt;&gt;"",COUNTIF(Catalog!$S$2:$S$501,Catalog!S464)&gt;1),"Duplicate ISBN; ","")&amp;IF(AND(Catalog!B464&lt;&gt;"",COUNTIF(Catalog!$B$2:$B$501,Catalog!B464)&gt;1),"Duplicate Accession; ",""))</f>
        <v/>
      </c>
    </row>
    <row r="489">
      <c r="A489" s="23">
        <f>Catalog!A465</f>
        <v/>
      </c>
      <c r="B489" s="24">
        <f>Catalog!D465</f>
        <v/>
      </c>
      <c r="C489" s="25">
        <f>IF(Catalog!D465="","",IF(ISBLANK(Catalog!F465),"Missing Creator; ","")&amp;IF(ISBLANK(Catalog!K465),"Missing Type; ","")&amp;IF(ISBLANK(Catalog!L465),"Missing Genre; ","")&amp;IF(ISBLANK(Catalog!W465),"Missing Location Type; ","")&amp;IF(ISBLANK(Catalog!X465),"Missing Location Id; ","")&amp;IF(AND(Catalog!S465&lt;&gt;"",COUNTIF(Catalog!$S$2:$S$501,Catalog!S465)&gt;1),"Duplicate ISBN; ","")&amp;IF(AND(Catalog!B465&lt;&gt;"",COUNTIF(Catalog!$B$2:$B$501,Catalog!B465)&gt;1),"Duplicate Accession; ",""))</f>
        <v/>
      </c>
    </row>
    <row r="490">
      <c r="A490" s="23">
        <f>Catalog!A466</f>
        <v/>
      </c>
      <c r="B490" s="24">
        <f>Catalog!D466</f>
        <v/>
      </c>
      <c r="C490" s="25">
        <f>IF(Catalog!D466="","",IF(ISBLANK(Catalog!F466),"Missing Creator; ","")&amp;IF(ISBLANK(Catalog!K466),"Missing Type; ","")&amp;IF(ISBLANK(Catalog!L466),"Missing Genre; ","")&amp;IF(ISBLANK(Catalog!W466),"Missing Location Type; ","")&amp;IF(ISBLANK(Catalog!X466),"Missing Location Id; ","")&amp;IF(AND(Catalog!S466&lt;&gt;"",COUNTIF(Catalog!$S$2:$S$501,Catalog!S466)&gt;1),"Duplicate ISBN; ","")&amp;IF(AND(Catalog!B466&lt;&gt;"",COUNTIF(Catalog!$B$2:$B$501,Catalog!B466)&gt;1),"Duplicate Accession; ",""))</f>
        <v/>
      </c>
    </row>
    <row r="491">
      <c r="A491" s="23">
        <f>Catalog!A467</f>
        <v/>
      </c>
      <c r="B491" s="24">
        <f>Catalog!D467</f>
        <v/>
      </c>
      <c r="C491" s="25">
        <f>IF(Catalog!D467="","",IF(ISBLANK(Catalog!F467),"Missing Creator; ","")&amp;IF(ISBLANK(Catalog!K467),"Missing Type; ","")&amp;IF(ISBLANK(Catalog!L467),"Missing Genre; ","")&amp;IF(ISBLANK(Catalog!W467),"Missing Location Type; ","")&amp;IF(ISBLANK(Catalog!X467),"Missing Location Id; ","")&amp;IF(AND(Catalog!S467&lt;&gt;"",COUNTIF(Catalog!$S$2:$S$501,Catalog!S467)&gt;1),"Duplicate ISBN; ","")&amp;IF(AND(Catalog!B467&lt;&gt;"",COUNTIF(Catalog!$B$2:$B$501,Catalog!B467)&gt;1),"Duplicate Accession; ",""))</f>
        <v/>
      </c>
    </row>
    <row r="492">
      <c r="A492" s="23">
        <f>Catalog!A468</f>
        <v/>
      </c>
      <c r="B492" s="24">
        <f>Catalog!D468</f>
        <v/>
      </c>
      <c r="C492" s="25">
        <f>IF(Catalog!D468="","",IF(ISBLANK(Catalog!F468),"Missing Creator; ","")&amp;IF(ISBLANK(Catalog!K468),"Missing Type; ","")&amp;IF(ISBLANK(Catalog!L468),"Missing Genre; ","")&amp;IF(ISBLANK(Catalog!W468),"Missing Location Type; ","")&amp;IF(ISBLANK(Catalog!X468),"Missing Location Id; ","")&amp;IF(AND(Catalog!S468&lt;&gt;"",COUNTIF(Catalog!$S$2:$S$501,Catalog!S468)&gt;1),"Duplicate ISBN; ","")&amp;IF(AND(Catalog!B468&lt;&gt;"",COUNTIF(Catalog!$B$2:$B$501,Catalog!B468)&gt;1),"Duplicate Accession; ",""))</f>
        <v/>
      </c>
    </row>
    <row r="493">
      <c r="A493" s="23">
        <f>Catalog!A469</f>
        <v/>
      </c>
      <c r="B493" s="24">
        <f>Catalog!D469</f>
        <v/>
      </c>
      <c r="C493" s="25">
        <f>IF(Catalog!D469="","",IF(ISBLANK(Catalog!F469),"Missing Creator; ","")&amp;IF(ISBLANK(Catalog!K469),"Missing Type; ","")&amp;IF(ISBLANK(Catalog!L469),"Missing Genre; ","")&amp;IF(ISBLANK(Catalog!W469),"Missing Location Type; ","")&amp;IF(ISBLANK(Catalog!X469),"Missing Location Id; ","")&amp;IF(AND(Catalog!S469&lt;&gt;"",COUNTIF(Catalog!$S$2:$S$501,Catalog!S469)&gt;1),"Duplicate ISBN; ","")&amp;IF(AND(Catalog!B469&lt;&gt;"",COUNTIF(Catalog!$B$2:$B$501,Catalog!B469)&gt;1),"Duplicate Accession; ",""))</f>
        <v/>
      </c>
    </row>
    <row r="494">
      <c r="A494" s="23">
        <f>Catalog!A470</f>
        <v/>
      </c>
      <c r="B494" s="24">
        <f>Catalog!D470</f>
        <v/>
      </c>
      <c r="C494" s="25">
        <f>IF(Catalog!D470="","",IF(ISBLANK(Catalog!F470),"Missing Creator; ","")&amp;IF(ISBLANK(Catalog!K470),"Missing Type; ","")&amp;IF(ISBLANK(Catalog!L470),"Missing Genre; ","")&amp;IF(ISBLANK(Catalog!W470),"Missing Location Type; ","")&amp;IF(ISBLANK(Catalog!X470),"Missing Location Id; ","")&amp;IF(AND(Catalog!S470&lt;&gt;"",COUNTIF(Catalog!$S$2:$S$501,Catalog!S470)&gt;1),"Duplicate ISBN; ","")&amp;IF(AND(Catalog!B470&lt;&gt;"",COUNTIF(Catalog!$B$2:$B$501,Catalog!B470)&gt;1),"Duplicate Accession; ",""))</f>
        <v/>
      </c>
    </row>
    <row r="495">
      <c r="A495" s="23">
        <f>Catalog!A471</f>
        <v/>
      </c>
      <c r="B495" s="24">
        <f>Catalog!D471</f>
        <v/>
      </c>
      <c r="C495" s="25">
        <f>IF(Catalog!D471="","",IF(ISBLANK(Catalog!F471),"Missing Creator; ","")&amp;IF(ISBLANK(Catalog!K471),"Missing Type; ","")&amp;IF(ISBLANK(Catalog!L471),"Missing Genre; ","")&amp;IF(ISBLANK(Catalog!W471),"Missing Location Type; ","")&amp;IF(ISBLANK(Catalog!X471),"Missing Location Id; ","")&amp;IF(AND(Catalog!S471&lt;&gt;"",COUNTIF(Catalog!$S$2:$S$501,Catalog!S471)&gt;1),"Duplicate ISBN; ","")&amp;IF(AND(Catalog!B471&lt;&gt;"",COUNTIF(Catalog!$B$2:$B$501,Catalog!B471)&gt;1),"Duplicate Accession; ",""))</f>
        <v/>
      </c>
    </row>
    <row r="496">
      <c r="A496" s="23">
        <f>Catalog!A472</f>
        <v/>
      </c>
      <c r="B496" s="24">
        <f>Catalog!D472</f>
        <v/>
      </c>
      <c r="C496" s="25">
        <f>IF(Catalog!D472="","",IF(ISBLANK(Catalog!F472),"Missing Creator; ","")&amp;IF(ISBLANK(Catalog!K472),"Missing Type; ","")&amp;IF(ISBLANK(Catalog!L472),"Missing Genre; ","")&amp;IF(ISBLANK(Catalog!W472),"Missing Location Type; ","")&amp;IF(ISBLANK(Catalog!X472),"Missing Location Id; ","")&amp;IF(AND(Catalog!S472&lt;&gt;"",COUNTIF(Catalog!$S$2:$S$501,Catalog!S472)&gt;1),"Duplicate ISBN; ","")&amp;IF(AND(Catalog!B472&lt;&gt;"",COUNTIF(Catalog!$B$2:$B$501,Catalog!B472)&gt;1),"Duplicate Accession; ",""))</f>
        <v/>
      </c>
    </row>
    <row r="497">
      <c r="A497" s="23">
        <f>Catalog!A473</f>
        <v/>
      </c>
      <c r="B497" s="24">
        <f>Catalog!D473</f>
        <v/>
      </c>
      <c r="C497" s="25">
        <f>IF(Catalog!D473="","",IF(ISBLANK(Catalog!F473),"Missing Creator; ","")&amp;IF(ISBLANK(Catalog!K473),"Missing Type; ","")&amp;IF(ISBLANK(Catalog!L473),"Missing Genre; ","")&amp;IF(ISBLANK(Catalog!W473),"Missing Location Type; ","")&amp;IF(ISBLANK(Catalog!X473),"Missing Location Id; ","")&amp;IF(AND(Catalog!S473&lt;&gt;"",COUNTIF(Catalog!$S$2:$S$501,Catalog!S473)&gt;1),"Duplicate ISBN; ","")&amp;IF(AND(Catalog!B473&lt;&gt;"",COUNTIF(Catalog!$B$2:$B$501,Catalog!B473)&gt;1),"Duplicate Accession; ",""))</f>
        <v/>
      </c>
    </row>
    <row r="498">
      <c r="A498" s="23">
        <f>Catalog!A474</f>
        <v/>
      </c>
      <c r="B498" s="24">
        <f>Catalog!D474</f>
        <v/>
      </c>
      <c r="C498" s="25">
        <f>IF(Catalog!D474="","",IF(ISBLANK(Catalog!F474),"Missing Creator; ","")&amp;IF(ISBLANK(Catalog!K474),"Missing Type; ","")&amp;IF(ISBLANK(Catalog!L474),"Missing Genre; ","")&amp;IF(ISBLANK(Catalog!W474),"Missing Location Type; ","")&amp;IF(ISBLANK(Catalog!X474),"Missing Location Id; ","")&amp;IF(AND(Catalog!S474&lt;&gt;"",COUNTIF(Catalog!$S$2:$S$501,Catalog!S474)&gt;1),"Duplicate ISBN; ","")&amp;IF(AND(Catalog!B474&lt;&gt;"",COUNTIF(Catalog!$B$2:$B$501,Catalog!B474)&gt;1),"Duplicate Accession; ",""))</f>
        <v/>
      </c>
    </row>
    <row r="499">
      <c r="A499" s="23">
        <f>Catalog!A475</f>
        <v/>
      </c>
      <c r="B499" s="24">
        <f>Catalog!D475</f>
        <v/>
      </c>
      <c r="C499" s="25">
        <f>IF(Catalog!D475="","",IF(ISBLANK(Catalog!F475),"Missing Creator; ","")&amp;IF(ISBLANK(Catalog!K475),"Missing Type; ","")&amp;IF(ISBLANK(Catalog!L475),"Missing Genre; ","")&amp;IF(ISBLANK(Catalog!W475),"Missing Location Type; ","")&amp;IF(ISBLANK(Catalog!X475),"Missing Location Id; ","")&amp;IF(AND(Catalog!S475&lt;&gt;"",COUNTIF(Catalog!$S$2:$S$501,Catalog!S475)&gt;1),"Duplicate ISBN; ","")&amp;IF(AND(Catalog!B475&lt;&gt;"",COUNTIF(Catalog!$B$2:$B$501,Catalog!B475)&gt;1),"Duplicate Accession; ",""))</f>
        <v/>
      </c>
    </row>
    <row r="500">
      <c r="A500" s="23">
        <f>Catalog!A476</f>
        <v/>
      </c>
      <c r="B500" s="24">
        <f>Catalog!D476</f>
        <v/>
      </c>
      <c r="C500" s="25">
        <f>IF(Catalog!D476="","",IF(ISBLANK(Catalog!F476),"Missing Creator; ","")&amp;IF(ISBLANK(Catalog!K476),"Missing Type; ","")&amp;IF(ISBLANK(Catalog!L476),"Missing Genre; ","")&amp;IF(ISBLANK(Catalog!W476),"Missing Location Type; ","")&amp;IF(ISBLANK(Catalog!X476),"Missing Location Id; ","")&amp;IF(AND(Catalog!S476&lt;&gt;"",COUNTIF(Catalog!$S$2:$S$501,Catalog!S476)&gt;1),"Duplicate ISBN; ","")&amp;IF(AND(Catalog!B476&lt;&gt;"",COUNTIF(Catalog!$B$2:$B$501,Catalog!B476)&gt;1),"Duplicate Accession; ",""))</f>
        <v/>
      </c>
    </row>
    <row r="501">
      <c r="A501" s="23">
        <f>Catalog!A477</f>
        <v/>
      </c>
      <c r="B501" s="24">
        <f>Catalog!D477</f>
        <v/>
      </c>
      <c r="C501" s="25">
        <f>IF(Catalog!D477="","",IF(ISBLANK(Catalog!F477),"Missing Creator; ","")&amp;IF(ISBLANK(Catalog!K477),"Missing Type; ","")&amp;IF(ISBLANK(Catalog!L477),"Missing Genre; ","")&amp;IF(ISBLANK(Catalog!W477),"Missing Location Type; ","")&amp;IF(ISBLANK(Catalog!X477),"Missing Location Id; ","")&amp;IF(AND(Catalog!S477&lt;&gt;"",COUNTIF(Catalog!$S$2:$S$501,Catalog!S477)&gt;1),"Duplicate ISBN; ","")&amp;IF(AND(Catalog!B477&lt;&gt;"",COUNTIF(Catalog!$B$2:$B$501,Catalog!B477)&gt;1),"Duplicate Accession; ",""))</f>
        <v/>
      </c>
    </row>
    <row r="502">
      <c r="A502" s="23">
        <f>Catalog!A478</f>
        <v/>
      </c>
      <c r="B502" s="24">
        <f>Catalog!D478</f>
        <v/>
      </c>
      <c r="C502" s="25">
        <f>IF(Catalog!D478="","",IF(ISBLANK(Catalog!F478),"Missing Creator; ","")&amp;IF(ISBLANK(Catalog!K478),"Missing Type; ","")&amp;IF(ISBLANK(Catalog!L478),"Missing Genre; ","")&amp;IF(ISBLANK(Catalog!W478),"Missing Location Type; ","")&amp;IF(ISBLANK(Catalog!X478),"Missing Location Id; ","")&amp;IF(AND(Catalog!S478&lt;&gt;"",COUNTIF(Catalog!$S$2:$S$501,Catalog!S478)&gt;1),"Duplicate ISBN; ","")&amp;IF(AND(Catalog!B478&lt;&gt;"",COUNTIF(Catalog!$B$2:$B$501,Catalog!B478)&gt;1),"Duplicate Accession; ",""))</f>
        <v/>
      </c>
    </row>
    <row r="503">
      <c r="A503" s="23">
        <f>Catalog!A479</f>
        <v/>
      </c>
      <c r="B503" s="24">
        <f>Catalog!D479</f>
        <v/>
      </c>
      <c r="C503" s="25">
        <f>IF(Catalog!D479="","",IF(ISBLANK(Catalog!F479),"Missing Creator; ","")&amp;IF(ISBLANK(Catalog!K479),"Missing Type; ","")&amp;IF(ISBLANK(Catalog!L479),"Missing Genre; ","")&amp;IF(ISBLANK(Catalog!W479),"Missing Location Type; ","")&amp;IF(ISBLANK(Catalog!X479),"Missing Location Id; ","")&amp;IF(AND(Catalog!S479&lt;&gt;"",COUNTIF(Catalog!$S$2:$S$501,Catalog!S479)&gt;1),"Duplicate ISBN; ","")&amp;IF(AND(Catalog!B479&lt;&gt;"",COUNTIF(Catalog!$B$2:$B$501,Catalog!B479)&gt;1),"Duplicate Accession; ",""))</f>
        <v/>
      </c>
    </row>
    <row r="504">
      <c r="A504" s="23">
        <f>Catalog!A480</f>
        <v/>
      </c>
      <c r="B504" s="24">
        <f>Catalog!D480</f>
        <v/>
      </c>
      <c r="C504" s="25">
        <f>IF(Catalog!D480="","",IF(ISBLANK(Catalog!F480),"Missing Creator; ","")&amp;IF(ISBLANK(Catalog!K480),"Missing Type; ","")&amp;IF(ISBLANK(Catalog!L480),"Missing Genre; ","")&amp;IF(ISBLANK(Catalog!W480),"Missing Location Type; ","")&amp;IF(ISBLANK(Catalog!X480),"Missing Location Id; ","")&amp;IF(AND(Catalog!S480&lt;&gt;"",COUNTIF(Catalog!$S$2:$S$501,Catalog!S480)&gt;1),"Duplicate ISBN; ","")&amp;IF(AND(Catalog!B480&lt;&gt;"",COUNTIF(Catalog!$B$2:$B$501,Catalog!B480)&gt;1),"Duplicate Accession; ",""))</f>
        <v/>
      </c>
    </row>
    <row r="505">
      <c r="A505" s="23">
        <f>Catalog!A481</f>
        <v/>
      </c>
      <c r="B505" s="24">
        <f>Catalog!D481</f>
        <v/>
      </c>
      <c r="C505" s="25">
        <f>IF(Catalog!D481="","",IF(ISBLANK(Catalog!F481),"Missing Creator; ","")&amp;IF(ISBLANK(Catalog!K481),"Missing Type; ","")&amp;IF(ISBLANK(Catalog!L481),"Missing Genre; ","")&amp;IF(ISBLANK(Catalog!W481),"Missing Location Type; ","")&amp;IF(ISBLANK(Catalog!X481),"Missing Location Id; ","")&amp;IF(AND(Catalog!S481&lt;&gt;"",COUNTIF(Catalog!$S$2:$S$501,Catalog!S481)&gt;1),"Duplicate ISBN; ","")&amp;IF(AND(Catalog!B481&lt;&gt;"",COUNTIF(Catalog!$B$2:$B$501,Catalog!B481)&gt;1),"Duplicate Accession; ",""))</f>
        <v/>
      </c>
    </row>
    <row r="506">
      <c r="A506" s="23">
        <f>Catalog!A482</f>
        <v/>
      </c>
      <c r="B506" s="24">
        <f>Catalog!D482</f>
        <v/>
      </c>
      <c r="C506" s="25">
        <f>IF(Catalog!D482="","",IF(ISBLANK(Catalog!F482),"Missing Creator; ","")&amp;IF(ISBLANK(Catalog!K482),"Missing Type; ","")&amp;IF(ISBLANK(Catalog!L482),"Missing Genre; ","")&amp;IF(ISBLANK(Catalog!W482),"Missing Location Type; ","")&amp;IF(ISBLANK(Catalog!X482),"Missing Location Id; ","")&amp;IF(AND(Catalog!S482&lt;&gt;"",COUNTIF(Catalog!$S$2:$S$501,Catalog!S482)&gt;1),"Duplicate ISBN; ","")&amp;IF(AND(Catalog!B482&lt;&gt;"",COUNTIF(Catalog!$B$2:$B$501,Catalog!B482)&gt;1),"Duplicate Accession; ",""))</f>
        <v/>
      </c>
    </row>
    <row r="507">
      <c r="A507" s="23">
        <f>Catalog!A483</f>
        <v/>
      </c>
      <c r="B507" s="24">
        <f>Catalog!D483</f>
        <v/>
      </c>
      <c r="C507" s="25">
        <f>IF(Catalog!D483="","",IF(ISBLANK(Catalog!F483),"Missing Creator; ","")&amp;IF(ISBLANK(Catalog!K483),"Missing Type; ","")&amp;IF(ISBLANK(Catalog!L483),"Missing Genre; ","")&amp;IF(ISBLANK(Catalog!W483),"Missing Location Type; ","")&amp;IF(ISBLANK(Catalog!X483),"Missing Location Id; ","")&amp;IF(AND(Catalog!S483&lt;&gt;"",COUNTIF(Catalog!$S$2:$S$501,Catalog!S483)&gt;1),"Duplicate ISBN; ","")&amp;IF(AND(Catalog!B483&lt;&gt;"",COUNTIF(Catalog!$B$2:$B$501,Catalog!B483)&gt;1),"Duplicate Accession; ",""))</f>
        <v/>
      </c>
    </row>
    <row r="508">
      <c r="A508" s="23">
        <f>Catalog!A484</f>
        <v/>
      </c>
      <c r="B508" s="24">
        <f>Catalog!D484</f>
        <v/>
      </c>
      <c r="C508" s="25">
        <f>IF(Catalog!D484="","",IF(ISBLANK(Catalog!F484),"Missing Creator; ","")&amp;IF(ISBLANK(Catalog!K484),"Missing Type; ","")&amp;IF(ISBLANK(Catalog!L484),"Missing Genre; ","")&amp;IF(ISBLANK(Catalog!W484),"Missing Location Type; ","")&amp;IF(ISBLANK(Catalog!X484),"Missing Location Id; ","")&amp;IF(AND(Catalog!S484&lt;&gt;"",COUNTIF(Catalog!$S$2:$S$501,Catalog!S484)&gt;1),"Duplicate ISBN; ","")&amp;IF(AND(Catalog!B484&lt;&gt;"",COUNTIF(Catalog!$B$2:$B$501,Catalog!B484)&gt;1),"Duplicate Accession; ",""))</f>
        <v/>
      </c>
    </row>
    <row r="509">
      <c r="A509" s="23">
        <f>Catalog!A485</f>
        <v/>
      </c>
      <c r="B509" s="24">
        <f>Catalog!D485</f>
        <v/>
      </c>
      <c r="C509" s="25">
        <f>IF(Catalog!D485="","",IF(ISBLANK(Catalog!F485),"Missing Creator; ","")&amp;IF(ISBLANK(Catalog!K485),"Missing Type; ","")&amp;IF(ISBLANK(Catalog!L485),"Missing Genre; ","")&amp;IF(ISBLANK(Catalog!W485),"Missing Location Type; ","")&amp;IF(ISBLANK(Catalog!X485),"Missing Location Id; ","")&amp;IF(AND(Catalog!S485&lt;&gt;"",COUNTIF(Catalog!$S$2:$S$501,Catalog!S485)&gt;1),"Duplicate ISBN; ","")&amp;IF(AND(Catalog!B485&lt;&gt;"",COUNTIF(Catalog!$B$2:$B$501,Catalog!B485)&gt;1),"Duplicate Accession; ",""))</f>
        <v/>
      </c>
    </row>
    <row r="510">
      <c r="A510" s="23">
        <f>Catalog!A486</f>
        <v/>
      </c>
      <c r="B510" s="24">
        <f>Catalog!D486</f>
        <v/>
      </c>
      <c r="C510" s="25">
        <f>IF(Catalog!D486="","",IF(ISBLANK(Catalog!F486),"Missing Creator; ","")&amp;IF(ISBLANK(Catalog!K486),"Missing Type; ","")&amp;IF(ISBLANK(Catalog!L486),"Missing Genre; ","")&amp;IF(ISBLANK(Catalog!W486),"Missing Location Type; ","")&amp;IF(ISBLANK(Catalog!X486),"Missing Location Id; ","")&amp;IF(AND(Catalog!S486&lt;&gt;"",COUNTIF(Catalog!$S$2:$S$501,Catalog!S486)&gt;1),"Duplicate ISBN; ","")&amp;IF(AND(Catalog!B486&lt;&gt;"",COUNTIF(Catalog!$B$2:$B$501,Catalog!B486)&gt;1),"Duplicate Accession; ",""))</f>
        <v/>
      </c>
    </row>
    <row r="511">
      <c r="A511" s="23">
        <f>Catalog!A487</f>
        <v/>
      </c>
      <c r="B511" s="24">
        <f>Catalog!D487</f>
        <v/>
      </c>
      <c r="C511" s="25">
        <f>IF(Catalog!D487="","",IF(ISBLANK(Catalog!F487),"Missing Creator; ","")&amp;IF(ISBLANK(Catalog!K487),"Missing Type; ","")&amp;IF(ISBLANK(Catalog!L487),"Missing Genre; ","")&amp;IF(ISBLANK(Catalog!W487),"Missing Location Type; ","")&amp;IF(ISBLANK(Catalog!X487),"Missing Location Id; ","")&amp;IF(AND(Catalog!S487&lt;&gt;"",COUNTIF(Catalog!$S$2:$S$501,Catalog!S487)&gt;1),"Duplicate ISBN; ","")&amp;IF(AND(Catalog!B487&lt;&gt;"",COUNTIF(Catalog!$B$2:$B$501,Catalog!B487)&gt;1),"Duplicate Accession; ",""))</f>
        <v/>
      </c>
    </row>
    <row r="512">
      <c r="A512" s="23">
        <f>Catalog!A488</f>
        <v/>
      </c>
      <c r="B512" s="24">
        <f>Catalog!D488</f>
        <v/>
      </c>
      <c r="C512" s="25">
        <f>IF(Catalog!D488="","",IF(ISBLANK(Catalog!F488),"Missing Creator; ","")&amp;IF(ISBLANK(Catalog!K488),"Missing Type; ","")&amp;IF(ISBLANK(Catalog!L488),"Missing Genre; ","")&amp;IF(ISBLANK(Catalog!W488),"Missing Location Type; ","")&amp;IF(ISBLANK(Catalog!X488),"Missing Location Id; ","")&amp;IF(AND(Catalog!S488&lt;&gt;"",COUNTIF(Catalog!$S$2:$S$501,Catalog!S488)&gt;1),"Duplicate ISBN; ","")&amp;IF(AND(Catalog!B488&lt;&gt;"",COUNTIF(Catalog!$B$2:$B$501,Catalog!B488)&gt;1),"Duplicate Accession; ",""))</f>
        <v/>
      </c>
    </row>
    <row r="513">
      <c r="A513" s="23">
        <f>Catalog!A489</f>
        <v/>
      </c>
      <c r="B513" s="24">
        <f>Catalog!D489</f>
        <v/>
      </c>
      <c r="C513" s="25">
        <f>IF(Catalog!D489="","",IF(ISBLANK(Catalog!F489),"Missing Creator; ","")&amp;IF(ISBLANK(Catalog!K489),"Missing Type; ","")&amp;IF(ISBLANK(Catalog!L489),"Missing Genre; ","")&amp;IF(ISBLANK(Catalog!W489),"Missing Location Type; ","")&amp;IF(ISBLANK(Catalog!X489),"Missing Location Id; ","")&amp;IF(AND(Catalog!S489&lt;&gt;"",COUNTIF(Catalog!$S$2:$S$501,Catalog!S489)&gt;1),"Duplicate ISBN; ","")&amp;IF(AND(Catalog!B489&lt;&gt;"",COUNTIF(Catalog!$B$2:$B$501,Catalog!B489)&gt;1),"Duplicate Accession; ",""))</f>
        <v/>
      </c>
    </row>
    <row r="514">
      <c r="A514" s="23">
        <f>Catalog!A490</f>
        <v/>
      </c>
      <c r="B514" s="24">
        <f>Catalog!D490</f>
        <v/>
      </c>
      <c r="C514" s="25">
        <f>IF(Catalog!D490="","",IF(ISBLANK(Catalog!F490),"Missing Creator; ","")&amp;IF(ISBLANK(Catalog!K490),"Missing Type; ","")&amp;IF(ISBLANK(Catalog!L490),"Missing Genre; ","")&amp;IF(ISBLANK(Catalog!W490),"Missing Location Type; ","")&amp;IF(ISBLANK(Catalog!X490),"Missing Location Id; ","")&amp;IF(AND(Catalog!S490&lt;&gt;"",COUNTIF(Catalog!$S$2:$S$501,Catalog!S490)&gt;1),"Duplicate ISBN; ","")&amp;IF(AND(Catalog!B490&lt;&gt;"",COUNTIF(Catalog!$B$2:$B$501,Catalog!B490)&gt;1),"Duplicate Accession; ",""))</f>
        <v/>
      </c>
    </row>
    <row r="515">
      <c r="A515" s="23">
        <f>Catalog!A491</f>
        <v/>
      </c>
      <c r="B515" s="24">
        <f>Catalog!D491</f>
        <v/>
      </c>
      <c r="C515" s="25">
        <f>IF(Catalog!D491="","",IF(ISBLANK(Catalog!F491),"Missing Creator; ","")&amp;IF(ISBLANK(Catalog!K491),"Missing Type; ","")&amp;IF(ISBLANK(Catalog!L491),"Missing Genre; ","")&amp;IF(ISBLANK(Catalog!W491),"Missing Location Type; ","")&amp;IF(ISBLANK(Catalog!X491),"Missing Location Id; ","")&amp;IF(AND(Catalog!S491&lt;&gt;"",COUNTIF(Catalog!$S$2:$S$501,Catalog!S491)&gt;1),"Duplicate ISBN; ","")&amp;IF(AND(Catalog!B491&lt;&gt;"",COUNTIF(Catalog!$B$2:$B$501,Catalog!B491)&gt;1),"Duplicate Accession; ",""))</f>
        <v/>
      </c>
    </row>
    <row r="516">
      <c r="A516" s="23">
        <f>Catalog!A492</f>
        <v/>
      </c>
      <c r="B516" s="24">
        <f>Catalog!D492</f>
        <v/>
      </c>
      <c r="C516" s="25">
        <f>IF(Catalog!D492="","",IF(ISBLANK(Catalog!F492),"Missing Creator; ","")&amp;IF(ISBLANK(Catalog!K492),"Missing Type; ","")&amp;IF(ISBLANK(Catalog!L492),"Missing Genre; ","")&amp;IF(ISBLANK(Catalog!W492),"Missing Location Type; ","")&amp;IF(ISBLANK(Catalog!X492),"Missing Location Id; ","")&amp;IF(AND(Catalog!S492&lt;&gt;"",COUNTIF(Catalog!$S$2:$S$501,Catalog!S492)&gt;1),"Duplicate ISBN; ","")&amp;IF(AND(Catalog!B492&lt;&gt;"",COUNTIF(Catalog!$B$2:$B$501,Catalog!B492)&gt;1),"Duplicate Accession; ",""))</f>
        <v/>
      </c>
    </row>
    <row r="517">
      <c r="A517" s="23">
        <f>Catalog!A493</f>
        <v/>
      </c>
      <c r="B517" s="24">
        <f>Catalog!D493</f>
        <v/>
      </c>
      <c r="C517" s="25">
        <f>IF(Catalog!D493="","",IF(ISBLANK(Catalog!F493),"Missing Creator; ","")&amp;IF(ISBLANK(Catalog!K493),"Missing Type; ","")&amp;IF(ISBLANK(Catalog!L493),"Missing Genre; ","")&amp;IF(ISBLANK(Catalog!W493),"Missing Location Type; ","")&amp;IF(ISBLANK(Catalog!X493),"Missing Location Id; ","")&amp;IF(AND(Catalog!S493&lt;&gt;"",COUNTIF(Catalog!$S$2:$S$501,Catalog!S493)&gt;1),"Duplicate ISBN; ","")&amp;IF(AND(Catalog!B493&lt;&gt;"",COUNTIF(Catalog!$B$2:$B$501,Catalog!B493)&gt;1),"Duplicate Accession; ",""))</f>
        <v/>
      </c>
    </row>
    <row r="518">
      <c r="A518" s="23">
        <f>Catalog!A494</f>
        <v/>
      </c>
      <c r="B518" s="24">
        <f>Catalog!D494</f>
        <v/>
      </c>
      <c r="C518" s="25">
        <f>IF(Catalog!D494="","",IF(ISBLANK(Catalog!F494),"Missing Creator; ","")&amp;IF(ISBLANK(Catalog!K494),"Missing Type; ","")&amp;IF(ISBLANK(Catalog!L494),"Missing Genre; ","")&amp;IF(ISBLANK(Catalog!W494),"Missing Location Type; ","")&amp;IF(ISBLANK(Catalog!X494),"Missing Location Id; ","")&amp;IF(AND(Catalog!S494&lt;&gt;"",COUNTIF(Catalog!$S$2:$S$501,Catalog!S494)&gt;1),"Duplicate ISBN; ","")&amp;IF(AND(Catalog!B494&lt;&gt;"",COUNTIF(Catalog!$B$2:$B$501,Catalog!B494)&gt;1),"Duplicate Accession; ",""))</f>
        <v/>
      </c>
    </row>
    <row r="519">
      <c r="A519" s="23">
        <f>Catalog!A495</f>
        <v/>
      </c>
      <c r="B519" s="24">
        <f>Catalog!D495</f>
        <v/>
      </c>
      <c r="C519" s="25">
        <f>IF(Catalog!D495="","",IF(ISBLANK(Catalog!F495),"Missing Creator; ","")&amp;IF(ISBLANK(Catalog!K495),"Missing Type; ","")&amp;IF(ISBLANK(Catalog!L495),"Missing Genre; ","")&amp;IF(ISBLANK(Catalog!W495),"Missing Location Type; ","")&amp;IF(ISBLANK(Catalog!X495),"Missing Location Id; ","")&amp;IF(AND(Catalog!S495&lt;&gt;"",COUNTIF(Catalog!$S$2:$S$501,Catalog!S495)&gt;1),"Duplicate ISBN; ","")&amp;IF(AND(Catalog!B495&lt;&gt;"",COUNTIF(Catalog!$B$2:$B$501,Catalog!B495)&gt;1),"Duplicate Accession; ",""))</f>
        <v/>
      </c>
    </row>
    <row r="520">
      <c r="A520" s="23">
        <f>Catalog!A496</f>
        <v/>
      </c>
      <c r="B520" s="24">
        <f>Catalog!D496</f>
        <v/>
      </c>
      <c r="C520" s="25">
        <f>IF(Catalog!D496="","",IF(ISBLANK(Catalog!F496),"Missing Creator; ","")&amp;IF(ISBLANK(Catalog!K496),"Missing Type; ","")&amp;IF(ISBLANK(Catalog!L496),"Missing Genre; ","")&amp;IF(ISBLANK(Catalog!W496),"Missing Location Type; ","")&amp;IF(ISBLANK(Catalog!X496),"Missing Location Id; ","")&amp;IF(AND(Catalog!S496&lt;&gt;"",COUNTIF(Catalog!$S$2:$S$501,Catalog!S496)&gt;1),"Duplicate ISBN; ","")&amp;IF(AND(Catalog!B496&lt;&gt;"",COUNTIF(Catalog!$B$2:$B$501,Catalog!B496)&gt;1),"Duplicate Accession; ",""))</f>
        <v/>
      </c>
    </row>
    <row r="521">
      <c r="A521" s="23">
        <f>Catalog!A497</f>
        <v/>
      </c>
      <c r="B521" s="24">
        <f>Catalog!D497</f>
        <v/>
      </c>
      <c r="C521" s="25">
        <f>IF(Catalog!D497="","",IF(ISBLANK(Catalog!F497),"Missing Creator; ","")&amp;IF(ISBLANK(Catalog!K497),"Missing Type; ","")&amp;IF(ISBLANK(Catalog!L497),"Missing Genre; ","")&amp;IF(ISBLANK(Catalog!W497),"Missing Location Type; ","")&amp;IF(ISBLANK(Catalog!X497),"Missing Location Id; ","")&amp;IF(AND(Catalog!S497&lt;&gt;"",COUNTIF(Catalog!$S$2:$S$501,Catalog!S497)&gt;1),"Duplicate ISBN; ","")&amp;IF(AND(Catalog!B497&lt;&gt;"",COUNTIF(Catalog!$B$2:$B$501,Catalog!B497)&gt;1),"Duplicate Accession; ",""))</f>
        <v/>
      </c>
    </row>
    <row r="522">
      <c r="A522" s="23">
        <f>Catalog!A498</f>
        <v/>
      </c>
      <c r="B522" s="24">
        <f>Catalog!D498</f>
        <v/>
      </c>
      <c r="C522" s="25">
        <f>IF(Catalog!D498="","",IF(ISBLANK(Catalog!F498),"Missing Creator; ","")&amp;IF(ISBLANK(Catalog!K498),"Missing Type; ","")&amp;IF(ISBLANK(Catalog!L498),"Missing Genre; ","")&amp;IF(ISBLANK(Catalog!W498),"Missing Location Type; ","")&amp;IF(ISBLANK(Catalog!X498),"Missing Location Id; ","")&amp;IF(AND(Catalog!S498&lt;&gt;"",COUNTIF(Catalog!$S$2:$S$501,Catalog!S498)&gt;1),"Duplicate ISBN; ","")&amp;IF(AND(Catalog!B498&lt;&gt;"",COUNTIF(Catalog!$B$2:$B$501,Catalog!B498)&gt;1),"Duplicate Accession; ",""))</f>
        <v/>
      </c>
    </row>
    <row r="523">
      <c r="A523" s="23">
        <f>Catalog!A499</f>
        <v/>
      </c>
      <c r="B523" s="24">
        <f>Catalog!D499</f>
        <v/>
      </c>
      <c r="C523" s="25">
        <f>IF(Catalog!D499="","",IF(ISBLANK(Catalog!F499),"Missing Creator; ","")&amp;IF(ISBLANK(Catalog!K499),"Missing Type; ","")&amp;IF(ISBLANK(Catalog!L499),"Missing Genre; ","")&amp;IF(ISBLANK(Catalog!W499),"Missing Location Type; ","")&amp;IF(ISBLANK(Catalog!X499),"Missing Location Id; ","")&amp;IF(AND(Catalog!S499&lt;&gt;"",COUNTIF(Catalog!$S$2:$S$501,Catalog!S499)&gt;1),"Duplicate ISBN; ","")&amp;IF(AND(Catalog!B499&lt;&gt;"",COUNTIF(Catalog!$B$2:$B$501,Catalog!B499)&gt;1),"Duplicate Accession; ",""))</f>
        <v/>
      </c>
    </row>
    <row r="524">
      <c r="A524" s="23">
        <f>Catalog!A500</f>
        <v/>
      </c>
      <c r="B524" s="24">
        <f>Catalog!D500</f>
        <v/>
      </c>
      <c r="C524" s="25">
        <f>IF(Catalog!D500="","",IF(ISBLANK(Catalog!F500),"Missing Creator; ","")&amp;IF(ISBLANK(Catalog!K500),"Missing Type; ","")&amp;IF(ISBLANK(Catalog!L500),"Missing Genre; ","")&amp;IF(ISBLANK(Catalog!W500),"Missing Location Type; ","")&amp;IF(ISBLANK(Catalog!X500),"Missing Location Id; ","")&amp;IF(AND(Catalog!S500&lt;&gt;"",COUNTIF(Catalog!$S$2:$S$501,Catalog!S500)&gt;1),"Duplicate ISBN; ","")&amp;IF(AND(Catalog!B500&lt;&gt;"",COUNTIF(Catalog!$B$2:$B$501,Catalog!B500)&gt;1),"Duplicate Accession; ",""))</f>
        <v/>
      </c>
    </row>
    <row r="525">
      <c r="A525" s="23">
        <f>Catalog!A501</f>
        <v/>
      </c>
      <c r="B525" s="24">
        <f>Catalog!D501</f>
        <v/>
      </c>
      <c r="C525" s="25">
        <f>IF(Catalog!D501="","",IF(ISBLANK(Catalog!F501),"Missing Creator; ","")&amp;IF(ISBLANK(Catalog!K501),"Missing Type; ","")&amp;IF(ISBLANK(Catalog!L501),"Missing Genre; ","")&amp;IF(ISBLANK(Catalog!W501),"Missing Location Type; ","")&amp;IF(ISBLANK(Catalog!X501),"Missing Location Id; ","")&amp;IF(AND(Catalog!S501&lt;&gt;"",COUNTIF(Catalog!$S$2:$S$501,Catalog!S501)&gt;1),"Duplicate ISBN; ","")&amp;IF(AND(Catalog!B501&lt;&gt;"",COUNTIF(Catalog!$B$2:$B$501,Catalog!B501)&gt;1),"Duplicate Accession; ",""))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720"/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4" customWidth="1" min="4" max="4"/>
    <col width="36" customWidth="1" min="5" max="5"/>
    <col width="16" customWidth="1" min="6" max="6"/>
  </cols>
  <sheetData>
    <row r="2" ht="36" customHeight="1">
      <c r="B2" s="5" t="inlineStr">
        <is>
          <t>PERSONAL LIBRARY MANAGER &amp; DIGITAL ARCHIVE</t>
        </is>
      </c>
    </row>
    <row r="3" ht="24" customHeight="1">
      <c r="B3" s="26" t="inlineStr">
        <is>
          <t>Dashboard</t>
        </is>
      </c>
    </row>
    <row r="5" ht="26" customHeight="1">
      <c r="B5" s="27" t="inlineStr">
        <is>
          <t>COLLECTION</t>
        </is>
      </c>
      <c r="E5" s="28" t="inlineStr">
        <is>
          <t>METADATA</t>
        </is>
      </c>
    </row>
    <row r="6">
      <c r="B6" s="29" t="inlineStr">
        <is>
          <t>Physical items</t>
        </is>
      </c>
      <c r="C6" s="21">
        <f>COUNTA(Catalog!A2:A501)</f>
        <v/>
      </c>
      <c r="E6" s="29" t="inlineStr">
        <is>
          <t>Missing titles</t>
        </is>
      </c>
      <c r="F6" s="21">
        <f>COUNTA(Catalog!A2:A501)-COUNTA(Catalog!D2:D501)</f>
        <v/>
      </c>
    </row>
    <row r="7">
      <c r="B7" s="29" t="inlineStr">
        <is>
          <t>Digital resources</t>
        </is>
      </c>
      <c r="C7" s="21">
        <f>COUNTA(Digital_Catalog!A2:A501)</f>
        <v/>
      </c>
      <c r="E7" s="29" t="inlineStr">
        <is>
          <t>Missing creators</t>
        </is>
      </c>
      <c r="F7" s="21">
        <f>SUMPRODUCT((Catalog!D2:D501&lt;&gt;"")*(Catalog!F2:F501=""))</f>
        <v/>
      </c>
    </row>
    <row r="8">
      <c r="B8" s="29" t="inlineStr">
        <is>
          <t>Archive objects</t>
        </is>
      </c>
      <c r="C8" s="21">
        <f>COUNTA(Archive!A2:A201)</f>
        <v/>
      </c>
      <c r="E8" s="29" t="inlineStr">
        <is>
          <t>Missing locations</t>
        </is>
      </c>
      <c r="F8" s="21">
        <f>SUMPRODUCT((Catalog!D2:D501&lt;&gt;"")*(Catalog!W2:W501=""))</f>
        <v/>
      </c>
    </row>
    <row r="9">
      <c r="B9" s="29" t="inlineStr">
        <is>
          <t>Books</t>
        </is>
      </c>
      <c r="C9" s="21">
        <f>COUNTIF(Catalog!K2:K501,"Book")</f>
        <v/>
      </c>
      <c r="E9" s="29" t="inlineStr">
        <is>
          <t>Duplicate ISBNs</t>
        </is>
      </c>
      <c r="F9" s="21">
        <f>SUMPRODUCT((Catalog!S2:S501&lt;&gt;"")*(COUNTIF(Catalog!S2:S501,Catalog!S2:S501)&gt;1))/2</f>
        <v/>
      </c>
    </row>
    <row r="10">
      <c r="B10" s="29" t="inlineStr">
        <is>
          <t>Magazines</t>
        </is>
      </c>
      <c r="C10" s="21">
        <f>COUNTIF(Catalog!K2:K501,"Magazine")</f>
        <v/>
      </c>
      <c r="E10" s="29" t="inlineStr">
        <is>
          <t>Duplicate Accessions</t>
        </is>
      </c>
      <c r="F10" s="21">
        <f>SUMPRODUCT((Catalog!B2:B501&lt;&gt;"")*(COUNTIF(Catalog!B2:B501,Catalog!B2:B501)&gt;1))/2</f>
        <v/>
      </c>
    </row>
    <row r="11">
      <c r="B11" s="29" t="inlineStr">
        <is>
          <t>Journals</t>
        </is>
      </c>
      <c r="C11" s="21">
        <f>COUNTIF(Catalog!K2:K501,"Journal")</f>
        <v/>
      </c>
    </row>
    <row r="12">
      <c r="B12" s="29" t="inlineStr">
        <is>
          <t>Other materials</t>
        </is>
      </c>
      <c r="C12" s="21">
        <f>COUNTA(Catalog!A2:A501)-COUNTIF(Catalog!K2:K501,"Book")-COUNTIF(Catalog!K2:K501,"Magazine")-COUNTIF(Catalog!K2:K501,"Journal")</f>
        <v/>
      </c>
    </row>
    <row r="15" ht="26" customHeight="1">
      <c r="B15" s="27" t="inlineStr">
        <is>
          <t>READING STATUS</t>
        </is>
      </c>
      <c r="E15" s="28" t="inlineStr">
        <is>
          <t>CIRCULATION</t>
        </is>
      </c>
    </row>
    <row r="16">
      <c r="B16" s="29" t="inlineStr">
        <is>
          <t>Read</t>
        </is>
      </c>
      <c r="C16" s="21">
        <f>COUNTIF(Digital_Catalog!Z2:Z501,"Read")</f>
        <v/>
      </c>
      <c r="E16" s="29" t="inlineStr">
        <is>
          <t>Available</t>
        </is>
      </c>
      <c r="F16" s="21">
        <f>COUNTIF(Catalog!Z2:Z501,"Available")</f>
        <v/>
      </c>
    </row>
    <row r="17">
      <c r="B17" s="29" t="inlineStr">
        <is>
          <t>Reading</t>
        </is>
      </c>
      <c r="C17" s="21">
        <f>COUNTIF(Digital_Catalog!Z2:Z501,"Reading")</f>
        <v/>
      </c>
      <c r="E17" s="29" t="inlineStr">
        <is>
          <t>On Loan</t>
        </is>
      </c>
      <c r="F17" s="21">
        <f>COUNTIF(Catalog!Z2:Z501,"On Loan")</f>
        <v/>
      </c>
    </row>
    <row r="18">
      <c r="B18" s="29" t="inlineStr">
        <is>
          <t>Unread</t>
        </is>
      </c>
      <c r="C18" s="21">
        <f>COUNTIF(Digital_Catalog!Z2:Z501,"Unread")</f>
        <v/>
      </c>
      <c r="E18" s="29" t="inlineStr">
        <is>
          <t>Overdue</t>
        </is>
      </c>
      <c r="F18" s="21">
        <f>COUNTIF(Circulation!H2:H501,"Overdue")</f>
        <v/>
      </c>
    </row>
    <row r="20" ht="26" customHeight="1">
      <c r="B20" s="27" t="inlineStr">
        <is>
          <t>ARCHIVE BY COLLECTION</t>
        </is>
      </c>
      <c r="E20" s="28" t="inlineStr">
        <is>
          <t>DIGITISATION</t>
        </is>
      </c>
    </row>
    <row r="21">
      <c r="B21" s="29" t="inlineStr">
        <is>
          <t>Manuscripts</t>
        </is>
      </c>
      <c r="C21" s="21">
        <f>COUNTIF(Archive!U2:U201,"Manuscripts")</f>
        <v/>
      </c>
      <c r="E21" s="29" t="inlineStr">
        <is>
          <t>Physical archive only</t>
        </is>
      </c>
      <c r="F21" s="21">
        <f>COUNTIF(Archive!G2:G201,"Physical")</f>
        <v/>
      </c>
    </row>
    <row r="22">
      <c r="B22" s="29" t="inlineStr">
        <is>
          <t>Photographs</t>
        </is>
      </c>
      <c r="C22" s="21">
        <f>COUNTIF(Archive!U2:U201,"Photographs")</f>
        <v/>
      </c>
      <c r="E22" s="29" t="inlineStr">
        <is>
          <t>Digital archive only</t>
        </is>
      </c>
      <c r="F22" s="21">
        <f>COUNTIF(Archive!G2:G201,"Digital")</f>
        <v/>
      </c>
    </row>
    <row r="23">
      <c r="B23" s="29" t="inlineStr">
        <is>
          <t>Audio</t>
        </is>
      </c>
      <c r="C23" s="21">
        <f>COUNTIF(Archive!U2:U201,"Audio")</f>
        <v/>
      </c>
      <c r="E23" s="29" t="inlineStr">
        <is>
          <t>Both</t>
        </is>
      </c>
      <c r="F23" s="21">
        <f>COUNTIF(Archive!G2:G201,"Both")</f>
        <v/>
      </c>
    </row>
    <row r="24">
      <c r="B24" s="29" t="inlineStr">
        <is>
          <t>Video</t>
        </is>
      </c>
      <c r="C24" s="21">
        <f>COUNTIF(Archive!U2:U201,"Video")</f>
        <v/>
      </c>
      <c r="E24" s="29" t="inlineStr">
        <is>
          <t>OCR Pending</t>
        </is>
      </c>
      <c r="F24" s="21">
        <f>COUNTIF(Archive!P2:P201,"OCR Pending")</f>
        <v/>
      </c>
    </row>
    <row r="25">
      <c r="B25" s="29" t="inlineStr">
        <is>
          <t>Sculptures</t>
        </is>
      </c>
      <c r="C25" s="21">
        <f>COUNTIF(Archive!U2:U201,"Sculptures")</f>
        <v/>
      </c>
      <c r="E25" s="29" t="inlineStr">
        <is>
          <t>OCR Complete</t>
        </is>
      </c>
      <c r="F25" s="21">
        <f>COUNTIF(Archive!P2:P201,"OCR Complete")</f>
        <v/>
      </c>
    </row>
    <row r="26">
      <c r="B26" s="29" t="inlineStr">
        <is>
          <t>Textiles</t>
        </is>
      </c>
      <c r="C26" s="21">
        <f>COUNTIF(Archive!U2:U201,"Textiles")</f>
        <v/>
      </c>
    </row>
    <row r="27">
      <c r="B27" s="29" t="inlineStr">
        <is>
          <t>Other</t>
        </is>
      </c>
      <c r="C27" s="21">
        <f>COUNTA(Archive!B2:B201)-SUM(COUNTIF(Archive!U2:U201,{"Manuscripts","Photographs","Audio","Video","Sculptures","Textiles"}))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720"/>
  <mergeCells count="8">
    <mergeCell ref="E20:F20"/>
    <mergeCell ref="B15:C15"/>
    <mergeCell ref="B2:F2"/>
    <mergeCell ref="E15:F15"/>
    <mergeCell ref="B5:C5"/>
    <mergeCell ref="B20:C20"/>
    <mergeCell ref="B3:F3"/>
    <mergeCell ref="E5:F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70" customWidth="1" min="4" max="4"/>
  </cols>
  <sheetData>
    <row r="1" ht="32" customHeight="1">
      <c r="A1" s="5" t="inlineStr">
        <is>
          <t>STRUCTURED EXPORT FOR JSON / CSV PIPELINE</t>
        </is>
      </c>
    </row>
    <row r="3">
      <c r="A3" s="30" t="inlineStr">
        <is>
          <t>Flattened view of the Catalog for conversion to JSON by a future Python or Node script. Field names use snake_case.</t>
        </is>
      </c>
    </row>
    <row r="5">
      <c r="A5" s="19" t="inlineStr">
        <is>
          <t>item_id</t>
        </is>
      </c>
      <c r="B5" s="19" t="inlineStr">
        <is>
          <t>title</t>
        </is>
      </c>
      <c r="C5" s="19" t="inlineStr">
        <is>
          <t>creator</t>
        </is>
      </c>
      <c r="D5" s="19" t="inlineStr">
        <is>
          <t>json_snippet</t>
        </is>
      </c>
    </row>
    <row r="6">
      <c r="A6" s="23">
        <f>Catalog!A2</f>
        <v/>
      </c>
      <c r="B6" s="24">
        <f>Catalog!D2</f>
        <v/>
      </c>
      <c r="C6" s="24">
        <f>Catalog!F2</f>
        <v/>
      </c>
      <c r="D6" s="31">
        <f>IF(Catalog!D2="","","{""item_id"":"&amp;Catalog!A2&amp;",""title"":"""&amp;SUBSTITUTE(Catalog!D2,"""","\""")&amp;""",""creator"":"""&amp;SUBSTITUTE(Catalog!F2,"""","\""")&amp;""",""language"":"""&amp;Catalog!M2&amp;""",""identifier"":"""&amp;Catalog!C2&amp;"""}")</f>
        <v/>
      </c>
    </row>
    <row r="7">
      <c r="A7" s="23">
        <f>Catalog!A3</f>
        <v/>
      </c>
      <c r="B7" s="24">
        <f>Catalog!D3</f>
        <v/>
      </c>
      <c r="C7" s="24">
        <f>Catalog!F3</f>
        <v/>
      </c>
      <c r="D7" s="31">
        <f>IF(Catalog!D3="","","{""item_id"":"&amp;Catalog!A3&amp;",""title"":"""&amp;SUBSTITUTE(Catalog!D3,"""","\""")&amp;""",""creator"":"""&amp;SUBSTITUTE(Catalog!F3,"""","\""")&amp;""",""language"":"""&amp;Catalog!M3&amp;""",""identifier"":"""&amp;Catalog!C3&amp;"""}")</f>
        <v/>
      </c>
    </row>
    <row r="8">
      <c r="A8" s="23">
        <f>Catalog!A4</f>
        <v/>
      </c>
      <c r="B8" s="24">
        <f>Catalog!D4</f>
        <v/>
      </c>
      <c r="C8" s="24">
        <f>Catalog!F4</f>
        <v/>
      </c>
      <c r="D8" s="31">
        <f>IF(Catalog!D4="","","{""item_id"":"&amp;Catalog!A4&amp;",""title"":"""&amp;SUBSTITUTE(Catalog!D4,"""","\""")&amp;""",""creator"":"""&amp;SUBSTITUTE(Catalog!F4,"""","\""")&amp;""",""language"":"""&amp;Catalog!M4&amp;""",""identifier"":"""&amp;Catalog!C4&amp;"""}")</f>
        <v/>
      </c>
    </row>
    <row r="9">
      <c r="A9" s="23">
        <f>Catalog!A5</f>
        <v/>
      </c>
      <c r="B9" s="24">
        <f>Catalog!D5</f>
        <v/>
      </c>
      <c r="C9" s="24">
        <f>Catalog!F5</f>
        <v/>
      </c>
      <c r="D9" s="31">
        <f>IF(Catalog!D5="","","{""item_id"":"&amp;Catalog!A5&amp;",""title"":"""&amp;SUBSTITUTE(Catalog!D5,"""","\""")&amp;""",""creator"":"""&amp;SUBSTITUTE(Catalog!F5,"""","\""")&amp;""",""language"":"""&amp;Catalog!M5&amp;""",""identifier"":"""&amp;Catalog!C5&amp;"""}")</f>
        <v/>
      </c>
    </row>
    <row r="10">
      <c r="A10" s="23">
        <f>Catalog!A6</f>
        <v/>
      </c>
      <c r="B10" s="24">
        <f>Catalog!D6</f>
        <v/>
      </c>
      <c r="C10" s="24">
        <f>Catalog!F6</f>
        <v/>
      </c>
      <c r="D10" s="31">
        <f>IF(Catalog!D6="","","{""item_id"":"&amp;Catalog!A6&amp;",""title"":"""&amp;SUBSTITUTE(Catalog!D6,"""","\""")&amp;""",""creator"":"""&amp;SUBSTITUTE(Catalog!F6,"""","\""")&amp;""",""language"":"""&amp;Catalog!M6&amp;""",""identifier"":"""&amp;Catalog!C6&amp;"""}")</f>
        <v/>
      </c>
    </row>
    <row r="11">
      <c r="A11" s="23">
        <f>Catalog!A7</f>
        <v/>
      </c>
      <c r="B11" s="24">
        <f>Catalog!D7</f>
        <v/>
      </c>
      <c r="C11" s="24">
        <f>Catalog!F7</f>
        <v/>
      </c>
      <c r="D11" s="31">
        <f>IF(Catalog!D7="","","{""item_id"":"&amp;Catalog!A7&amp;",""title"":"""&amp;SUBSTITUTE(Catalog!D7,"""","\""")&amp;""",""creator"":"""&amp;SUBSTITUTE(Catalog!F7,"""","\""")&amp;""",""language"":"""&amp;Catalog!M7&amp;""",""identifier"":"""&amp;Catalog!C7&amp;"""}")</f>
        <v/>
      </c>
    </row>
    <row r="12">
      <c r="A12" s="23">
        <f>Catalog!A8</f>
        <v/>
      </c>
      <c r="B12" s="24">
        <f>Catalog!D8</f>
        <v/>
      </c>
      <c r="C12" s="24">
        <f>Catalog!F8</f>
        <v/>
      </c>
      <c r="D12" s="31">
        <f>IF(Catalog!D8="","","{""item_id"":"&amp;Catalog!A8&amp;",""title"":"""&amp;SUBSTITUTE(Catalog!D8,"""","\""")&amp;""",""creator"":"""&amp;SUBSTITUTE(Catalog!F8,"""","\""")&amp;""",""language"":"""&amp;Catalog!M8&amp;""",""identifier"":"""&amp;Catalog!C8&amp;"""}")</f>
        <v/>
      </c>
    </row>
    <row r="13">
      <c r="A13" s="23">
        <f>Catalog!A9</f>
        <v/>
      </c>
      <c r="B13" s="24">
        <f>Catalog!D9</f>
        <v/>
      </c>
      <c r="C13" s="24">
        <f>Catalog!F9</f>
        <v/>
      </c>
      <c r="D13" s="31">
        <f>IF(Catalog!D9="","","{""item_id"":"&amp;Catalog!A9&amp;",""title"":"""&amp;SUBSTITUTE(Catalog!D9,"""","\""")&amp;""",""creator"":"""&amp;SUBSTITUTE(Catalog!F9,"""","\""")&amp;""",""language"":"""&amp;Catalog!M9&amp;""",""identifier"":"""&amp;Catalog!C9&amp;"""}")</f>
        <v/>
      </c>
    </row>
    <row r="14">
      <c r="A14" s="23">
        <f>Catalog!A10</f>
        <v/>
      </c>
      <c r="B14" s="24">
        <f>Catalog!D10</f>
        <v/>
      </c>
      <c r="C14" s="24">
        <f>Catalog!F10</f>
        <v/>
      </c>
      <c r="D14" s="31">
        <f>IF(Catalog!D10="","","{""item_id"":"&amp;Catalog!A10&amp;",""title"":"""&amp;SUBSTITUTE(Catalog!D10,"""","\""")&amp;""",""creator"":"""&amp;SUBSTITUTE(Catalog!F10,"""","\""")&amp;""",""language"":"""&amp;Catalog!M10&amp;""",""identifier"":"""&amp;Catalog!C10&amp;"""}")</f>
        <v/>
      </c>
    </row>
    <row r="15">
      <c r="A15" s="23">
        <f>Catalog!A11</f>
        <v/>
      </c>
      <c r="B15" s="24">
        <f>Catalog!D11</f>
        <v/>
      </c>
      <c r="C15" s="24">
        <f>Catalog!F11</f>
        <v/>
      </c>
      <c r="D15" s="31">
        <f>IF(Catalog!D11="","","{""item_id"":"&amp;Catalog!A11&amp;",""title"":"""&amp;SUBSTITUTE(Catalog!D11,"""","\""")&amp;""",""creator"":"""&amp;SUBSTITUTE(Catalog!F11,"""","\""")&amp;""",""language"":"""&amp;Catalog!M11&amp;""",""identifier"":"""&amp;Catalog!C11&amp;"""}")</f>
        <v/>
      </c>
    </row>
    <row r="16">
      <c r="A16" s="23">
        <f>Catalog!A12</f>
        <v/>
      </c>
      <c r="B16" s="24">
        <f>Catalog!D12</f>
        <v/>
      </c>
      <c r="C16" s="24">
        <f>Catalog!F12</f>
        <v/>
      </c>
      <c r="D16" s="31">
        <f>IF(Catalog!D12="","","{""item_id"":"&amp;Catalog!A12&amp;",""title"":"""&amp;SUBSTITUTE(Catalog!D12,"""","\""")&amp;""",""creator"":"""&amp;SUBSTITUTE(Catalog!F12,"""","\""")&amp;""",""language"":"""&amp;Catalog!M12&amp;""",""identifier"":"""&amp;Catalog!C12&amp;"""}")</f>
        <v/>
      </c>
    </row>
    <row r="17">
      <c r="A17" s="23">
        <f>Catalog!A13</f>
        <v/>
      </c>
      <c r="B17" s="24">
        <f>Catalog!D13</f>
        <v/>
      </c>
      <c r="C17" s="24">
        <f>Catalog!F13</f>
        <v/>
      </c>
      <c r="D17" s="31">
        <f>IF(Catalog!D13="","","{""item_id"":"&amp;Catalog!A13&amp;",""title"":"""&amp;SUBSTITUTE(Catalog!D13,"""","\""")&amp;""",""creator"":"""&amp;SUBSTITUTE(Catalog!F13,"""","\""")&amp;""",""language"":"""&amp;Catalog!M13&amp;""",""identifier"":"""&amp;Catalog!C13&amp;"""}")</f>
        <v/>
      </c>
    </row>
    <row r="18">
      <c r="A18" s="23">
        <f>Catalog!A14</f>
        <v/>
      </c>
      <c r="B18" s="24">
        <f>Catalog!D14</f>
        <v/>
      </c>
      <c r="C18" s="24">
        <f>Catalog!F14</f>
        <v/>
      </c>
      <c r="D18" s="31">
        <f>IF(Catalog!D14="","","{""item_id"":"&amp;Catalog!A14&amp;",""title"":"""&amp;SUBSTITUTE(Catalog!D14,"""","\""")&amp;""",""creator"":"""&amp;SUBSTITUTE(Catalog!F14,"""","\""")&amp;""",""language"":"""&amp;Catalog!M14&amp;""",""identifier"":"""&amp;Catalog!C14&amp;"""}")</f>
        <v/>
      </c>
    </row>
    <row r="19">
      <c r="A19" s="23">
        <f>Catalog!A15</f>
        <v/>
      </c>
      <c r="B19" s="24">
        <f>Catalog!D15</f>
        <v/>
      </c>
      <c r="C19" s="24">
        <f>Catalog!F15</f>
        <v/>
      </c>
      <c r="D19" s="31">
        <f>IF(Catalog!D15="","","{""item_id"":"&amp;Catalog!A15&amp;",""title"":"""&amp;SUBSTITUTE(Catalog!D15,"""","\""")&amp;""",""creator"":"""&amp;SUBSTITUTE(Catalog!F15,"""","\""")&amp;""",""language"":"""&amp;Catalog!M15&amp;""",""identifier"":"""&amp;Catalog!C15&amp;"""}")</f>
        <v/>
      </c>
    </row>
    <row r="20">
      <c r="A20" s="23">
        <f>Catalog!A16</f>
        <v/>
      </c>
      <c r="B20" s="24">
        <f>Catalog!D16</f>
        <v/>
      </c>
      <c r="C20" s="24">
        <f>Catalog!F16</f>
        <v/>
      </c>
      <c r="D20" s="31">
        <f>IF(Catalog!D16="","","{""item_id"":"&amp;Catalog!A16&amp;",""title"":"""&amp;SUBSTITUTE(Catalog!D16,"""","\""")&amp;""",""creator"":"""&amp;SUBSTITUTE(Catalog!F16,"""","\""")&amp;""",""language"":"""&amp;Catalog!M16&amp;""",""identifier"":"""&amp;Catalog!C16&amp;"""}")</f>
        <v/>
      </c>
    </row>
    <row r="21">
      <c r="A21" s="23">
        <f>Catalog!A17</f>
        <v/>
      </c>
      <c r="B21" s="24">
        <f>Catalog!D17</f>
        <v/>
      </c>
      <c r="C21" s="24">
        <f>Catalog!F17</f>
        <v/>
      </c>
      <c r="D21" s="31">
        <f>IF(Catalog!D17="","","{""item_id"":"&amp;Catalog!A17&amp;",""title"":"""&amp;SUBSTITUTE(Catalog!D17,"""","\""")&amp;""",""creator"":"""&amp;SUBSTITUTE(Catalog!F17,"""","\""")&amp;""",""language"":"""&amp;Catalog!M17&amp;""",""identifier"":"""&amp;Catalog!C17&amp;"""}")</f>
        <v/>
      </c>
    </row>
    <row r="22">
      <c r="A22" s="23">
        <f>Catalog!A18</f>
        <v/>
      </c>
      <c r="B22" s="24">
        <f>Catalog!D18</f>
        <v/>
      </c>
      <c r="C22" s="24">
        <f>Catalog!F18</f>
        <v/>
      </c>
      <c r="D22" s="31">
        <f>IF(Catalog!D18="","","{""item_id"":"&amp;Catalog!A18&amp;",""title"":"""&amp;SUBSTITUTE(Catalog!D18,"""","\""")&amp;""",""creator"":"""&amp;SUBSTITUTE(Catalog!F18,"""","\""")&amp;""",""language"":"""&amp;Catalog!M18&amp;""",""identifier"":"""&amp;Catalog!C18&amp;"""}")</f>
        <v/>
      </c>
    </row>
    <row r="23">
      <c r="A23" s="23">
        <f>Catalog!A19</f>
        <v/>
      </c>
      <c r="B23" s="24">
        <f>Catalog!D19</f>
        <v/>
      </c>
      <c r="C23" s="24">
        <f>Catalog!F19</f>
        <v/>
      </c>
      <c r="D23" s="31">
        <f>IF(Catalog!D19="","","{""item_id"":"&amp;Catalog!A19&amp;",""title"":"""&amp;SUBSTITUTE(Catalog!D19,"""","\""")&amp;""",""creator"":"""&amp;SUBSTITUTE(Catalog!F19,"""","\""")&amp;""",""language"":"""&amp;Catalog!M19&amp;""",""identifier"":"""&amp;Catalog!C19&amp;"""}")</f>
        <v/>
      </c>
    </row>
    <row r="24">
      <c r="A24" s="23">
        <f>Catalog!A20</f>
        <v/>
      </c>
      <c r="B24" s="24">
        <f>Catalog!D20</f>
        <v/>
      </c>
      <c r="C24" s="24">
        <f>Catalog!F20</f>
        <v/>
      </c>
      <c r="D24" s="31">
        <f>IF(Catalog!D20="","","{""item_id"":"&amp;Catalog!A20&amp;",""title"":"""&amp;SUBSTITUTE(Catalog!D20,"""","\""")&amp;""",""creator"":"""&amp;SUBSTITUTE(Catalog!F20,"""","\""")&amp;""",""language"":"""&amp;Catalog!M20&amp;""",""identifier"":"""&amp;Catalog!C20&amp;"""}")</f>
        <v/>
      </c>
    </row>
    <row r="25">
      <c r="A25" s="23">
        <f>Catalog!A21</f>
        <v/>
      </c>
      <c r="B25" s="24">
        <f>Catalog!D21</f>
        <v/>
      </c>
      <c r="C25" s="24">
        <f>Catalog!F21</f>
        <v/>
      </c>
      <c r="D25" s="31">
        <f>IF(Catalog!D21="","","{""item_id"":"&amp;Catalog!A21&amp;",""title"":"""&amp;SUBSTITUTE(Catalog!D21,"""","\""")&amp;""",""creator"":"""&amp;SUBSTITUTE(Catalog!F21,"""","\""")&amp;""",""language"":"""&amp;Catalog!M21&amp;""",""identifier"":"""&amp;Catalog!C21&amp;"""}")</f>
        <v/>
      </c>
    </row>
    <row r="26">
      <c r="A26" s="23">
        <f>Catalog!A22</f>
        <v/>
      </c>
      <c r="B26" s="24">
        <f>Catalog!D22</f>
        <v/>
      </c>
      <c r="C26" s="24">
        <f>Catalog!F22</f>
        <v/>
      </c>
      <c r="D26" s="31">
        <f>IF(Catalog!D22="","","{""item_id"":"&amp;Catalog!A22&amp;",""title"":"""&amp;SUBSTITUTE(Catalog!D22,"""","\""")&amp;""",""creator"":"""&amp;SUBSTITUTE(Catalog!F22,"""","\""")&amp;""",""language"":"""&amp;Catalog!M22&amp;""",""identifier"":"""&amp;Catalog!C22&amp;"""}")</f>
        <v/>
      </c>
    </row>
    <row r="27">
      <c r="A27" s="23">
        <f>Catalog!A23</f>
        <v/>
      </c>
      <c r="B27" s="24">
        <f>Catalog!D23</f>
        <v/>
      </c>
      <c r="C27" s="24">
        <f>Catalog!F23</f>
        <v/>
      </c>
      <c r="D27" s="31">
        <f>IF(Catalog!D23="","","{""item_id"":"&amp;Catalog!A23&amp;",""title"":"""&amp;SUBSTITUTE(Catalog!D23,"""","\""")&amp;""",""creator"":"""&amp;SUBSTITUTE(Catalog!F23,"""","\""")&amp;""",""language"":"""&amp;Catalog!M23&amp;""",""identifier"":"""&amp;Catalog!C23&amp;"""}")</f>
        <v/>
      </c>
    </row>
    <row r="28">
      <c r="A28" s="23">
        <f>Catalog!A24</f>
        <v/>
      </c>
      <c r="B28" s="24">
        <f>Catalog!D24</f>
        <v/>
      </c>
      <c r="C28" s="24">
        <f>Catalog!F24</f>
        <v/>
      </c>
      <c r="D28" s="31">
        <f>IF(Catalog!D24="","","{""item_id"":"&amp;Catalog!A24&amp;",""title"":"""&amp;SUBSTITUTE(Catalog!D24,"""","\""")&amp;""",""creator"":"""&amp;SUBSTITUTE(Catalog!F24,"""","\""")&amp;""",""language"":"""&amp;Catalog!M24&amp;""",""identifier"":"""&amp;Catalog!C24&amp;"""}")</f>
        <v/>
      </c>
    </row>
    <row r="29">
      <c r="A29" s="23">
        <f>Catalog!A25</f>
        <v/>
      </c>
      <c r="B29" s="24">
        <f>Catalog!D25</f>
        <v/>
      </c>
      <c r="C29" s="24">
        <f>Catalog!F25</f>
        <v/>
      </c>
      <c r="D29" s="31">
        <f>IF(Catalog!D25="","","{""item_id"":"&amp;Catalog!A25&amp;",""title"":"""&amp;SUBSTITUTE(Catalog!D25,"""","\""")&amp;""",""creator"":"""&amp;SUBSTITUTE(Catalog!F25,"""","\""")&amp;""",""language"":"""&amp;Catalog!M25&amp;""",""identifier"":"""&amp;Catalog!C25&amp;"""}")</f>
        <v/>
      </c>
    </row>
    <row r="30">
      <c r="A30" s="23">
        <f>Catalog!A26</f>
        <v/>
      </c>
      <c r="B30" s="24">
        <f>Catalog!D26</f>
        <v/>
      </c>
      <c r="C30" s="24">
        <f>Catalog!F26</f>
        <v/>
      </c>
      <c r="D30" s="31">
        <f>IF(Catalog!D26="","","{""item_id"":"&amp;Catalog!A26&amp;",""title"":"""&amp;SUBSTITUTE(Catalog!D26,"""","\""")&amp;""",""creator"":"""&amp;SUBSTITUTE(Catalog!F26,"""","\""")&amp;""",""language"":"""&amp;Catalog!M26&amp;""",""identifier"":"""&amp;Catalog!C26&amp;"""}")</f>
        <v/>
      </c>
    </row>
    <row r="31">
      <c r="A31" s="23">
        <f>Catalog!A27</f>
        <v/>
      </c>
      <c r="B31" s="24">
        <f>Catalog!D27</f>
        <v/>
      </c>
      <c r="C31" s="24">
        <f>Catalog!F27</f>
        <v/>
      </c>
      <c r="D31" s="31">
        <f>IF(Catalog!D27="","","{""item_id"":"&amp;Catalog!A27&amp;",""title"":"""&amp;SUBSTITUTE(Catalog!D27,"""","\""")&amp;""",""creator"":"""&amp;SUBSTITUTE(Catalog!F27,"""","\""")&amp;""",""language"":"""&amp;Catalog!M27&amp;""",""identifier"":"""&amp;Catalog!C27&amp;"""}")</f>
        <v/>
      </c>
    </row>
    <row r="32">
      <c r="A32" s="23">
        <f>Catalog!A28</f>
        <v/>
      </c>
      <c r="B32" s="24">
        <f>Catalog!D28</f>
        <v/>
      </c>
      <c r="C32" s="24">
        <f>Catalog!F28</f>
        <v/>
      </c>
      <c r="D32" s="31">
        <f>IF(Catalog!D28="","","{""item_id"":"&amp;Catalog!A28&amp;",""title"":"""&amp;SUBSTITUTE(Catalog!D28,"""","\""")&amp;""",""creator"":"""&amp;SUBSTITUTE(Catalog!F28,"""","\""")&amp;""",""language"":"""&amp;Catalog!M28&amp;""",""identifier"":"""&amp;Catalog!C28&amp;"""}")</f>
        <v/>
      </c>
    </row>
    <row r="33">
      <c r="A33" s="23">
        <f>Catalog!A29</f>
        <v/>
      </c>
      <c r="B33" s="24">
        <f>Catalog!D29</f>
        <v/>
      </c>
      <c r="C33" s="24">
        <f>Catalog!F29</f>
        <v/>
      </c>
      <c r="D33" s="31">
        <f>IF(Catalog!D29="","","{""item_id"":"&amp;Catalog!A29&amp;",""title"":"""&amp;SUBSTITUTE(Catalog!D29,"""","\""")&amp;""",""creator"":"""&amp;SUBSTITUTE(Catalog!F29,"""","\""")&amp;""",""language"":"""&amp;Catalog!M29&amp;""",""identifier"":"""&amp;Catalog!C29&amp;"""}")</f>
        <v/>
      </c>
    </row>
    <row r="34">
      <c r="A34" s="23">
        <f>Catalog!A30</f>
        <v/>
      </c>
      <c r="B34" s="24">
        <f>Catalog!D30</f>
        <v/>
      </c>
      <c r="C34" s="24">
        <f>Catalog!F30</f>
        <v/>
      </c>
      <c r="D34" s="31">
        <f>IF(Catalog!D30="","","{""item_id"":"&amp;Catalog!A30&amp;",""title"":"""&amp;SUBSTITUTE(Catalog!D30,"""","\""")&amp;""",""creator"":"""&amp;SUBSTITUTE(Catalog!F30,"""","\""")&amp;""",""language"":"""&amp;Catalog!M30&amp;""",""identifier"":"""&amp;Catalog!C30&amp;"""}")</f>
        <v/>
      </c>
    </row>
    <row r="35">
      <c r="A35" s="23">
        <f>Catalog!A31</f>
        <v/>
      </c>
      <c r="B35" s="24">
        <f>Catalog!D31</f>
        <v/>
      </c>
      <c r="C35" s="24">
        <f>Catalog!F31</f>
        <v/>
      </c>
      <c r="D35" s="31">
        <f>IF(Catalog!D31="","","{""item_id"":"&amp;Catalog!A31&amp;",""title"":"""&amp;SUBSTITUTE(Catalog!D31,"""","\""")&amp;""",""creator"":"""&amp;SUBSTITUTE(Catalog!F31,"""","\""")&amp;""",""language"":"""&amp;Catalog!M31&amp;""",""identifier"":"""&amp;Catalog!C31&amp;"""}")</f>
        <v/>
      </c>
    </row>
    <row r="36">
      <c r="A36" s="23">
        <f>Catalog!A32</f>
        <v/>
      </c>
      <c r="B36" s="24">
        <f>Catalog!D32</f>
        <v/>
      </c>
      <c r="C36" s="24">
        <f>Catalog!F32</f>
        <v/>
      </c>
      <c r="D36" s="31">
        <f>IF(Catalog!D32="","","{""item_id"":"&amp;Catalog!A32&amp;",""title"":"""&amp;SUBSTITUTE(Catalog!D32,"""","\""")&amp;""",""creator"":"""&amp;SUBSTITUTE(Catalog!F32,"""","\""")&amp;""",""language"":"""&amp;Catalog!M32&amp;""",""identifier"":"""&amp;Catalog!C32&amp;"""}")</f>
        <v/>
      </c>
    </row>
    <row r="37">
      <c r="A37" s="23">
        <f>Catalog!A33</f>
        <v/>
      </c>
      <c r="B37" s="24">
        <f>Catalog!D33</f>
        <v/>
      </c>
      <c r="C37" s="24">
        <f>Catalog!F33</f>
        <v/>
      </c>
      <c r="D37" s="31">
        <f>IF(Catalog!D33="","","{""item_id"":"&amp;Catalog!A33&amp;",""title"":"""&amp;SUBSTITUTE(Catalog!D33,"""","\""")&amp;""",""creator"":"""&amp;SUBSTITUTE(Catalog!F33,"""","\""")&amp;""",""language"":"""&amp;Catalog!M33&amp;""",""identifier"":"""&amp;Catalog!C33&amp;"""}")</f>
        <v/>
      </c>
    </row>
    <row r="38">
      <c r="A38" s="23">
        <f>Catalog!A34</f>
        <v/>
      </c>
      <c r="B38" s="24">
        <f>Catalog!D34</f>
        <v/>
      </c>
      <c r="C38" s="24">
        <f>Catalog!F34</f>
        <v/>
      </c>
      <c r="D38" s="31">
        <f>IF(Catalog!D34="","","{""item_id"":"&amp;Catalog!A34&amp;",""title"":"""&amp;SUBSTITUTE(Catalog!D34,"""","\""")&amp;""",""creator"":"""&amp;SUBSTITUTE(Catalog!F34,"""","\""")&amp;""",""language"":"""&amp;Catalog!M34&amp;""",""identifier"":"""&amp;Catalog!C34&amp;"""}")</f>
        <v/>
      </c>
    </row>
    <row r="39">
      <c r="A39" s="23">
        <f>Catalog!A35</f>
        <v/>
      </c>
      <c r="B39" s="24">
        <f>Catalog!D35</f>
        <v/>
      </c>
      <c r="C39" s="24">
        <f>Catalog!F35</f>
        <v/>
      </c>
      <c r="D39" s="31">
        <f>IF(Catalog!D35="","","{""item_id"":"&amp;Catalog!A35&amp;",""title"":"""&amp;SUBSTITUTE(Catalog!D35,"""","\""")&amp;""",""creator"":"""&amp;SUBSTITUTE(Catalog!F35,"""","\""")&amp;""",""language"":"""&amp;Catalog!M35&amp;""",""identifier"":"""&amp;Catalog!C35&amp;"""}")</f>
        <v/>
      </c>
    </row>
    <row r="40">
      <c r="A40" s="23">
        <f>Catalog!A36</f>
        <v/>
      </c>
      <c r="B40" s="24">
        <f>Catalog!D36</f>
        <v/>
      </c>
      <c r="C40" s="24">
        <f>Catalog!F36</f>
        <v/>
      </c>
      <c r="D40" s="31">
        <f>IF(Catalog!D36="","","{""item_id"":"&amp;Catalog!A36&amp;",""title"":"""&amp;SUBSTITUTE(Catalog!D36,"""","\""")&amp;""",""creator"":"""&amp;SUBSTITUTE(Catalog!F36,"""","\""")&amp;""",""language"":"""&amp;Catalog!M36&amp;""",""identifier"":"""&amp;Catalog!C36&amp;"""}")</f>
        <v/>
      </c>
    </row>
    <row r="41">
      <c r="A41" s="23">
        <f>Catalog!A37</f>
        <v/>
      </c>
      <c r="B41" s="24">
        <f>Catalog!D37</f>
        <v/>
      </c>
      <c r="C41" s="24">
        <f>Catalog!F37</f>
        <v/>
      </c>
      <c r="D41" s="31">
        <f>IF(Catalog!D37="","","{""item_id"":"&amp;Catalog!A37&amp;",""title"":"""&amp;SUBSTITUTE(Catalog!D37,"""","\""")&amp;""",""creator"":"""&amp;SUBSTITUTE(Catalog!F37,"""","\""")&amp;""",""language"":"""&amp;Catalog!M37&amp;""",""identifier"":"""&amp;Catalog!C37&amp;"""}")</f>
        <v/>
      </c>
    </row>
    <row r="42">
      <c r="A42" s="23">
        <f>Catalog!A38</f>
        <v/>
      </c>
      <c r="B42" s="24">
        <f>Catalog!D38</f>
        <v/>
      </c>
      <c r="C42" s="24">
        <f>Catalog!F38</f>
        <v/>
      </c>
      <c r="D42" s="31">
        <f>IF(Catalog!D38="","","{""item_id"":"&amp;Catalog!A38&amp;",""title"":"""&amp;SUBSTITUTE(Catalog!D38,"""","\""")&amp;""",""creator"":"""&amp;SUBSTITUTE(Catalog!F38,"""","\""")&amp;""",""language"":"""&amp;Catalog!M38&amp;""",""identifier"":"""&amp;Catalog!C38&amp;"""}")</f>
        <v/>
      </c>
    </row>
    <row r="43">
      <c r="A43" s="23">
        <f>Catalog!A39</f>
        <v/>
      </c>
      <c r="B43" s="24">
        <f>Catalog!D39</f>
        <v/>
      </c>
      <c r="C43" s="24">
        <f>Catalog!F39</f>
        <v/>
      </c>
      <c r="D43" s="31">
        <f>IF(Catalog!D39="","","{""item_id"":"&amp;Catalog!A39&amp;",""title"":"""&amp;SUBSTITUTE(Catalog!D39,"""","\""")&amp;""",""creator"":"""&amp;SUBSTITUTE(Catalog!F39,"""","\""")&amp;""",""language"":"""&amp;Catalog!M39&amp;""",""identifier"":"""&amp;Catalog!C39&amp;"""}")</f>
        <v/>
      </c>
    </row>
    <row r="44">
      <c r="A44" s="23">
        <f>Catalog!A40</f>
        <v/>
      </c>
      <c r="B44" s="24">
        <f>Catalog!D40</f>
        <v/>
      </c>
      <c r="C44" s="24">
        <f>Catalog!F40</f>
        <v/>
      </c>
      <c r="D44" s="31">
        <f>IF(Catalog!D40="","","{""item_id"":"&amp;Catalog!A40&amp;",""title"":"""&amp;SUBSTITUTE(Catalog!D40,"""","\""")&amp;""",""creator"":"""&amp;SUBSTITUTE(Catalog!F40,"""","\""")&amp;""",""language"":"""&amp;Catalog!M40&amp;""",""identifier"":"""&amp;Catalog!C40&amp;"""}")</f>
        <v/>
      </c>
    </row>
    <row r="45">
      <c r="A45" s="23">
        <f>Catalog!A41</f>
        <v/>
      </c>
      <c r="B45" s="24">
        <f>Catalog!D41</f>
        <v/>
      </c>
      <c r="C45" s="24">
        <f>Catalog!F41</f>
        <v/>
      </c>
      <c r="D45" s="31">
        <f>IF(Catalog!D41="","","{""item_id"":"&amp;Catalog!A41&amp;",""title"":"""&amp;SUBSTITUTE(Catalog!D41,"""","\""")&amp;""",""creator"":"""&amp;SUBSTITUTE(Catalog!F41,"""","\""")&amp;""",""language"":"""&amp;Catalog!M41&amp;""",""identifier"":"""&amp;Catalog!C41&amp;"""}")</f>
        <v/>
      </c>
    </row>
    <row r="46">
      <c r="A46" s="23">
        <f>Catalog!A42</f>
        <v/>
      </c>
      <c r="B46" s="24">
        <f>Catalog!D42</f>
        <v/>
      </c>
      <c r="C46" s="24">
        <f>Catalog!F42</f>
        <v/>
      </c>
      <c r="D46" s="31">
        <f>IF(Catalog!D42="","","{""item_id"":"&amp;Catalog!A42&amp;",""title"":"""&amp;SUBSTITUTE(Catalog!D42,"""","\""")&amp;""",""creator"":"""&amp;SUBSTITUTE(Catalog!F42,"""","\""")&amp;""",""language"":"""&amp;Catalog!M42&amp;""",""identifier"":"""&amp;Catalog!C42&amp;"""}")</f>
        <v/>
      </c>
    </row>
    <row r="47">
      <c r="A47" s="23">
        <f>Catalog!A43</f>
        <v/>
      </c>
      <c r="B47" s="24">
        <f>Catalog!D43</f>
        <v/>
      </c>
      <c r="C47" s="24">
        <f>Catalog!F43</f>
        <v/>
      </c>
      <c r="D47" s="31">
        <f>IF(Catalog!D43="","","{""item_id"":"&amp;Catalog!A43&amp;",""title"":"""&amp;SUBSTITUTE(Catalog!D43,"""","\""")&amp;""",""creator"":"""&amp;SUBSTITUTE(Catalog!F43,"""","\""")&amp;""",""language"":"""&amp;Catalog!M43&amp;""",""identifier"":"""&amp;Catalog!C43&amp;"""}")</f>
        <v/>
      </c>
    </row>
    <row r="48">
      <c r="A48" s="23">
        <f>Catalog!A44</f>
        <v/>
      </c>
      <c r="B48" s="24">
        <f>Catalog!D44</f>
        <v/>
      </c>
      <c r="C48" s="24">
        <f>Catalog!F44</f>
        <v/>
      </c>
      <c r="D48" s="31">
        <f>IF(Catalog!D44="","","{""item_id"":"&amp;Catalog!A44&amp;",""title"":"""&amp;SUBSTITUTE(Catalog!D44,"""","\""")&amp;""",""creator"":"""&amp;SUBSTITUTE(Catalog!F44,"""","\""")&amp;""",""language"":"""&amp;Catalog!M44&amp;""",""identifier"":"""&amp;Catalog!C44&amp;"""}")</f>
        <v/>
      </c>
    </row>
    <row r="49">
      <c r="A49" s="23">
        <f>Catalog!A45</f>
        <v/>
      </c>
      <c r="B49" s="24">
        <f>Catalog!D45</f>
        <v/>
      </c>
      <c r="C49" s="24">
        <f>Catalog!F45</f>
        <v/>
      </c>
      <c r="D49" s="31">
        <f>IF(Catalog!D45="","","{""item_id"":"&amp;Catalog!A45&amp;",""title"":"""&amp;SUBSTITUTE(Catalog!D45,"""","\""")&amp;""",""creator"":"""&amp;SUBSTITUTE(Catalog!F45,"""","\""")&amp;""",""language"":"""&amp;Catalog!M45&amp;""",""identifier"":"""&amp;Catalog!C45&amp;"""}")</f>
        <v/>
      </c>
    </row>
    <row r="50">
      <c r="A50" s="23">
        <f>Catalog!A46</f>
        <v/>
      </c>
      <c r="B50" s="24">
        <f>Catalog!D46</f>
        <v/>
      </c>
      <c r="C50" s="24">
        <f>Catalog!F46</f>
        <v/>
      </c>
      <c r="D50" s="31">
        <f>IF(Catalog!D46="","","{""item_id"":"&amp;Catalog!A46&amp;",""title"":"""&amp;SUBSTITUTE(Catalog!D46,"""","\""")&amp;""",""creator"":"""&amp;SUBSTITUTE(Catalog!F46,"""","\""")&amp;""",""language"":"""&amp;Catalog!M46&amp;""",""identifier"":"""&amp;Catalog!C46&amp;"""}")</f>
        <v/>
      </c>
    </row>
    <row r="51">
      <c r="A51" s="23">
        <f>Catalog!A47</f>
        <v/>
      </c>
      <c r="B51" s="24">
        <f>Catalog!D47</f>
        <v/>
      </c>
      <c r="C51" s="24">
        <f>Catalog!F47</f>
        <v/>
      </c>
      <c r="D51" s="31">
        <f>IF(Catalog!D47="","","{""item_id"":"&amp;Catalog!A47&amp;",""title"":"""&amp;SUBSTITUTE(Catalog!D47,"""","\""")&amp;""",""creator"":"""&amp;SUBSTITUTE(Catalog!F47,"""","\""")&amp;""",""language"":"""&amp;Catalog!M47&amp;""",""identifier"":"""&amp;Catalog!C47&amp;"""}")</f>
        <v/>
      </c>
    </row>
    <row r="52">
      <c r="A52" s="23">
        <f>Catalog!A48</f>
        <v/>
      </c>
      <c r="B52" s="24">
        <f>Catalog!D48</f>
        <v/>
      </c>
      <c r="C52" s="24">
        <f>Catalog!F48</f>
        <v/>
      </c>
      <c r="D52" s="31">
        <f>IF(Catalog!D48="","","{""item_id"":"&amp;Catalog!A48&amp;",""title"":"""&amp;SUBSTITUTE(Catalog!D48,"""","\""")&amp;""",""creator"":"""&amp;SUBSTITUTE(Catalog!F48,"""","\""")&amp;""",""language"":"""&amp;Catalog!M48&amp;""",""identifier"":"""&amp;Catalog!C48&amp;"""}")</f>
        <v/>
      </c>
    </row>
    <row r="53">
      <c r="A53" s="23">
        <f>Catalog!A49</f>
        <v/>
      </c>
      <c r="B53" s="24">
        <f>Catalog!D49</f>
        <v/>
      </c>
      <c r="C53" s="24">
        <f>Catalog!F49</f>
        <v/>
      </c>
      <c r="D53" s="31">
        <f>IF(Catalog!D49="","","{""item_id"":"&amp;Catalog!A49&amp;",""title"":"""&amp;SUBSTITUTE(Catalog!D49,"""","\""")&amp;""",""creator"":"""&amp;SUBSTITUTE(Catalog!F49,"""","\""")&amp;""",""language"":"""&amp;Catalog!M49&amp;""",""identifier"":"""&amp;Catalog!C49&amp;"""}")</f>
        <v/>
      </c>
    </row>
    <row r="54">
      <c r="A54" s="23">
        <f>Catalog!A50</f>
        <v/>
      </c>
      <c r="B54" s="24">
        <f>Catalog!D50</f>
        <v/>
      </c>
      <c r="C54" s="24">
        <f>Catalog!F50</f>
        <v/>
      </c>
      <c r="D54" s="31">
        <f>IF(Catalog!D50="","","{""item_id"":"&amp;Catalog!A50&amp;",""title"":"""&amp;SUBSTITUTE(Catalog!D50,"""","\""")&amp;""",""creator"":"""&amp;SUBSTITUTE(Catalog!F50,"""","\""")&amp;""",""language"":"""&amp;Catalog!M50&amp;""",""identifier"":"""&amp;Catalog!C50&amp;"""}")</f>
        <v/>
      </c>
    </row>
    <row r="55">
      <c r="A55" s="23">
        <f>Catalog!A51</f>
        <v/>
      </c>
      <c r="B55" s="24">
        <f>Catalog!D51</f>
        <v/>
      </c>
      <c r="C55" s="24">
        <f>Catalog!F51</f>
        <v/>
      </c>
      <c r="D55" s="31">
        <f>IF(Catalog!D51="","","{""item_id"":"&amp;Catalog!A51&amp;",""title"":"""&amp;SUBSTITUTE(Catalog!D51,"""","\""")&amp;""",""creator"":"""&amp;SUBSTITUTE(Catalog!F51,"""","\""")&amp;""",""language"":"""&amp;Catalog!M51&amp;""",""identifier"":"""&amp;Catalog!C51&amp;"""}")</f>
        <v/>
      </c>
    </row>
    <row r="56">
      <c r="A56" s="23">
        <f>Catalog!A52</f>
        <v/>
      </c>
      <c r="B56" s="24">
        <f>Catalog!D52</f>
        <v/>
      </c>
      <c r="C56" s="24">
        <f>Catalog!F52</f>
        <v/>
      </c>
      <c r="D56" s="31">
        <f>IF(Catalog!D52="","","{""item_id"":"&amp;Catalog!A52&amp;",""title"":"""&amp;SUBSTITUTE(Catalog!D52,"""","\""")&amp;""",""creator"":"""&amp;SUBSTITUTE(Catalog!F52,"""","\""")&amp;""",""language"":"""&amp;Catalog!M52&amp;""",""identifier"":"""&amp;Catalog!C52&amp;"""}")</f>
        <v/>
      </c>
    </row>
    <row r="57">
      <c r="A57" s="23">
        <f>Catalog!A53</f>
        <v/>
      </c>
      <c r="B57" s="24">
        <f>Catalog!D53</f>
        <v/>
      </c>
      <c r="C57" s="24">
        <f>Catalog!F53</f>
        <v/>
      </c>
      <c r="D57" s="31">
        <f>IF(Catalog!D53="","","{""item_id"":"&amp;Catalog!A53&amp;",""title"":"""&amp;SUBSTITUTE(Catalog!D53,"""","\""")&amp;""",""creator"":"""&amp;SUBSTITUTE(Catalog!F53,"""","\""")&amp;""",""language"":"""&amp;Catalog!M53&amp;""",""identifier"":"""&amp;Catalog!C53&amp;"""}")</f>
        <v/>
      </c>
    </row>
    <row r="58">
      <c r="A58" s="23">
        <f>Catalog!A54</f>
        <v/>
      </c>
      <c r="B58" s="24">
        <f>Catalog!D54</f>
        <v/>
      </c>
      <c r="C58" s="24">
        <f>Catalog!F54</f>
        <v/>
      </c>
      <c r="D58" s="31">
        <f>IF(Catalog!D54="","","{""item_id"":"&amp;Catalog!A54&amp;",""title"":"""&amp;SUBSTITUTE(Catalog!D54,"""","\""")&amp;""",""creator"":"""&amp;SUBSTITUTE(Catalog!F54,"""","\""")&amp;""",""language"":"""&amp;Catalog!M54&amp;""",""identifier"":"""&amp;Catalog!C54&amp;"""}")</f>
        <v/>
      </c>
    </row>
    <row r="59">
      <c r="A59" s="23">
        <f>Catalog!A55</f>
        <v/>
      </c>
      <c r="B59" s="24">
        <f>Catalog!D55</f>
        <v/>
      </c>
      <c r="C59" s="24">
        <f>Catalog!F55</f>
        <v/>
      </c>
      <c r="D59" s="31">
        <f>IF(Catalog!D55="","","{""item_id"":"&amp;Catalog!A55&amp;",""title"":"""&amp;SUBSTITUTE(Catalog!D55,"""","\""")&amp;""",""creator"":"""&amp;SUBSTITUTE(Catalog!F55,"""","\""")&amp;""",""language"":"""&amp;Catalog!M55&amp;""",""identifier"":"""&amp;Catalog!C55&amp;"""}")</f>
        <v/>
      </c>
    </row>
    <row r="60">
      <c r="A60" s="23">
        <f>Catalog!A56</f>
        <v/>
      </c>
      <c r="B60" s="24">
        <f>Catalog!D56</f>
        <v/>
      </c>
      <c r="C60" s="24">
        <f>Catalog!F56</f>
        <v/>
      </c>
      <c r="D60" s="31">
        <f>IF(Catalog!D56="","","{""item_id"":"&amp;Catalog!A56&amp;",""title"":"""&amp;SUBSTITUTE(Catalog!D56,"""","\""")&amp;""",""creator"":"""&amp;SUBSTITUTE(Catalog!F56,"""","\""")&amp;""",""language"":"""&amp;Catalog!M56&amp;""",""identifier"":"""&amp;Catalog!C56&amp;"""}")</f>
        <v/>
      </c>
    </row>
    <row r="61">
      <c r="A61" s="23">
        <f>Catalog!A57</f>
        <v/>
      </c>
      <c r="B61" s="24">
        <f>Catalog!D57</f>
        <v/>
      </c>
      <c r="C61" s="24">
        <f>Catalog!F57</f>
        <v/>
      </c>
      <c r="D61" s="31">
        <f>IF(Catalog!D57="","","{""item_id"":"&amp;Catalog!A57&amp;",""title"":"""&amp;SUBSTITUTE(Catalog!D57,"""","\""")&amp;""",""creator"":"""&amp;SUBSTITUTE(Catalog!F57,"""","\""")&amp;""",""language"":"""&amp;Catalog!M57&amp;""",""identifier"":"""&amp;Catalog!C57&amp;"""}")</f>
        <v/>
      </c>
    </row>
    <row r="62">
      <c r="A62" s="23">
        <f>Catalog!A58</f>
        <v/>
      </c>
      <c r="B62" s="24">
        <f>Catalog!D58</f>
        <v/>
      </c>
      <c r="C62" s="24">
        <f>Catalog!F58</f>
        <v/>
      </c>
      <c r="D62" s="31">
        <f>IF(Catalog!D58="","","{""item_id"":"&amp;Catalog!A58&amp;",""title"":"""&amp;SUBSTITUTE(Catalog!D58,"""","\""")&amp;""",""creator"":"""&amp;SUBSTITUTE(Catalog!F58,"""","\""")&amp;""",""language"":"""&amp;Catalog!M58&amp;""",""identifier"":"""&amp;Catalog!C58&amp;"""}")</f>
        <v/>
      </c>
    </row>
    <row r="63">
      <c r="A63" s="23">
        <f>Catalog!A59</f>
        <v/>
      </c>
      <c r="B63" s="24">
        <f>Catalog!D59</f>
        <v/>
      </c>
      <c r="C63" s="24">
        <f>Catalog!F59</f>
        <v/>
      </c>
      <c r="D63" s="31">
        <f>IF(Catalog!D59="","","{""item_id"":"&amp;Catalog!A59&amp;",""title"":"""&amp;SUBSTITUTE(Catalog!D59,"""","\""")&amp;""",""creator"":"""&amp;SUBSTITUTE(Catalog!F59,"""","\""")&amp;""",""language"":"""&amp;Catalog!M59&amp;""",""identifier"":"""&amp;Catalog!C59&amp;"""}")</f>
        <v/>
      </c>
    </row>
    <row r="64">
      <c r="A64" s="23">
        <f>Catalog!A60</f>
        <v/>
      </c>
      <c r="B64" s="24">
        <f>Catalog!D60</f>
        <v/>
      </c>
      <c r="C64" s="24">
        <f>Catalog!F60</f>
        <v/>
      </c>
      <c r="D64" s="31">
        <f>IF(Catalog!D60="","","{""item_id"":"&amp;Catalog!A60&amp;",""title"":"""&amp;SUBSTITUTE(Catalog!D60,"""","\""")&amp;""",""creator"":"""&amp;SUBSTITUTE(Catalog!F60,"""","\""")&amp;""",""language"":"""&amp;Catalog!M60&amp;""",""identifier"":"""&amp;Catalog!C60&amp;"""}")</f>
        <v/>
      </c>
    </row>
    <row r="65">
      <c r="A65" s="23">
        <f>Catalog!A61</f>
        <v/>
      </c>
      <c r="B65" s="24">
        <f>Catalog!D61</f>
        <v/>
      </c>
      <c r="C65" s="24">
        <f>Catalog!F61</f>
        <v/>
      </c>
      <c r="D65" s="31">
        <f>IF(Catalog!D61="","","{""item_id"":"&amp;Catalog!A61&amp;",""title"":"""&amp;SUBSTITUTE(Catalog!D61,"""","\""")&amp;""",""creator"":"""&amp;SUBSTITUTE(Catalog!F61,"""","\""")&amp;""",""language"":"""&amp;Catalog!M61&amp;""",""identifier"":"""&amp;Catalog!C61&amp;"""}")</f>
        <v/>
      </c>
    </row>
    <row r="66">
      <c r="A66" s="23">
        <f>Catalog!A62</f>
        <v/>
      </c>
      <c r="B66" s="24">
        <f>Catalog!D62</f>
        <v/>
      </c>
      <c r="C66" s="24">
        <f>Catalog!F62</f>
        <v/>
      </c>
      <c r="D66" s="31">
        <f>IF(Catalog!D62="","","{""item_id"":"&amp;Catalog!A62&amp;",""title"":"""&amp;SUBSTITUTE(Catalog!D62,"""","\""")&amp;""",""creator"":"""&amp;SUBSTITUTE(Catalog!F62,"""","\""")&amp;""",""language"":"""&amp;Catalog!M62&amp;""",""identifier"":"""&amp;Catalog!C62&amp;"""}")</f>
        <v/>
      </c>
    </row>
    <row r="67">
      <c r="A67" s="23">
        <f>Catalog!A63</f>
        <v/>
      </c>
      <c r="B67" s="24">
        <f>Catalog!D63</f>
        <v/>
      </c>
      <c r="C67" s="24">
        <f>Catalog!F63</f>
        <v/>
      </c>
      <c r="D67" s="31">
        <f>IF(Catalog!D63="","","{""item_id"":"&amp;Catalog!A63&amp;",""title"":"""&amp;SUBSTITUTE(Catalog!D63,"""","\""")&amp;""",""creator"":"""&amp;SUBSTITUTE(Catalog!F63,"""","\""")&amp;""",""language"":"""&amp;Catalog!M63&amp;""",""identifier"":"""&amp;Catalog!C63&amp;"""}")</f>
        <v/>
      </c>
    </row>
    <row r="68">
      <c r="A68" s="23">
        <f>Catalog!A64</f>
        <v/>
      </c>
      <c r="B68" s="24">
        <f>Catalog!D64</f>
        <v/>
      </c>
      <c r="C68" s="24">
        <f>Catalog!F64</f>
        <v/>
      </c>
      <c r="D68" s="31">
        <f>IF(Catalog!D64="","","{""item_id"":"&amp;Catalog!A64&amp;",""title"":"""&amp;SUBSTITUTE(Catalog!D64,"""","\""")&amp;""",""creator"":"""&amp;SUBSTITUTE(Catalog!F64,"""","\""")&amp;""",""language"":"""&amp;Catalog!M64&amp;""",""identifier"":"""&amp;Catalog!C64&amp;"""}")</f>
        <v/>
      </c>
    </row>
    <row r="69">
      <c r="A69" s="23">
        <f>Catalog!A65</f>
        <v/>
      </c>
      <c r="B69" s="24">
        <f>Catalog!D65</f>
        <v/>
      </c>
      <c r="C69" s="24">
        <f>Catalog!F65</f>
        <v/>
      </c>
      <c r="D69" s="31">
        <f>IF(Catalog!D65="","","{""item_id"":"&amp;Catalog!A65&amp;",""title"":"""&amp;SUBSTITUTE(Catalog!D65,"""","\""")&amp;""",""creator"":"""&amp;SUBSTITUTE(Catalog!F65,"""","\""")&amp;""",""language"":"""&amp;Catalog!M65&amp;""",""identifier"":"""&amp;Catalog!C65&amp;"""}")</f>
        <v/>
      </c>
    </row>
    <row r="70">
      <c r="A70" s="23">
        <f>Catalog!A66</f>
        <v/>
      </c>
      <c r="B70" s="24">
        <f>Catalog!D66</f>
        <v/>
      </c>
      <c r="C70" s="24">
        <f>Catalog!F66</f>
        <v/>
      </c>
      <c r="D70" s="31">
        <f>IF(Catalog!D66="","","{""item_id"":"&amp;Catalog!A66&amp;",""title"":"""&amp;SUBSTITUTE(Catalog!D66,"""","\""")&amp;""",""creator"":"""&amp;SUBSTITUTE(Catalog!F66,"""","\""")&amp;""",""language"":"""&amp;Catalog!M66&amp;""",""identifier"":"""&amp;Catalog!C66&amp;"""}")</f>
        <v/>
      </c>
    </row>
    <row r="71">
      <c r="A71" s="23">
        <f>Catalog!A67</f>
        <v/>
      </c>
      <c r="B71" s="24">
        <f>Catalog!D67</f>
        <v/>
      </c>
      <c r="C71" s="24">
        <f>Catalog!F67</f>
        <v/>
      </c>
      <c r="D71" s="31">
        <f>IF(Catalog!D67="","","{""item_id"":"&amp;Catalog!A67&amp;",""title"":"""&amp;SUBSTITUTE(Catalog!D67,"""","\""")&amp;""",""creator"":"""&amp;SUBSTITUTE(Catalog!F67,"""","\""")&amp;""",""language"":"""&amp;Catalog!M67&amp;""",""identifier"":"""&amp;Catalog!C67&amp;"""}")</f>
        <v/>
      </c>
    </row>
    <row r="72">
      <c r="A72" s="23">
        <f>Catalog!A68</f>
        <v/>
      </c>
      <c r="B72" s="24">
        <f>Catalog!D68</f>
        <v/>
      </c>
      <c r="C72" s="24">
        <f>Catalog!F68</f>
        <v/>
      </c>
      <c r="D72" s="31">
        <f>IF(Catalog!D68="","","{""item_id"":"&amp;Catalog!A68&amp;",""title"":"""&amp;SUBSTITUTE(Catalog!D68,"""","\""")&amp;""",""creator"":"""&amp;SUBSTITUTE(Catalog!F68,"""","\""")&amp;""",""language"":"""&amp;Catalog!M68&amp;""",""identifier"":"""&amp;Catalog!C68&amp;"""}")</f>
        <v/>
      </c>
    </row>
    <row r="73">
      <c r="A73" s="23">
        <f>Catalog!A69</f>
        <v/>
      </c>
      <c r="B73" s="24">
        <f>Catalog!D69</f>
        <v/>
      </c>
      <c r="C73" s="24">
        <f>Catalog!F69</f>
        <v/>
      </c>
      <c r="D73" s="31">
        <f>IF(Catalog!D69="","","{""item_id"":"&amp;Catalog!A69&amp;",""title"":"""&amp;SUBSTITUTE(Catalog!D69,"""","\""")&amp;""",""creator"":"""&amp;SUBSTITUTE(Catalog!F69,"""","\""")&amp;""",""language"":"""&amp;Catalog!M69&amp;""",""identifier"":"""&amp;Catalog!C69&amp;"""}")</f>
        <v/>
      </c>
    </row>
    <row r="74">
      <c r="A74" s="23">
        <f>Catalog!A70</f>
        <v/>
      </c>
      <c r="B74" s="24">
        <f>Catalog!D70</f>
        <v/>
      </c>
      <c r="C74" s="24">
        <f>Catalog!F70</f>
        <v/>
      </c>
      <c r="D74" s="31">
        <f>IF(Catalog!D70="","","{""item_id"":"&amp;Catalog!A70&amp;",""title"":"""&amp;SUBSTITUTE(Catalog!D70,"""","\""")&amp;""",""creator"":"""&amp;SUBSTITUTE(Catalog!F70,"""","\""")&amp;""",""language"":"""&amp;Catalog!M70&amp;""",""identifier"":"""&amp;Catalog!C70&amp;"""}")</f>
        <v/>
      </c>
    </row>
    <row r="75">
      <c r="A75" s="23">
        <f>Catalog!A71</f>
        <v/>
      </c>
      <c r="B75" s="24">
        <f>Catalog!D71</f>
        <v/>
      </c>
      <c r="C75" s="24">
        <f>Catalog!F71</f>
        <v/>
      </c>
      <c r="D75" s="31">
        <f>IF(Catalog!D71="","","{""item_id"":"&amp;Catalog!A71&amp;",""title"":"""&amp;SUBSTITUTE(Catalog!D71,"""","\""")&amp;""",""creator"":"""&amp;SUBSTITUTE(Catalog!F71,"""","\""")&amp;""",""language"":"""&amp;Catalog!M71&amp;""",""identifier"":"""&amp;Catalog!C71&amp;"""}")</f>
        <v/>
      </c>
    </row>
    <row r="76">
      <c r="A76" s="23">
        <f>Catalog!A72</f>
        <v/>
      </c>
      <c r="B76" s="24">
        <f>Catalog!D72</f>
        <v/>
      </c>
      <c r="C76" s="24">
        <f>Catalog!F72</f>
        <v/>
      </c>
      <c r="D76" s="31">
        <f>IF(Catalog!D72="","","{""item_id"":"&amp;Catalog!A72&amp;",""title"":"""&amp;SUBSTITUTE(Catalog!D72,"""","\""")&amp;""",""creator"":"""&amp;SUBSTITUTE(Catalog!F72,"""","\""")&amp;""",""language"":"""&amp;Catalog!M72&amp;""",""identifier"":"""&amp;Catalog!C72&amp;"""}")</f>
        <v/>
      </c>
    </row>
    <row r="77">
      <c r="A77" s="23">
        <f>Catalog!A73</f>
        <v/>
      </c>
      <c r="B77" s="24">
        <f>Catalog!D73</f>
        <v/>
      </c>
      <c r="C77" s="24">
        <f>Catalog!F73</f>
        <v/>
      </c>
      <c r="D77" s="31">
        <f>IF(Catalog!D73="","","{""item_id"":"&amp;Catalog!A73&amp;",""title"":"""&amp;SUBSTITUTE(Catalog!D73,"""","\""")&amp;""",""creator"":"""&amp;SUBSTITUTE(Catalog!F73,"""","\""")&amp;""",""language"":"""&amp;Catalog!M73&amp;""",""identifier"":"""&amp;Catalog!C73&amp;"""}")</f>
        <v/>
      </c>
    </row>
    <row r="78">
      <c r="A78" s="23">
        <f>Catalog!A74</f>
        <v/>
      </c>
      <c r="B78" s="24">
        <f>Catalog!D74</f>
        <v/>
      </c>
      <c r="C78" s="24">
        <f>Catalog!F74</f>
        <v/>
      </c>
      <c r="D78" s="31">
        <f>IF(Catalog!D74="","","{""item_id"":"&amp;Catalog!A74&amp;",""title"":"""&amp;SUBSTITUTE(Catalog!D74,"""","\""")&amp;""",""creator"":"""&amp;SUBSTITUTE(Catalog!F74,"""","\""")&amp;""",""language"":"""&amp;Catalog!M74&amp;""",""identifier"":"""&amp;Catalog!C74&amp;"""}")</f>
        <v/>
      </c>
    </row>
    <row r="79">
      <c r="A79" s="23">
        <f>Catalog!A75</f>
        <v/>
      </c>
      <c r="B79" s="24">
        <f>Catalog!D75</f>
        <v/>
      </c>
      <c r="C79" s="24">
        <f>Catalog!F75</f>
        <v/>
      </c>
      <c r="D79" s="31">
        <f>IF(Catalog!D75="","","{""item_id"":"&amp;Catalog!A75&amp;",""title"":"""&amp;SUBSTITUTE(Catalog!D75,"""","\""")&amp;""",""creator"":"""&amp;SUBSTITUTE(Catalog!F75,"""","\""")&amp;""",""language"":"""&amp;Catalog!M75&amp;""",""identifier"":"""&amp;Catalog!C75&amp;"""}")</f>
        <v/>
      </c>
    </row>
    <row r="80">
      <c r="A80" s="23">
        <f>Catalog!A76</f>
        <v/>
      </c>
      <c r="B80" s="24">
        <f>Catalog!D76</f>
        <v/>
      </c>
      <c r="C80" s="24">
        <f>Catalog!F76</f>
        <v/>
      </c>
      <c r="D80" s="31">
        <f>IF(Catalog!D76="","","{""item_id"":"&amp;Catalog!A76&amp;",""title"":"""&amp;SUBSTITUTE(Catalog!D76,"""","\""")&amp;""",""creator"":"""&amp;SUBSTITUTE(Catalog!F76,"""","\""")&amp;""",""language"":"""&amp;Catalog!M76&amp;""",""identifier"":"""&amp;Catalog!C76&amp;"""}")</f>
        <v/>
      </c>
    </row>
    <row r="81">
      <c r="A81" s="23">
        <f>Catalog!A77</f>
        <v/>
      </c>
      <c r="B81" s="24">
        <f>Catalog!D77</f>
        <v/>
      </c>
      <c r="C81" s="24">
        <f>Catalog!F77</f>
        <v/>
      </c>
      <c r="D81" s="31">
        <f>IF(Catalog!D77="","","{""item_id"":"&amp;Catalog!A77&amp;",""title"":"""&amp;SUBSTITUTE(Catalog!D77,"""","\""")&amp;""",""creator"":"""&amp;SUBSTITUTE(Catalog!F77,"""","\""")&amp;""",""language"":"""&amp;Catalog!M77&amp;""",""identifier"":"""&amp;Catalog!C77&amp;"""}")</f>
        <v/>
      </c>
    </row>
    <row r="82">
      <c r="A82" s="23">
        <f>Catalog!A78</f>
        <v/>
      </c>
      <c r="B82" s="24">
        <f>Catalog!D78</f>
        <v/>
      </c>
      <c r="C82" s="24">
        <f>Catalog!F78</f>
        <v/>
      </c>
      <c r="D82" s="31">
        <f>IF(Catalog!D78="","","{""item_id"":"&amp;Catalog!A78&amp;",""title"":"""&amp;SUBSTITUTE(Catalog!D78,"""","\""")&amp;""",""creator"":"""&amp;SUBSTITUTE(Catalog!F78,"""","\""")&amp;""",""language"":"""&amp;Catalog!M78&amp;""",""identifier"":"""&amp;Catalog!C78&amp;"""}")</f>
        <v/>
      </c>
    </row>
    <row r="83">
      <c r="A83" s="23">
        <f>Catalog!A79</f>
        <v/>
      </c>
      <c r="B83" s="24">
        <f>Catalog!D79</f>
        <v/>
      </c>
      <c r="C83" s="24">
        <f>Catalog!F79</f>
        <v/>
      </c>
      <c r="D83" s="31">
        <f>IF(Catalog!D79="","","{""item_id"":"&amp;Catalog!A79&amp;",""title"":"""&amp;SUBSTITUTE(Catalog!D79,"""","\""")&amp;""",""creator"":"""&amp;SUBSTITUTE(Catalog!F79,"""","\""")&amp;""",""language"":"""&amp;Catalog!M79&amp;""",""identifier"":"""&amp;Catalog!C79&amp;"""}")</f>
        <v/>
      </c>
    </row>
    <row r="84">
      <c r="A84" s="23">
        <f>Catalog!A80</f>
        <v/>
      </c>
      <c r="B84" s="24">
        <f>Catalog!D80</f>
        <v/>
      </c>
      <c r="C84" s="24">
        <f>Catalog!F80</f>
        <v/>
      </c>
      <c r="D84" s="31">
        <f>IF(Catalog!D80="","","{""item_id"":"&amp;Catalog!A80&amp;",""title"":"""&amp;SUBSTITUTE(Catalog!D80,"""","\""")&amp;""",""creator"":"""&amp;SUBSTITUTE(Catalog!F80,"""","\""")&amp;""",""language"":"""&amp;Catalog!M80&amp;""",""identifier"":"""&amp;Catalog!C80&amp;"""}")</f>
        <v/>
      </c>
    </row>
    <row r="85">
      <c r="A85" s="23">
        <f>Catalog!A81</f>
        <v/>
      </c>
      <c r="B85" s="24">
        <f>Catalog!D81</f>
        <v/>
      </c>
      <c r="C85" s="24">
        <f>Catalog!F81</f>
        <v/>
      </c>
      <c r="D85" s="31">
        <f>IF(Catalog!D81="","","{""item_id"":"&amp;Catalog!A81&amp;",""title"":"""&amp;SUBSTITUTE(Catalog!D81,"""","\""")&amp;""",""creator"":"""&amp;SUBSTITUTE(Catalog!F81,"""","\""")&amp;""",""language"":"""&amp;Catalog!M81&amp;""",""identifier"":"""&amp;Catalog!C81&amp;"""}")</f>
        <v/>
      </c>
    </row>
    <row r="86">
      <c r="A86" s="23">
        <f>Catalog!A82</f>
        <v/>
      </c>
      <c r="B86" s="24">
        <f>Catalog!D82</f>
        <v/>
      </c>
      <c r="C86" s="24">
        <f>Catalog!F82</f>
        <v/>
      </c>
      <c r="D86" s="31">
        <f>IF(Catalog!D82="","","{""item_id"":"&amp;Catalog!A82&amp;",""title"":"""&amp;SUBSTITUTE(Catalog!D82,"""","\""")&amp;""",""creator"":"""&amp;SUBSTITUTE(Catalog!F82,"""","\""")&amp;""",""language"":"""&amp;Catalog!M82&amp;""",""identifier"":"""&amp;Catalog!C82&amp;"""}")</f>
        <v/>
      </c>
    </row>
    <row r="87">
      <c r="A87" s="23">
        <f>Catalog!A83</f>
        <v/>
      </c>
      <c r="B87" s="24">
        <f>Catalog!D83</f>
        <v/>
      </c>
      <c r="C87" s="24">
        <f>Catalog!F83</f>
        <v/>
      </c>
      <c r="D87" s="31">
        <f>IF(Catalog!D83="","","{""item_id"":"&amp;Catalog!A83&amp;",""title"":"""&amp;SUBSTITUTE(Catalog!D83,"""","\""")&amp;""",""creator"":"""&amp;SUBSTITUTE(Catalog!F83,"""","\""")&amp;""",""language"":"""&amp;Catalog!M83&amp;""",""identifier"":"""&amp;Catalog!C83&amp;"""}")</f>
        <v/>
      </c>
    </row>
    <row r="88">
      <c r="A88" s="23">
        <f>Catalog!A84</f>
        <v/>
      </c>
      <c r="B88" s="24">
        <f>Catalog!D84</f>
        <v/>
      </c>
      <c r="C88" s="24">
        <f>Catalog!F84</f>
        <v/>
      </c>
      <c r="D88" s="31">
        <f>IF(Catalog!D84="","","{""item_id"":"&amp;Catalog!A84&amp;",""title"":"""&amp;SUBSTITUTE(Catalog!D84,"""","\""")&amp;""",""creator"":"""&amp;SUBSTITUTE(Catalog!F84,"""","\""")&amp;""",""language"":"""&amp;Catalog!M84&amp;""",""identifier"":"""&amp;Catalog!C84&amp;"""}")</f>
        <v/>
      </c>
    </row>
    <row r="89">
      <c r="A89" s="23">
        <f>Catalog!A85</f>
        <v/>
      </c>
      <c r="B89" s="24">
        <f>Catalog!D85</f>
        <v/>
      </c>
      <c r="C89" s="24">
        <f>Catalog!F85</f>
        <v/>
      </c>
      <c r="D89" s="31">
        <f>IF(Catalog!D85="","","{""item_id"":"&amp;Catalog!A85&amp;",""title"":"""&amp;SUBSTITUTE(Catalog!D85,"""","\""")&amp;""",""creator"":"""&amp;SUBSTITUTE(Catalog!F85,"""","\""")&amp;""",""language"":"""&amp;Catalog!M85&amp;""",""identifier"":"""&amp;Catalog!C85&amp;"""}")</f>
        <v/>
      </c>
    </row>
    <row r="90">
      <c r="A90" s="23">
        <f>Catalog!A86</f>
        <v/>
      </c>
      <c r="B90" s="24">
        <f>Catalog!D86</f>
        <v/>
      </c>
      <c r="C90" s="24">
        <f>Catalog!F86</f>
        <v/>
      </c>
      <c r="D90" s="31">
        <f>IF(Catalog!D86="","","{""item_id"":"&amp;Catalog!A86&amp;",""title"":"""&amp;SUBSTITUTE(Catalog!D86,"""","\""")&amp;""",""creator"":"""&amp;SUBSTITUTE(Catalog!F86,"""","\""")&amp;""",""language"":"""&amp;Catalog!M86&amp;""",""identifier"":"""&amp;Catalog!C86&amp;"""}")</f>
        <v/>
      </c>
    </row>
    <row r="91">
      <c r="A91" s="23">
        <f>Catalog!A87</f>
        <v/>
      </c>
      <c r="B91" s="24">
        <f>Catalog!D87</f>
        <v/>
      </c>
      <c r="C91" s="24">
        <f>Catalog!F87</f>
        <v/>
      </c>
      <c r="D91" s="31">
        <f>IF(Catalog!D87="","","{""item_id"":"&amp;Catalog!A87&amp;",""title"":"""&amp;SUBSTITUTE(Catalog!D87,"""","\""")&amp;""",""creator"":"""&amp;SUBSTITUTE(Catalog!F87,"""","\""")&amp;""",""language"":"""&amp;Catalog!M87&amp;""",""identifier"":"""&amp;Catalog!C87&amp;"""}")</f>
        <v/>
      </c>
    </row>
    <row r="92">
      <c r="A92" s="23">
        <f>Catalog!A88</f>
        <v/>
      </c>
      <c r="B92" s="24">
        <f>Catalog!D88</f>
        <v/>
      </c>
      <c r="C92" s="24">
        <f>Catalog!F88</f>
        <v/>
      </c>
      <c r="D92" s="31">
        <f>IF(Catalog!D88="","","{""item_id"":"&amp;Catalog!A88&amp;",""title"":"""&amp;SUBSTITUTE(Catalog!D88,"""","\""")&amp;""",""creator"":"""&amp;SUBSTITUTE(Catalog!F88,"""","\""")&amp;""",""language"":"""&amp;Catalog!M88&amp;""",""identifier"":"""&amp;Catalog!C88&amp;"""}")</f>
        <v/>
      </c>
    </row>
    <row r="93">
      <c r="A93" s="23">
        <f>Catalog!A89</f>
        <v/>
      </c>
      <c r="B93" s="24">
        <f>Catalog!D89</f>
        <v/>
      </c>
      <c r="C93" s="24">
        <f>Catalog!F89</f>
        <v/>
      </c>
      <c r="D93" s="31">
        <f>IF(Catalog!D89="","","{""item_id"":"&amp;Catalog!A89&amp;",""title"":"""&amp;SUBSTITUTE(Catalog!D89,"""","\""")&amp;""",""creator"":"""&amp;SUBSTITUTE(Catalog!F89,"""","\""")&amp;""",""language"":"""&amp;Catalog!M89&amp;""",""identifier"":"""&amp;Catalog!C89&amp;"""}")</f>
        <v/>
      </c>
    </row>
    <row r="94">
      <c r="A94" s="23">
        <f>Catalog!A90</f>
        <v/>
      </c>
      <c r="B94" s="24">
        <f>Catalog!D90</f>
        <v/>
      </c>
      <c r="C94" s="24">
        <f>Catalog!F90</f>
        <v/>
      </c>
      <c r="D94" s="31">
        <f>IF(Catalog!D90="","","{""item_id"":"&amp;Catalog!A90&amp;",""title"":"""&amp;SUBSTITUTE(Catalog!D90,"""","\""")&amp;""",""creator"":"""&amp;SUBSTITUTE(Catalog!F90,"""","\""")&amp;""",""language"":"""&amp;Catalog!M90&amp;""",""identifier"":"""&amp;Catalog!C90&amp;"""}")</f>
        <v/>
      </c>
    </row>
    <row r="95">
      <c r="A95" s="23">
        <f>Catalog!A91</f>
        <v/>
      </c>
      <c r="B95" s="24">
        <f>Catalog!D91</f>
        <v/>
      </c>
      <c r="C95" s="24">
        <f>Catalog!F91</f>
        <v/>
      </c>
      <c r="D95" s="31">
        <f>IF(Catalog!D91="","","{""item_id"":"&amp;Catalog!A91&amp;",""title"":"""&amp;SUBSTITUTE(Catalog!D91,"""","\""")&amp;""",""creator"":"""&amp;SUBSTITUTE(Catalog!F91,"""","\""")&amp;""",""language"":"""&amp;Catalog!M91&amp;""",""identifier"":"""&amp;Catalog!C91&amp;"""}")</f>
        <v/>
      </c>
    </row>
    <row r="96">
      <c r="A96" s="23">
        <f>Catalog!A92</f>
        <v/>
      </c>
      <c r="B96" s="24">
        <f>Catalog!D92</f>
        <v/>
      </c>
      <c r="C96" s="24">
        <f>Catalog!F92</f>
        <v/>
      </c>
      <c r="D96" s="31">
        <f>IF(Catalog!D92="","","{""item_id"":"&amp;Catalog!A92&amp;",""title"":"""&amp;SUBSTITUTE(Catalog!D92,"""","\""")&amp;""",""creator"":"""&amp;SUBSTITUTE(Catalog!F92,"""","\""")&amp;""",""language"":"""&amp;Catalog!M92&amp;""",""identifier"":"""&amp;Catalog!C92&amp;"""}")</f>
        <v/>
      </c>
    </row>
    <row r="97">
      <c r="A97" s="23">
        <f>Catalog!A93</f>
        <v/>
      </c>
      <c r="B97" s="24">
        <f>Catalog!D93</f>
        <v/>
      </c>
      <c r="C97" s="24">
        <f>Catalog!F93</f>
        <v/>
      </c>
      <c r="D97" s="31">
        <f>IF(Catalog!D93="","","{""item_id"":"&amp;Catalog!A93&amp;",""title"":"""&amp;SUBSTITUTE(Catalog!D93,"""","\""")&amp;""",""creator"":"""&amp;SUBSTITUTE(Catalog!F93,"""","\""")&amp;""",""language"":"""&amp;Catalog!M93&amp;""",""identifier"":"""&amp;Catalog!C93&amp;"""}")</f>
        <v/>
      </c>
    </row>
    <row r="98">
      <c r="A98" s="23">
        <f>Catalog!A94</f>
        <v/>
      </c>
      <c r="B98" s="24">
        <f>Catalog!D94</f>
        <v/>
      </c>
      <c r="C98" s="24">
        <f>Catalog!F94</f>
        <v/>
      </c>
      <c r="D98" s="31">
        <f>IF(Catalog!D94="","","{""item_id"":"&amp;Catalog!A94&amp;",""title"":"""&amp;SUBSTITUTE(Catalog!D94,"""","\""")&amp;""",""creator"":"""&amp;SUBSTITUTE(Catalog!F94,"""","\""")&amp;""",""language"":"""&amp;Catalog!M94&amp;""",""identifier"":"""&amp;Catalog!C94&amp;"""}")</f>
        <v/>
      </c>
    </row>
    <row r="99">
      <c r="A99" s="23">
        <f>Catalog!A95</f>
        <v/>
      </c>
      <c r="B99" s="24">
        <f>Catalog!D95</f>
        <v/>
      </c>
      <c r="C99" s="24">
        <f>Catalog!F95</f>
        <v/>
      </c>
      <c r="D99" s="31">
        <f>IF(Catalog!D95="","","{""item_id"":"&amp;Catalog!A95&amp;",""title"":"""&amp;SUBSTITUTE(Catalog!D95,"""","\""")&amp;""",""creator"":"""&amp;SUBSTITUTE(Catalog!F95,"""","\""")&amp;""",""language"":"""&amp;Catalog!M95&amp;""",""identifier"":"""&amp;Catalog!C95&amp;"""}")</f>
        <v/>
      </c>
    </row>
    <row r="100">
      <c r="A100" s="23">
        <f>Catalog!A96</f>
        <v/>
      </c>
      <c r="B100" s="24">
        <f>Catalog!D96</f>
        <v/>
      </c>
      <c r="C100" s="24">
        <f>Catalog!F96</f>
        <v/>
      </c>
      <c r="D100" s="31">
        <f>IF(Catalog!D96="","","{""item_id"":"&amp;Catalog!A96&amp;",""title"":"""&amp;SUBSTITUTE(Catalog!D96,"""","\""")&amp;""",""creator"":"""&amp;SUBSTITUTE(Catalog!F96,"""","\""")&amp;""",""language"":"""&amp;Catalog!M96&amp;""",""identifier"":"""&amp;Catalog!C96&amp;"""}")</f>
        <v/>
      </c>
    </row>
    <row r="101">
      <c r="A101" s="23">
        <f>Catalog!A97</f>
        <v/>
      </c>
      <c r="B101" s="24">
        <f>Catalog!D97</f>
        <v/>
      </c>
      <c r="C101" s="24">
        <f>Catalog!F97</f>
        <v/>
      </c>
      <c r="D101" s="31">
        <f>IF(Catalog!D97="","","{""item_id"":"&amp;Catalog!A97&amp;",""title"":"""&amp;SUBSTITUTE(Catalog!D97,"""","\""")&amp;""",""creator"":"""&amp;SUBSTITUTE(Catalog!F97,"""","\""")&amp;""",""language"":"""&amp;Catalog!M97&amp;""",""identifier"":"""&amp;Catalog!C97&amp;"""}")</f>
        <v/>
      </c>
    </row>
    <row r="102">
      <c r="A102" s="23">
        <f>Catalog!A98</f>
        <v/>
      </c>
      <c r="B102" s="24">
        <f>Catalog!D98</f>
        <v/>
      </c>
      <c r="C102" s="24">
        <f>Catalog!F98</f>
        <v/>
      </c>
      <c r="D102" s="31">
        <f>IF(Catalog!D98="","","{""item_id"":"&amp;Catalog!A98&amp;",""title"":"""&amp;SUBSTITUTE(Catalog!D98,"""","\""")&amp;""",""creator"":"""&amp;SUBSTITUTE(Catalog!F98,"""","\""")&amp;""",""language"":"""&amp;Catalog!M98&amp;""",""identifier"":"""&amp;Catalog!C98&amp;"""}")</f>
        <v/>
      </c>
    </row>
    <row r="103">
      <c r="A103" s="23">
        <f>Catalog!A99</f>
        <v/>
      </c>
      <c r="B103" s="24">
        <f>Catalog!D99</f>
        <v/>
      </c>
      <c r="C103" s="24">
        <f>Catalog!F99</f>
        <v/>
      </c>
      <c r="D103" s="31">
        <f>IF(Catalog!D99="","","{""item_id"":"&amp;Catalog!A99&amp;",""title"":"""&amp;SUBSTITUTE(Catalog!D99,"""","\""")&amp;""",""creator"":"""&amp;SUBSTITUTE(Catalog!F99,"""","\""")&amp;""",""language"":"""&amp;Catalog!M99&amp;""",""identifier"":"""&amp;Catalog!C99&amp;"""}")</f>
        <v/>
      </c>
    </row>
    <row r="104">
      <c r="A104" s="23">
        <f>Catalog!A100</f>
        <v/>
      </c>
      <c r="B104" s="24">
        <f>Catalog!D100</f>
        <v/>
      </c>
      <c r="C104" s="24">
        <f>Catalog!F100</f>
        <v/>
      </c>
      <c r="D104" s="31">
        <f>IF(Catalog!D100="","","{""item_id"":"&amp;Catalog!A100&amp;",""title"":"""&amp;SUBSTITUTE(Catalog!D100,"""","\""")&amp;""",""creator"":"""&amp;SUBSTITUTE(Catalog!F100,"""","\""")&amp;""",""language"":"""&amp;Catalog!M100&amp;""",""identifier"":"""&amp;Catalog!C100&amp;"""}")</f>
        <v/>
      </c>
    </row>
    <row r="105">
      <c r="A105" s="23">
        <f>Catalog!A101</f>
        <v/>
      </c>
      <c r="B105" s="24">
        <f>Catalog!D101</f>
        <v/>
      </c>
      <c r="C105" s="24">
        <f>Catalog!F101</f>
        <v/>
      </c>
      <c r="D105" s="31">
        <f>IF(Catalog!D101="","","{""item_id"":"&amp;Catalog!A101&amp;",""title"":"""&amp;SUBSTITUTE(Catalog!D101,"""","\""")&amp;""",""creator"":"""&amp;SUBSTITUTE(Catalog!F101,"""","\""")&amp;""",""language"":"""&amp;Catalog!M101&amp;""",""identifier"":"""&amp;Catalog!C101&amp;"""}")</f>
        <v/>
      </c>
    </row>
    <row r="106">
      <c r="A106" s="23">
        <f>Catalog!A102</f>
        <v/>
      </c>
      <c r="B106" s="24">
        <f>Catalog!D102</f>
        <v/>
      </c>
      <c r="C106" s="24">
        <f>Catalog!F102</f>
        <v/>
      </c>
      <c r="D106" s="31">
        <f>IF(Catalog!D102="","","{""item_id"":"&amp;Catalog!A102&amp;",""title"":"""&amp;SUBSTITUTE(Catalog!D102,"""","\""")&amp;""",""creator"":"""&amp;SUBSTITUTE(Catalog!F102,"""","\""")&amp;""",""language"":"""&amp;Catalog!M102&amp;""",""identifier"":"""&amp;Catalog!C102&amp;"""}")</f>
        <v/>
      </c>
    </row>
    <row r="107">
      <c r="A107" s="23">
        <f>Catalog!A103</f>
        <v/>
      </c>
      <c r="B107" s="24">
        <f>Catalog!D103</f>
        <v/>
      </c>
      <c r="C107" s="24">
        <f>Catalog!F103</f>
        <v/>
      </c>
      <c r="D107" s="31">
        <f>IF(Catalog!D103="","","{""item_id"":"&amp;Catalog!A103&amp;",""title"":"""&amp;SUBSTITUTE(Catalog!D103,"""","\""")&amp;""",""creator"":"""&amp;SUBSTITUTE(Catalog!F103,"""","\""")&amp;""",""language"":"""&amp;Catalog!M103&amp;""",""identifier"":"""&amp;Catalog!C103&amp;"""}")</f>
        <v/>
      </c>
    </row>
    <row r="108">
      <c r="A108" s="23">
        <f>Catalog!A104</f>
        <v/>
      </c>
      <c r="B108" s="24">
        <f>Catalog!D104</f>
        <v/>
      </c>
      <c r="C108" s="24">
        <f>Catalog!F104</f>
        <v/>
      </c>
      <c r="D108" s="31">
        <f>IF(Catalog!D104="","","{""item_id"":"&amp;Catalog!A104&amp;",""title"":"""&amp;SUBSTITUTE(Catalog!D104,"""","\""")&amp;""",""creator"":"""&amp;SUBSTITUTE(Catalog!F104,"""","\""")&amp;""",""language"":"""&amp;Catalog!M104&amp;""",""identifier"":"""&amp;Catalog!C104&amp;"""}")</f>
        <v/>
      </c>
    </row>
    <row r="109">
      <c r="A109" s="23">
        <f>Catalog!A105</f>
        <v/>
      </c>
      <c r="B109" s="24">
        <f>Catalog!D105</f>
        <v/>
      </c>
      <c r="C109" s="24">
        <f>Catalog!F105</f>
        <v/>
      </c>
      <c r="D109" s="31">
        <f>IF(Catalog!D105="","","{""item_id"":"&amp;Catalog!A105&amp;",""title"":"""&amp;SUBSTITUTE(Catalog!D105,"""","\""")&amp;""",""creator"":"""&amp;SUBSTITUTE(Catalog!F105,"""","\""")&amp;""",""language"":"""&amp;Catalog!M105&amp;""",""identifier"":"""&amp;Catalog!C105&amp;"""}")</f>
        <v/>
      </c>
    </row>
    <row r="110">
      <c r="A110" s="23">
        <f>Catalog!A106</f>
        <v/>
      </c>
      <c r="B110" s="24">
        <f>Catalog!D106</f>
        <v/>
      </c>
      <c r="C110" s="24">
        <f>Catalog!F106</f>
        <v/>
      </c>
      <c r="D110" s="31">
        <f>IF(Catalog!D106="","","{""item_id"":"&amp;Catalog!A106&amp;",""title"":"""&amp;SUBSTITUTE(Catalog!D106,"""","\""")&amp;""",""creator"":"""&amp;SUBSTITUTE(Catalog!F106,"""","\""")&amp;""",""language"":"""&amp;Catalog!M106&amp;""",""identifier"":"""&amp;Catalog!C106&amp;"""}")</f>
        <v/>
      </c>
    </row>
    <row r="111">
      <c r="A111" s="23">
        <f>Catalog!A107</f>
        <v/>
      </c>
      <c r="B111" s="24">
        <f>Catalog!D107</f>
        <v/>
      </c>
      <c r="C111" s="24">
        <f>Catalog!F107</f>
        <v/>
      </c>
      <c r="D111" s="31">
        <f>IF(Catalog!D107="","","{""item_id"":"&amp;Catalog!A107&amp;",""title"":"""&amp;SUBSTITUTE(Catalog!D107,"""","\""")&amp;""",""creator"":"""&amp;SUBSTITUTE(Catalog!F107,"""","\""")&amp;""",""language"":"""&amp;Catalog!M107&amp;""",""identifier"":"""&amp;Catalog!C107&amp;"""}")</f>
        <v/>
      </c>
    </row>
    <row r="112">
      <c r="A112" s="23">
        <f>Catalog!A108</f>
        <v/>
      </c>
      <c r="B112" s="24">
        <f>Catalog!D108</f>
        <v/>
      </c>
      <c r="C112" s="24">
        <f>Catalog!F108</f>
        <v/>
      </c>
      <c r="D112" s="31">
        <f>IF(Catalog!D108="","","{""item_id"":"&amp;Catalog!A108&amp;",""title"":"""&amp;SUBSTITUTE(Catalog!D108,"""","\""")&amp;""",""creator"":"""&amp;SUBSTITUTE(Catalog!F108,"""","\""")&amp;""",""language"":"""&amp;Catalog!M108&amp;""",""identifier"":"""&amp;Catalog!C108&amp;"""}")</f>
        <v/>
      </c>
    </row>
    <row r="113">
      <c r="A113" s="23">
        <f>Catalog!A109</f>
        <v/>
      </c>
      <c r="B113" s="24">
        <f>Catalog!D109</f>
        <v/>
      </c>
      <c r="C113" s="24">
        <f>Catalog!F109</f>
        <v/>
      </c>
      <c r="D113" s="31">
        <f>IF(Catalog!D109="","","{""item_id"":"&amp;Catalog!A109&amp;",""title"":"""&amp;SUBSTITUTE(Catalog!D109,"""","\""")&amp;""",""creator"":"""&amp;SUBSTITUTE(Catalog!F109,"""","\""")&amp;""",""language"":"""&amp;Catalog!M109&amp;""",""identifier"":"""&amp;Catalog!C109&amp;"""}")</f>
        <v/>
      </c>
    </row>
    <row r="114">
      <c r="A114" s="23">
        <f>Catalog!A110</f>
        <v/>
      </c>
      <c r="B114" s="24">
        <f>Catalog!D110</f>
        <v/>
      </c>
      <c r="C114" s="24">
        <f>Catalog!F110</f>
        <v/>
      </c>
      <c r="D114" s="31">
        <f>IF(Catalog!D110="","","{""item_id"":"&amp;Catalog!A110&amp;",""title"":"""&amp;SUBSTITUTE(Catalog!D110,"""","\""")&amp;""",""creator"":"""&amp;SUBSTITUTE(Catalog!F110,"""","\""")&amp;""",""language"":"""&amp;Catalog!M110&amp;""",""identifier"":"""&amp;Catalog!C110&amp;"""}")</f>
        <v/>
      </c>
    </row>
    <row r="115">
      <c r="A115" s="23">
        <f>Catalog!A111</f>
        <v/>
      </c>
      <c r="B115" s="24">
        <f>Catalog!D111</f>
        <v/>
      </c>
      <c r="C115" s="24">
        <f>Catalog!F111</f>
        <v/>
      </c>
      <c r="D115" s="31">
        <f>IF(Catalog!D111="","","{""item_id"":"&amp;Catalog!A111&amp;",""title"":"""&amp;SUBSTITUTE(Catalog!D111,"""","\""")&amp;""",""creator"":"""&amp;SUBSTITUTE(Catalog!F111,"""","\""")&amp;""",""language"":"""&amp;Catalog!M111&amp;""",""identifier"":"""&amp;Catalog!C111&amp;"""}")</f>
        <v/>
      </c>
    </row>
    <row r="116">
      <c r="A116" s="23">
        <f>Catalog!A112</f>
        <v/>
      </c>
      <c r="B116" s="24">
        <f>Catalog!D112</f>
        <v/>
      </c>
      <c r="C116" s="24">
        <f>Catalog!F112</f>
        <v/>
      </c>
      <c r="D116" s="31">
        <f>IF(Catalog!D112="","","{""item_id"":"&amp;Catalog!A112&amp;",""title"":"""&amp;SUBSTITUTE(Catalog!D112,"""","\""")&amp;""",""creator"":"""&amp;SUBSTITUTE(Catalog!F112,"""","\""")&amp;""",""language"":"""&amp;Catalog!M112&amp;""",""identifier"":"""&amp;Catalog!C112&amp;"""}")</f>
        <v/>
      </c>
    </row>
    <row r="117">
      <c r="A117" s="23">
        <f>Catalog!A113</f>
        <v/>
      </c>
      <c r="B117" s="24">
        <f>Catalog!D113</f>
        <v/>
      </c>
      <c r="C117" s="24">
        <f>Catalog!F113</f>
        <v/>
      </c>
      <c r="D117" s="31">
        <f>IF(Catalog!D113="","","{""item_id"":"&amp;Catalog!A113&amp;",""title"":"""&amp;SUBSTITUTE(Catalog!D113,"""","\""")&amp;""",""creator"":"""&amp;SUBSTITUTE(Catalog!F113,"""","\""")&amp;""",""language"":"""&amp;Catalog!M113&amp;""",""identifier"":"""&amp;Catalog!C113&amp;"""}")</f>
        <v/>
      </c>
    </row>
    <row r="118">
      <c r="A118" s="23">
        <f>Catalog!A114</f>
        <v/>
      </c>
      <c r="B118" s="24">
        <f>Catalog!D114</f>
        <v/>
      </c>
      <c r="C118" s="24">
        <f>Catalog!F114</f>
        <v/>
      </c>
      <c r="D118" s="31">
        <f>IF(Catalog!D114="","","{""item_id"":"&amp;Catalog!A114&amp;",""title"":"""&amp;SUBSTITUTE(Catalog!D114,"""","\""")&amp;""",""creator"":"""&amp;SUBSTITUTE(Catalog!F114,"""","\""")&amp;""",""language"":"""&amp;Catalog!M114&amp;""",""identifier"":"""&amp;Catalog!C114&amp;"""}")</f>
        <v/>
      </c>
    </row>
    <row r="119">
      <c r="A119" s="23">
        <f>Catalog!A115</f>
        <v/>
      </c>
      <c r="B119" s="24">
        <f>Catalog!D115</f>
        <v/>
      </c>
      <c r="C119" s="24">
        <f>Catalog!F115</f>
        <v/>
      </c>
      <c r="D119" s="31">
        <f>IF(Catalog!D115="","","{""item_id"":"&amp;Catalog!A115&amp;",""title"":"""&amp;SUBSTITUTE(Catalog!D115,"""","\""")&amp;""",""creator"":"""&amp;SUBSTITUTE(Catalog!F115,"""","\""")&amp;""",""language"":"""&amp;Catalog!M115&amp;""",""identifier"":"""&amp;Catalog!C115&amp;"""}")</f>
        <v/>
      </c>
    </row>
    <row r="120">
      <c r="A120" s="23">
        <f>Catalog!A116</f>
        <v/>
      </c>
      <c r="B120" s="24">
        <f>Catalog!D116</f>
        <v/>
      </c>
      <c r="C120" s="24">
        <f>Catalog!F116</f>
        <v/>
      </c>
      <c r="D120" s="31">
        <f>IF(Catalog!D116="","","{""item_id"":"&amp;Catalog!A116&amp;",""title"":"""&amp;SUBSTITUTE(Catalog!D116,"""","\""")&amp;""",""creator"":"""&amp;SUBSTITUTE(Catalog!F116,"""","\""")&amp;""",""language"":"""&amp;Catalog!M116&amp;""",""identifier"":"""&amp;Catalog!C116&amp;"""}")</f>
        <v/>
      </c>
    </row>
    <row r="121">
      <c r="A121" s="23">
        <f>Catalog!A117</f>
        <v/>
      </c>
      <c r="B121" s="24">
        <f>Catalog!D117</f>
        <v/>
      </c>
      <c r="C121" s="24">
        <f>Catalog!F117</f>
        <v/>
      </c>
      <c r="D121" s="31">
        <f>IF(Catalog!D117="","","{""item_id"":"&amp;Catalog!A117&amp;",""title"":"""&amp;SUBSTITUTE(Catalog!D117,"""","\""")&amp;""",""creator"":"""&amp;SUBSTITUTE(Catalog!F117,"""","\""")&amp;""",""language"":"""&amp;Catalog!M117&amp;""",""identifier"":"""&amp;Catalog!C117&amp;"""}")</f>
        <v/>
      </c>
    </row>
    <row r="122">
      <c r="A122" s="23">
        <f>Catalog!A118</f>
        <v/>
      </c>
      <c r="B122" s="24">
        <f>Catalog!D118</f>
        <v/>
      </c>
      <c r="C122" s="24">
        <f>Catalog!F118</f>
        <v/>
      </c>
      <c r="D122" s="31">
        <f>IF(Catalog!D118="","","{""item_id"":"&amp;Catalog!A118&amp;",""title"":"""&amp;SUBSTITUTE(Catalog!D118,"""","\""")&amp;""",""creator"":"""&amp;SUBSTITUTE(Catalog!F118,"""","\""")&amp;""",""language"":"""&amp;Catalog!M118&amp;""",""identifier"":"""&amp;Catalog!C118&amp;"""}")</f>
        <v/>
      </c>
    </row>
    <row r="123">
      <c r="A123" s="23">
        <f>Catalog!A119</f>
        <v/>
      </c>
      <c r="B123" s="24">
        <f>Catalog!D119</f>
        <v/>
      </c>
      <c r="C123" s="24">
        <f>Catalog!F119</f>
        <v/>
      </c>
      <c r="D123" s="31">
        <f>IF(Catalog!D119="","","{""item_id"":"&amp;Catalog!A119&amp;",""title"":"""&amp;SUBSTITUTE(Catalog!D119,"""","\""")&amp;""",""creator"":"""&amp;SUBSTITUTE(Catalog!F119,"""","\""")&amp;""",""language"":"""&amp;Catalog!M119&amp;""",""identifier"":"""&amp;Catalog!C119&amp;"""}")</f>
        <v/>
      </c>
    </row>
    <row r="124">
      <c r="A124" s="23">
        <f>Catalog!A120</f>
        <v/>
      </c>
      <c r="B124" s="24">
        <f>Catalog!D120</f>
        <v/>
      </c>
      <c r="C124" s="24">
        <f>Catalog!F120</f>
        <v/>
      </c>
      <c r="D124" s="31">
        <f>IF(Catalog!D120="","","{""item_id"":"&amp;Catalog!A120&amp;",""title"":"""&amp;SUBSTITUTE(Catalog!D120,"""","\""")&amp;""",""creator"":"""&amp;SUBSTITUTE(Catalog!F120,"""","\""")&amp;""",""language"":"""&amp;Catalog!M120&amp;""",""identifier"":"""&amp;Catalog!C120&amp;"""}")</f>
        <v/>
      </c>
    </row>
    <row r="125">
      <c r="A125" s="23">
        <f>Catalog!A121</f>
        <v/>
      </c>
      <c r="B125" s="24">
        <f>Catalog!D121</f>
        <v/>
      </c>
      <c r="C125" s="24">
        <f>Catalog!F121</f>
        <v/>
      </c>
      <c r="D125" s="31">
        <f>IF(Catalog!D121="","","{""item_id"":"&amp;Catalog!A121&amp;",""title"":"""&amp;SUBSTITUTE(Catalog!D121,"""","\""")&amp;""",""creator"":"""&amp;SUBSTITUTE(Catalog!F121,"""","\""")&amp;""",""language"":"""&amp;Catalog!M121&amp;""",""identifier"":"""&amp;Catalog!C121&amp;"""}")</f>
        <v/>
      </c>
    </row>
    <row r="126">
      <c r="A126" s="23">
        <f>Catalog!A122</f>
        <v/>
      </c>
      <c r="B126" s="24">
        <f>Catalog!D122</f>
        <v/>
      </c>
      <c r="C126" s="24">
        <f>Catalog!F122</f>
        <v/>
      </c>
      <c r="D126" s="31">
        <f>IF(Catalog!D122="","","{""item_id"":"&amp;Catalog!A122&amp;",""title"":"""&amp;SUBSTITUTE(Catalog!D122,"""","\""")&amp;""",""creator"":"""&amp;SUBSTITUTE(Catalog!F122,"""","\""")&amp;""",""language"":"""&amp;Catalog!M122&amp;""",""identifier"":"""&amp;Catalog!C122&amp;"""}")</f>
        <v/>
      </c>
    </row>
    <row r="127">
      <c r="A127" s="23">
        <f>Catalog!A123</f>
        <v/>
      </c>
      <c r="B127" s="24">
        <f>Catalog!D123</f>
        <v/>
      </c>
      <c r="C127" s="24">
        <f>Catalog!F123</f>
        <v/>
      </c>
      <c r="D127" s="31">
        <f>IF(Catalog!D123="","","{""item_id"":"&amp;Catalog!A123&amp;",""title"":"""&amp;SUBSTITUTE(Catalog!D123,"""","\""")&amp;""",""creator"":"""&amp;SUBSTITUTE(Catalog!F123,"""","\""")&amp;""",""language"":"""&amp;Catalog!M123&amp;""",""identifier"":"""&amp;Catalog!C123&amp;"""}")</f>
        <v/>
      </c>
    </row>
    <row r="128">
      <c r="A128" s="23">
        <f>Catalog!A124</f>
        <v/>
      </c>
      <c r="B128" s="24">
        <f>Catalog!D124</f>
        <v/>
      </c>
      <c r="C128" s="24">
        <f>Catalog!F124</f>
        <v/>
      </c>
      <c r="D128" s="31">
        <f>IF(Catalog!D124="","","{""item_id"":"&amp;Catalog!A124&amp;",""title"":"""&amp;SUBSTITUTE(Catalog!D124,"""","\""")&amp;""",""creator"":"""&amp;SUBSTITUTE(Catalog!F124,"""","\""")&amp;""",""language"":"""&amp;Catalog!M124&amp;""",""identifier"":"""&amp;Catalog!C124&amp;"""}")</f>
        <v/>
      </c>
    </row>
    <row r="129">
      <c r="A129" s="23">
        <f>Catalog!A125</f>
        <v/>
      </c>
      <c r="B129" s="24">
        <f>Catalog!D125</f>
        <v/>
      </c>
      <c r="C129" s="24">
        <f>Catalog!F125</f>
        <v/>
      </c>
      <c r="D129" s="31">
        <f>IF(Catalog!D125="","","{""item_id"":"&amp;Catalog!A125&amp;",""title"":"""&amp;SUBSTITUTE(Catalog!D125,"""","\""")&amp;""",""creator"":"""&amp;SUBSTITUTE(Catalog!F125,"""","\""")&amp;""",""language"":"""&amp;Catalog!M125&amp;""",""identifier"":"""&amp;Catalog!C125&amp;"""}")</f>
        <v/>
      </c>
    </row>
    <row r="130">
      <c r="A130" s="23">
        <f>Catalog!A126</f>
        <v/>
      </c>
      <c r="B130" s="24">
        <f>Catalog!D126</f>
        <v/>
      </c>
      <c r="C130" s="24">
        <f>Catalog!F126</f>
        <v/>
      </c>
      <c r="D130" s="31">
        <f>IF(Catalog!D126="","","{""item_id"":"&amp;Catalog!A126&amp;",""title"":"""&amp;SUBSTITUTE(Catalog!D126,"""","\""")&amp;""",""creator"":"""&amp;SUBSTITUTE(Catalog!F126,"""","\""")&amp;""",""language"":"""&amp;Catalog!M126&amp;""",""identifier"":"""&amp;Catalog!C126&amp;"""}")</f>
        <v/>
      </c>
    </row>
    <row r="131">
      <c r="A131" s="23">
        <f>Catalog!A127</f>
        <v/>
      </c>
      <c r="B131" s="24">
        <f>Catalog!D127</f>
        <v/>
      </c>
      <c r="C131" s="24">
        <f>Catalog!F127</f>
        <v/>
      </c>
      <c r="D131" s="31">
        <f>IF(Catalog!D127="","","{""item_id"":"&amp;Catalog!A127&amp;",""title"":"""&amp;SUBSTITUTE(Catalog!D127,"""","\""")&amp;""",""creator"":"""&amp;SUBSTITUTE(Catalog!F127,"""","\""")&amp;""",""language"":"""&amp;Catalog!M127&amp;""",""identifier"":"""&amp;Catalog!C127&amp;"""}")</f>
        <v/>
      </c>
    </row>
    <row r="132">
      <c r="A132" s="23">
        <f>Catalog!A128</f>
        <v/>
      </c>
      <c r="B132" s="24">
        <f>Catalog!D128</f>
        <v/>
      </c>
      <c r="C132" s="24">
        <f>Catalog!F128</f>
        <v/>
      </c>
      <c r="D132" s="31">
        <f>IF(Catalog!D128="","","{""item_id"":"&amp;Catalog!A128&amp;",""title"":"""&amp;SUBSTITUTE(Catalog!D128,"""","\""")&amp;""",""creator"":"""&amp;SUBSTITUTE(Catalog!F128,"""","\""")&amp;""",""language"":"""&amp;Catalog!M128&amp;""",""identifier"":"""&amp;Catalog!C128&amp;"""}")</f>
        <v/>
      </c>
    </row>
    <row r="133">
      <c r="A133" s="23">
        <f>Catalog!A129</f>
        <v/>
      </c>
      <c r="B133" s="24">
        <f>Catalog!D129</f>
        <v/>
      </c>
      <c r="C133" s="24">
        <f>Catalog!F129</f>
        <v/>
      </c>
      <c r="D133" s="31">
        <f>IF(Catalog!D129="","","{""item_id"":"&amp;Catalog!A129&amp;",""title"":"""&amp;SUBSTITUTE(Catalog!D129,"""","\""")&amp;""",""creator"":"""&amp;SUBSTITUTE(Catalog!F129,"""","\""")&amp;""",""language"":"""&amp;Catalog!M129&amp;""",""identifier"":"""&amp;Catalog!C129&amp;"""}")</f>
        <v/>
      </c>
    </row>
    <row r="134">
      <c r="A134" s="23">
        <f>Catalog!A130</f>
        <v/>
      </c>
      <c r="B134" s="24">
        <f>Catalog!D130</f>
        <v/>
      </c>
      <c r="C134" s="24">
        <f>Catalog!F130</f>
        <v/>
      </c>
      <c r="D134" s="31">
        <f>IF(Catalog!D130="","","{""item_id"":"&amp;Catalog!A130&amp;",""title"":"""&amp;SUBSTITUTE(Catalog!D130,"""","\""")&amp;""",""creator"":"""&amp;SUBSTITUTE(Catalog!F130,"""","\""")&amp;""",""language"":"""&amp;Catalog!M130&amp;""",""identifier"":"""&amp;Catalog!C130&amp;"""}")</f>
        <v/>
      </c>
    </row>
    <row r="135">
      <c r="A135" s="23">
        <f>Catalog!A131</f>
        <v/>
      </c>
      <c r="B135" s="24">
        <f>Catalog!D131</f>
        <v/>
      </c>
      <c r="C135" s="24">
        <f>Catalog!F131</f>
        <v/>
      </c>
      <c r="D135" s="31">
        <f>IF(Catalog!D131="","","{""item_id"":"&amp;Catalog!A131&amp;",""title"":"""&amp;SUBSTITUTE(Catalog!D131,"""","\""")&amp;""",""creator"":"""&amp;SUBSTITUTE(Catalog!F131,"""","\""")&amp;""",""language"":"""&amp;Catalog!M131&amp;""",""identifier"":"""&amp;Catalog!C131&amp;"""}")</f>
        <v/>
      </c>
    </row>
    <row r="136">
      <c r="A136" s="23">
        <f>Catalog!A132</f>
        <v/>
      </c>
      <c r="B136" s="24">
        <f>Catalog!D132</f>
        <v/>
      </c>
      <c r="C136" s="24">
        <f>Catalog!F132</f>
        <v/>
      </c>
      <c r="D136" s="31">
        <f>IF(Catalog!D132="","","{""item_id"":"&amp;Catalog!A132&amp;",""title"":"""&amp;SUBSTITUTE(Catalog!D132,"""","\""")&amp;""",""creator"":"""&amp;SUBSTITUTE(Catalog!F132,"""","\""")&amp;""",""language"":"""&amp;Catalog!M132&amp;""",""identifier"":"""&amp;Catalog!C132&amp;"""}")</f>
        <v/>
      </c>
    </row>
    <row r="137">
      <c r="A137" s="23">
        <f>Catalog!A133</f>
        <v/>
      </c>
      <c r="B137" s="24">
        <f>Catalog!D133</f>
        <v/>
      </c>
      <c r="C137" s="24">
        <f>Catalog!F133</f>
        <v/>
      </c>
      <c r="D137" s="31">
        <f>IF(Catalog!D133="","","{""item_id"":"&amp;Catalog!A133&amp;",""title"":"""&amp;SUBSTITUTE(Catalog!D133,"""","\""")&amp;""",""creator"":"""&amp;SUBSTITUTE(Catalog!F133,"""","\""")&amp;""",""language"":"""&amp;Catalog!M133&amp;""",""identifier"":"""&amp;Catalog!C133&amp;"""}")</f>
        <v/>
      </c>
    </row>
    <row r="138">
      <c r="A138" s="23">
        <f>Catalog!A134</f>
        <v/>
      </c>
      <c r="B138" s="24">
        <f>Catalog!D134</f>
        <v/>
      </c>
      <c r="C138" s="24">
        <f>Catalog!F134</f>
        <v/>
      </c>
      <c r="D138" s="31">
        <f>IF(Catalog!D134="","","{""item_id"":"&amp;Catalog!A134&amp;",""title"":"""&amp;SUBSTITUTE(Catalog!D134,"""","\""")&amp;""",""creator"":"""&amp;SUBSTITUTE(Catalog!F134,"""","\""")&amp;""",""language"":"""&amp;Catalog!M134&amp;""",""identifier"":"""&amp;Catalog!C134&amp;"""}")</f>
        <v/>
      </c>
    </row>
    <row r="139">
      <c r="A139" s="23">
        <f>Catalog!A135</f>
        <v/>
      </c>
      <c r="B139" s="24">
        <f>Catalog!D135</f>
        <v/>
      </c>
      <c r="C139" s="24">
        <f>Catalog!F135</f>
        <v/>
      </c>
      <c r="D139" s="31">
        <f>IF(Catalog!D135="","","{""item_id"":"&amp;Catalog!A135&amp;",""title"":"""&amp;SUBSTITUTE(Catalog!D135,"""","\""")&amp;""",""creator"":"""&amp;SUBSTITUTE(Catalog!F135,"""","\""")&amp;""",""language"":"""&amp;Catalog!M135&amp;""",""identifier"":"""&amp;Catalog!C135&amp;"""}")</f>
        <v/>
      </c>
    </row>
    <row r="140">
      <c r="A140" s="23">
        <f>Catalog!A136</f>
        <v/>
      </c>
      <c r="B140" s="24">
        <f>Catalog!D136</f>
        <v/>
      </c>
      <c r="C140" s="24">
        <f>Catalog!F136</f>
        <v/>
      </c>
      <c r="D140" s="31">
        <f>IF(Catalog!D136="","","{""item_id"":"&amp;Catalog!A136&amp;",""title"":"""&amp;SUBSTITUTE(Catalog!D136,"""","\""")&amp;""",""creator"":"""&amp;SUBSTITUTE(Catalog!F136,"""","\""")&amp;""",""language"":"""&amp;Catalog!M136&amp;""",""identifier"":"""&amp;Catalog!C136&amp;"""}")</f>
        <v/>
      </c>
    </row>
    <row r="141">
      <c r="A141" s="23">
        <f>Catalog!A137</f>
        <v/>
      </c>
      <c r="B141" s="24">
        <f>Catalog!D137</f>
        <v/>
      </c>
      <c r="C141" s="24">
        <f>Catalog!F137</f>
        <v/>
      </c>
      <c r="D141" s="31">
        <f>IF(Catalog!D137="","","{""item_id"":"&amp;Catalog!A137&amp;",""title"":"""&amp;SUBSTITUTE(Catalog!D137,"""","\""")&amp;""",""creator"":"""&amp;SUBSTITUTE(Catalog!F137,"""","\""")&amp;""",""language"":"""&amp;Catalog!M137&amp;""",""identifier"":"""&amp;Catalog!C137&amp;"""}")</f>
        <v/>
      </c>
    </row>
    <row r="142">
      <c r="A142" s="23">
        <f>Catalog!A138</f>
        <v/>
      </c>
      <c r="B142" s="24">
        <f>Catalog!D138</f>
        <v/>
      </c>
      <c r="C142" s="24">
        <f>Catalog!F138</f>
        <v/>
      </c>
      <c r="D142" s="31">
        <f>IF(Catalog!D138="","","{""item_id"":"&amp;Catalog!A138&amp;",""title"":"""&amp;SUBSTITUTE(Catalog!D138,"""","\""")&amp;""",""creator"":"""&amp;SUBSTITUTE(Catalog!F138,"""","\""")&amp;""",""language"":"""&amp;Catalog!M138&amp;""",""identifier"":"""&amp;Catalog!C138&amp;"""}")</f>
        <v/>
      </c>
    </row>
    <row r="143">
      <c r="A143" s="23">
        <f>Catalog!A139</f>
        <v/>
      </c>
      <c r="B143" s="24">
        <f>Catalog!D139</f>
        <v/>
      </c>
      <c r="C143" s="24">
        <f>Catalog!F139</f>
        <v/>
      </c>
      <c r="D143" s="31">
        <f>IF(Catalog!D139="","","{""item_id"":"&amp;Catalog!A139&amp;",""title"":"""&amp;SUBSTITUTE(Catalog!D139,"""","\""")&amp;""",""creator"":"""&amp;SUBSTITUTE(Catalog!F139,"""","\""")&amp;""",""language"":"""&amp;Catalog!M139&amp;""",""identifier"":"""&amp;Catalog!C139&amp;"""}")</f>
        <v/>
      </c>
    </row>
    <row r="144">
      <c r="A144" s="23">
        <f>Catalog!A140</f>
        <v/>
      </c>
      <c r="B144" s="24">
        <f>Catalog!D140</f>
        <v/>
      </c>
      <c r="C144" s="24">
        <f>Catalog!F140</f>
        <v/>
      </c>
      <c r="D144" s="31">
        <f>IF(Catalog!D140="","","{""item_id"":"&amp;Catalog!A140&amp;",""title"":"""&amp;SUBSTITUTE(Catalog!D140,"""","\""")&amp;""",""creator"":"""&amp;SUBSTITUTE(Catalog!F140,"""","\""")&amp;""",""language"":"""&amp;Catalog!M140&amp;""",""identifier"":"""&amp;Catalog!C140&amp;"""}")</f>
        <v/>
      </c>
    </row>
    <row r="145">
      <c r="A145" s="23">
        <f>Catalog!A141</f>
        <v/>
      </c>
      <c r="B145" s="24">
        <f>Catalog!D141</f>
        <v/>
      </c>
      <c r="C145" s="24">
        <f>Catalog!F141</f>
        <v/>
      </c>
      <c r="D145" s="31">
        <f>IF(Catalog!D141="","","{""item_id"":"&amp;Catalog!A141&amp;",""title"":"""&amp;SUBSTITUTE(Catalog!D141,"""","\""")&amp;""",""creator"":"""&amp;SUBSTITUTE(Catalog!F141,"""","\""")&amp;""",""language"":"""&amp;Catalog!M141&amp;""",""identifier"":"""&amp;Catalog!C141&amp;"""}")</f>
        <v/>
      </c>
    </row>
    <row r="146">
      <c r="A146" s="23">
        <f>Catalog!A142</f>
        <v/>
      </c>
      <c r="B146" s="24">
        <f>Catalog!D142</f>
        <v/>
      </c>
      <c r="C146" s="24">
        <f>Catalog!F142</f>
        <v/>
      </c>
      <c r="D146" s="31">
        <f>IF(Catalog!D142="","","{""item_id"":"&amp;Catalog!A142&amp;",""title"":"""&amp;SUBSTITUTE(Catalog!D142,"""","\""")&amp;""",""creator"":"""&amp;SUBSTITUTE(Catalog!F142,"""","\""")&amp;""",""language"":"""&amp;Catalog!M142&amp;""",""identifier"":"""&amp;Catalog!C142&amp;"""}")</f>
        <v/>
      </c>
    </row>
    <row r="147">
      <c r="A147" s="23">
        <f>Catalog!A143</f>
        <v/>
      </c>
      <c r="B147" s="24">
        <f>Catalog!D143</f>
        <v/>
      </c>
      <c r="C147" s="24">
        <f>Catalog!F143</f>
        <v/>
      </c>
      <c r="D147" s="31">
        <f>IF(Catalog!D143="","","{""item_id"":"&amp;Catalog!A143&amp;",""title"":"""&amp;SUBSTITUTE(Catalog!D143,"""","\""")&amp;""",""creator"":"""&amp;SUBSTITUTE(Catalog!F143,"""","\""")&amp;""",""language"":"""&amp;Catalog!M143&amp;""",""identifier"":"""&amp;Catalog!C143&amp;"""}")</f>
        <v/>
      </c>
    </row>
    <row r="148">
      <c r="A148" s="23">
        <f>Catalog!A144</f>
        <v/>
      </c>
      <c r="B148" s="24">
        <f>Catalog!D144</f>
        <v/>
      </c>
      <c r="C148" s="24">
        <f>Catalog!F144</f>
        <v/>
      </c>
      <c r="D148" s="31">
        <f>IF(Catalog!D144="","","{""item_id"":"&amp;Catalog!A144&amp;",""title"":"""&amp;SUBSTITUTE(Catalog!D144,"""","\""")&amp;""",""creator"":"""&amp;SUBSTITUTE(Catalog!F144,"""","\""")&amp;""",""language"":"""&amp;Catalog!M144&amp;""",""identifier"":"""&amp;Catalog!C144&amp;"""}")</f>
        <v/>
      </c>
    </row>
    <row r="149">
      <c r="A149" s="23">
        <f>Catalog!A145</f>
        <v/>
      </c>
      <c r="B149" s="24">
        <f>Catalog!D145</f>
        <v/>
      </c>
      <c r="C149" s="24">
        <f>Catalog!F145</f>
        <v/>
      </c>
      <c r="D149" s="31">
        <f>IF(Catalog!D145="","","{""item_id"":"&amp;Catalog!A145&amp;",""title"":"""&amp;SUBSTITUTE(Catalog!D145,"""","\""")&amp;""",""creator"":"""&amp;SUBSTITUTE(Catalog!F145,"""","\""")&amp;""",""language"":"""&amp;Catalog!M145&amp;""",""identifier"":"""&amp;Catalog!C145&amp;"""}")</f>
        <v/>
      </c>
    </row>
    <row r="150">
      <c r="A150" s="23">
        <f>Catalog!A146</f>
        <v/>
      </c>
      <c r="B150" s="24">
        <f>Catalog!D146</f>
        <v/>
      </c>
      <c r="C150" s="24">
        <f>Catalog!F146</f>
        <v/>
      </c>
      <c r="D150" s="31">
        <f>IF(Catalog!D146="","","{""item_id"":"&amp;Catalog!A146&amp;",""title"":"""&amp;SUBSTITUTE(Catalog!D146,"""","\""")&amp;""",""creator"":"""&amp;SUBSTITUTE(Catalog!F146,"""","\""")&amp;""",""language"":"""&amp;Catalog!M146&amp;""",""identifier"":"""&amp;Catalog!C146&amp;"""}")</f>
        <v/>
      </c>
    </row>
    <row r="151">
      <c r="A151" s="23">
        <f>Catalog!A147</f>
        <v/>
      </c>
      <c r="B151" s="24">
        <f>Catalog!D147</f>
        <v/>
      </c>
      <c r="C151" s="24">
        <f>Catalog!F147</f>
        <v/>
      </c>
      <c r="D151" s="31">
        <f>IF(Catalog!D147="","","{""item_id"":"&amp;Catalog!A147&amp;",""title"":"""&amp;SUBSTITUTE(Catalog!D147,"""","\""")&amp;""",""creator"":"""&amp;SUBSTITUTE(Catalog!F147,"""","\""")&amp;""",""language"":"""&amp;Catalog!M147&amp;""",""identifier"":"""&amp;Catalog!C147&amp;"""}")</f>
        <v/>
      </c>
    </row>
    <row r="152">
      <c r="A152" s="23">
        <f>Catalog!A148</f>
        <v/>
      </c>
      <c r="B152" s="24">
        <f>Catalog!D148</f>
        <v/>
      </c>
      <c r="C152" s="24">
        <f>Catalog!F148</f>
        <v/>
      </c>
      <c r="D152" s="31">
        <f>IF(Catalog!D148="","","{""item_id"":"&amp;Catalog!A148&amp;",""title"":"""&amp;SUBSTITUTE(Catalog!D148,"""","\""")&amp;""",""creator"":"""&amp;SUBSTITUTE(Catalog!F148,"""","\""")&amp;""",""language"":"""&amp;Catalog!M148&amp;""",""identifier"":"""&amp;Catalog!C148&amp;"""}")</f>
        <v/>
      </c>
    </row>
    <row r="153">
      <c r="A153" s="23">
        <f>Catalog!A149</f>
        <v/>
      </c>
      <c r="B153" s="24">
        <f>Catalog!D149</f>
        <v/>
      </c>
      <c r="C153" s="24">
        <f>Catalog!F149</f>
        <v/>
      </c>
      <c r="D153" s="31">
        <f>IF(Catalog!D149="","","{""item_id"":"&amp;Catalog!A149&amp;",""title"":"""&amp;SUBSTITUTE(Catalog!D149,"""","\""")&amp;""",""creator"":"""&amp;SUBSTITUTE(Catalog!F149,"""","\""")&amp;""",""language"":"""&amp;Catalog!M149&amp;""",""identifier"":"""&amp;Catalog!C149&amp;"""}")</f>
        <v/>
      </c>
    </row>
    <row r="154">
      <c r="A154" s="23">
        <f>Catalog!A150</f>
        <v/>
      </c>
      <c r="B154" s="24">
        <f>Catalog!D150</f>
        <v/>
      </c>
      <c r="C154" s="24">
        <f>Catalog!F150</f>
        <v/>
      </c>
      <c r="D154" s="31">
        <f>IF(Catalog!D150="","","{""item_id"":"&amp;Catalog!A150&amp;",""title"":"""&amp;SUBSTITUTE(Catalog!D150,"""","\""")&amp;""",""creator"":"""&amp;SUBSTITUTE(Catalog!F150,"""","\""")&amp;""",""language"":"""&amp;Catalog!M150&amp;""",""identifier"":"""&amp;Catalog!C150&amp;"""}")</f>
        <v/>
      </c>
    </row>
    <row r="155">
      <c r="A155" s="23">
        <f>Catalog!A151</f>
        <v/>
      </c>
      <c r="B155" s="24">
        <f>Catalog!D151</f>
        <v/>
      </c>
      <c r="C155" s="24">
        <f>Catalog!F151</f>
        <v/>
      </c>
      <c r="D155" s="31">
        <f>IF(Catalog!D151="","","{""item_id"":"&amp;Catalog!A151&amp;",""title"":"""&amp;SUBSTITUTE(Catalog!D151,"""","\""")&amp;""",""creator"":"""&amp;SUBSTITUTE(Catalog!F151,"""","\""")&amp;""",""language"":"""&amp;Catalog!M151&amp;""",""identifier"":"""&amp;Catalog!C151&amp;"""}")</f>
        <v/>
      </c>
    </row>
    <row r="156">
      <c r="A156" s="23">
        <f>Catalog!A152</f>
        <v/>
      </c>
      <c r="B156" s="24">
        <f>Catalog!D152</f>
        <v/>
      </c>
      <c r="C156" s="24">
        <f>Catalog!F152</f>
        <v/>
      </c>
      <c r="D156" s="31">
        <f>IF(Catalog!D152="","","{""item_id"":"&amp;Catalog!A152&amp;",""title"":"""&amp;SUBSTITUTE(Catalog!D152,"""","\""")&amp;""",""creator"":"""&amp;SUBSTITUTE(Catalog!F152,"""","\""")&amp;""",""language"":"""&amp;Catalog!M152&amp;""",""identifier"":"""&amp;Catalog!C152&amp;"""}")</f>
        <v/>
      </c>
    </row>
    <row r="157">
      <c r="A157" s="23">
        <f>Catalog!A153</f>
        <v/>
      </c>
      <c r="B157" s="24">
        <f>Catalog!D153</f>
        <v/>
      </c>
      <c r="C157" s="24">
        <f>Catalog!F153</f>
        <v/>
      </c>
      <c r="D157" s="31">
        <f>IF(Catalog!D153="","","{""item_id"":"&amp;Catalog!A153&amp;",""title"":"""&amp;SUBSTITUTE(Catalog!D153,"""","\""")&amp;""",""creator"":"""&amp;SUBSTITUTE(Catalog!F153,"""","\""")&amp;""",""language"":"""&amp;Catalog!M153&amp;""",""identifier"":"""&amp;Catalog!C153&amp;"""}")</f>
        <v/>
      </c>
    </row>
    <row r="158">
      <c r="A158" s="23">
        <f>Catalog!A154</f>
        <v/>
      </c>
      <c r="B158" s="24">
        <f>Catalog!D154</f>
        <v/>
      </c>
      <c r="C158" s="24">
        <f>Catalog!F154</f>
        <v/>
      </c>
      <c r="D158" s="31">
        <f>IF(Catalog!D154="","","{""item_id"":"&amp;Catalog!A154&amp;",""title"":"""&amp;SUBSTITUTE(Catalog!D154,"""","\""")&amp;""",""creator"":"""&amp;SUBSTITUTE(Catalog!F154,"""","\""")&amp;""",""language"":"""&amp;Catalog!M154&amp;""",""identifier"":"""&amp;Catalog!C154&amp;"""}")</f>
        <v/>
      </c>
    </row>
    <row r="159">
      <c r="A159" s="23">
        <f>Catalog!A155</f>
        <v/>
      </c>
      <c r="B159" s="24">
        <f>Catalog!D155</f>
        <v/>
      </c>
      <c r="C159" s="24">
        <f>Catalog!F155</f>
        <v/>
      </c>
      <c r="D159" s="31">
        <f>IF(Catalog!D155="","","{""item_id"":"&amp;Catalog!A155&amp;",""title"":"""&amp;SUBSTITUTE(Catalog!D155,"""","\""")&amp;""",""creator"":"""&amp;SUBSTITUTE(Catalog!F155,"""","\""")&amp;""",""language"":"""&amp;Catalog!M155&amp;""",""identifier"":"""&amp;Catalog!C155&amp;"""}")</f>
        <v/>
      </c>
    </row>
    <row r="160">
      <c r="A160" s="23">
        <f>Catalog!A156</f>
        <v/>
      </c>
      <c r="B160" s="24">
        <f>Catalog!D156</f>
        <v/>
      </c>
      <c r="C160" s="24">
        <f>Catalog!F156</f>
        <v/>
      </c>
      <c r="D160" s="31">
        <f>IF(Catalog!D156="","","{""item_id"":"&amp;Catalog!A156&amp;",""title"":"""&amp;SUBSTITUTE(Catalog!D156,"""","\""")&amp;""",""creator"":"""&amp;SUBSTITUTE(Catalog!F156,"""","\""")&amp;""",""language"":"""&amp;Catalog!M156&amp;""",""identifier"":"""&amp;Catalog!C156&amp;"""}")</f>
        <v/>
      </c>
    </row>
    <row r="161">
      <c r="A161" s="23">
        <f>Catalog!A157</f>
        <v/>
      </c>
      <c r="B161" s="24">
        <f>Catalog!D157</f>
        <v/>
      </c>
      <c r="C161" s="24">
        <f>Catalog!F157</f>
        <v/>
      </c>
      <c r="D161" s="31">
        <f>IF(Catalog!D157="","","{""item_id"":"&amp;Catalog!A157&amp;",""title"":"""&amp;SUBSTITUTE(Catalog!D157,"""","\""")&amp;""",""creator"":"""&amp;SUBSTITUTE(Catalog!F157,"""","\""")&amp;""",""language"":"""&amp;Catalog!M157&amp;""",""identifier"":"""&amp;Catalog!C157&amp;"""}")</f>
        <v/>
      </c>
    </row>
    <row r="162">
      <c r="A162" s="23">
        <f>Catalog!A158</f>
        <v/>
      </c>
      <c r="B162" s="24">
        <f>Catalog!D158</f>
        <v/>
      </c>
      <c r="C162" s="24">
        <f>Catalog!F158</f>
        <v/>
      </c>
      <c r="D162" s="31">
        <f>IF(Catalog!D158="","","{""item_id"":"&amp;Catalog!A158&amp;",""title"":"""&amp;SUBSTITUTE(Catalog!D158,"""","\""")&amp;""",""creator"":"""&amp;SUBSTITUTE(Catalog!F158,"""","\""")&amp;""",""language"":"""&amp;Catalog!M158&amp;""",""identifier"":"""&amp;Catalog!C158&amp;"""}")</f>
        <v/>
      </c>
    </row>
    <row r="163">
      <c r="A163" s="23">
        <f>Catalog!A159</f>
        <v/>
      </c>
      <c r="B163" s="24">
        <f>Catalog!D159</f>
        <v/>
      </c>
      <c r="C163" s="24">
        <f>Catalog!F159</f>
        <v/>
      </c>
      <c r="D163" s="31">
        <f>IF(Catalog!D159="","","{""item_id"":"&amp;Catalog!A159&amp;",""title"":"""&amp;SUBSTITUTE(Catalog!D159,"""","\""")&amp;""",""creator"":"""&amp;SUBSTITUTE(Catalog!F159,"""","\""")&amp;""",""language"":"""&amp;Catalog!M159&amp;""",""identifier"":"""&amp;Catalog!C159&amp;"""}")</f>
        <v/>
      </c>
    </row>
    <row r="164">
      <c r="A164" s="23">
        <f>Catalog!A160</f>
        <v/>
      </c>
      <c r="B164" s="24">
        <f>Catalog!D160</f>
        <v/>
      </c>
      <c r="C164" s="24">
        <f>Catalog!F160</f>
        <v/>
      </c>
      <c r="D164" s="31">
        <f>IF(Catalog!D160="","","{""item_id"":"&amp;Catalog!A160&amp;",""title"":"""&amp;SUBSTITUTE(Catalog!D160,"""","\""")&amp;""",""creator"":"""&amp;SUBSTITUTE(Catalog!F160,"""","\""")&amp;""",""language"":"""&amp;Catalog!M160&amp;""",""identifier"":"""&amp;Catalog!C160&amp;"""}")</f>
        <v/>
      </c>
    </row>
    <row r="165">
      <c r="A165" s="23">
        <f>Catalog!A161</f>
        <v/>
      </c>
      <c r="B165" s="24">
        <f>Catalog!D161</f>
        <v/>
      </c>
      <c r="C165" s="24">
        <f>Catalog!F161</f>
        <v/>
      </c>
      <c r="D165" s="31">
        <f>IF(Catalog!D161="","","{""item_id"":"&amp;Catalog!A161&amp;",""title"":"""&amp;SUBSTITUTE(Catalog!D161,"""","\""")&amp;""",""creator"":"""&amp;SUBSTITUTE(Catalog!F161,"""","\""")&amp;""",""language"":"""&amp;Catalog!M161&amp;""",""identifier"":"""&amp;Catalog!C161&amp;"""}")</f>
        <v/>
      </c>
    </row>
    <row r="166">
      <c r="A166" s="23">
        <f>Catalog!A162</f>
        <v/>
      </c>
      <c r="B166" s="24">
        <f>Catalog!D162</f>
        <v/>
      </c>
      <c r="C166" s="24">
        <f>Catalog!F162</f>
        <v/>
      </c>
      <c r="D166" s="31">
        <f>IF(Catalog!D162="","","{""item_id"":"&amp;Catalog!A162&amp;",""title"":"""&amp;SUBSTITUTE(Catalog!D162,"""","\""")&amp;""",""creator"":"""&amp;SUBSTITUTE(Catalog!F162,"""","\""")&amp;""",""language"":"""&amp;Catalog!M162&amp;""",""identifier"":"""&amp;Catalog!C162&amp;"""}")</f>
        <v/>
      </c>
    </row>
    <row r="167">
      <c r="A167" s="23">
        <f>Catalog!A163</f>
        <v/>
      </c>
      <c r="B167" s="24">
        <f>Catalog!D163</f>
        <v/>
      </c>
      <c r="C167" s="24">
        <f>Catalog!F163</f>
        <v/>
      </c>
      <c r="D167" s="31">
        <f>IF(Catalog!D163="","","{""item_id"":"&amp;Catalog!A163&amp;",""title"":"""&amp;SUBSTITUTE(Catalog!D163,"""","\""")&amp;""",""creator"":"""&amp;SUBSTITUTE(Catalog!F163,"""","\""")&amp;""",""language"":"""&amp;Catalog!M163&amp;""",""identifier"":"""&amp;Catalog!C163&amp;"""}")</f>
        <v/>
      </c>
    </row>
    <row r="168">
      <c r="A168" s="23">
        <f>Catalog!A164</f>
        <v/>
      </c>
      <c r="B168" s="24">
        <f>Catalog!D164</f>
        <v/>
      </c>
      <c r="C168" s="24">
        <f>Catalog!F164</f>
        <v/>
      </c>
      <c r="D168" s="31">
        <f>IF(Catalog!D164="","","{""item_id"":"&amp;Catalog!A164&amp;",""title"":"""&amp;SUBSTITUTE(Catalog!D164,"""","\""")&amp;""",""creator"":"""&amp;SUBSTITUTE(Catalog!F164,"""","\""")&amp;""",""language"":"""&amp;Catalog!M164&amp;""",""identifier"":"""&amp;Catalog!C164&amp;"""}")</f>
        <v/>
      </c>
    </row>
    <row r="169">
      <c r="A169" s="23">
        <f>Catalog!A165</f>
        <v/>
      </c>
      <c r="B169" s="24">
        <f>Catalog!D165</f>
        <v/>
      </c>
      <c r="C169" s="24">
        <f>Catalog!F165</f>
        <v/>
      </c>
      <c r="D169" s="31">
        <f>IF(Catalog!D165="","","{""item_id"":"&amp;Catalog!A165&amp;",""title"":"""&amp;SUBSTITUTE(Catalog!D165,"""","\""")&amp;""",""creator"":"""&amp;SUBSTITUTE(Catalog!F165,"""","\""")&amp;""",""language"":"""&amp;Catalog!M165&amp;""",""identifier"":"""&amp;Catalog!C165&amp;"""}")</f>
        <v/>
      </c>
    </row>
    <row r="170">
      <c r="A170" s="23">
        <f>Catalog!A166</f>
        <v/>
      </c>
      <c r="B170" s="24">
        <f>Catalog!D166</f>
        <v/>
      </c>
      <c r="C170" s="24">
        <f>Catalog!F166</f>
        <v/>
      </c>
      <c r="D170" s="31">
        <f>IF(Catalog!D166="","","{""item_id"":"&amp;Catalog!A166&amp;",""title"":"""&amp;SUBSTITUTE(Catalog!D166,"""","\""")&amp;""",""creator"":"""&amp;SUBSTITUTE(Catalog!F166,"""","\""")&amp;""",""language"":"""&amp;Catalog!M166&amp;""",""identifier"":"""&amp;Catalog!C166&amp;"""}")</f>
        <v/>
      </c>
    </row>
    <row r="171">
      <c r="A171" s="23">
        <f>Catalog!A167</f>
        <v/>
      </c>
      <c r="B171" s="24">
        <f>Catalog!D167</f>
        <v/>
      </c>
      <c r="C171" s="24">
        <f>Catalog!F167</f>
        <v/>
      </c>
      <c r="D171" s="31">
        <f>IF(Catalog!D167="","","{""item_id"":"&amp;Catalog!A167&amp;",""title"":"""&amp;SUBSTITUTE(Catalog!D167,"""","\""")&amp;""",""creator"":"""&amp;SUBSTITUTE(Catalog!F167,"""","\""")&amp;""",""language"":"""&amp;Catalog!M167&amp;""",""identifier"":"""&amp;Catalog!C167&amp;"""}")</f>
        <v/>
      </c>
    </row>
    <row r="172">
      <c r="A172" s="23">
        <f>Catalog!A168</f>
        <v/>
      </c>
      <c r="B172" s="24">
        <f>Catalog!D168</f>
        <v/>
      </c>
      <c r="C172" s="24">
        <f>Catalog!F168</f>
        <v/>
      </c>
      <c r="D172" s="31">
        <f>IF(Catalog!D168="","","{""item_id"":"&amp;Catalog!A168&amp;",""title"":"""&amp;SUBSTITUTE(Catalog!D168,"""","\""")&amp;""",""creator"":"""&amp;SUBSTITUTE(Catalog!F168,"""","\""")&amp;""",""language"":"""&amp;Catalog!M168&amp;""",""identifier"":"""&amp;Catalog!C168&amp;"""}")</f>
        <v/>
      </c>
    </row>
    <row r="173">
      <c r="A173" s="23">
        <f>Catalog!A169</f>
        <v/>
      </c>
      <c r="B173" s="24">
        <f>Catalog!D169</f>
        <v/>
      </c>
      <c r="C173" s="24">
        <f>Catalog!F169</f>
        <v/>
      </c>
      <c r="D173" s="31">
        <f>IF(Catalog!D169="","","{""item_id"":"&amp;Catalog!A169&amp;",""title"":"""&amp;SUBSTITUTE(Catalog!D169,"""","\""")&amp;""",""creator"":"""&amp;SUBSTITUTE(Catalog!F169,"""","\""")&amp;""",""language"":"""&amp;Catalog!M169&amp;""",""identifier"":"""&amp;Catalog!C169&amp;"""}")</f>
        <v/>
      </c>
    </row>
    <row r="174">
      <c r="A174" s="23">
        <f>Catalog!A170</f>
        <v/>
      </c>
      <c r="B174" s="24">
        <f>Catalog!D170</f>
        <v/>
      </c>
      <c r="C174" s="24">
        <f>Catalog!F170</f>
        <v/>
      </c>
      <c r="D174" s="31">
        <f>IF(Catalog!D170="","","{""item_id"":"&amp;Catalog!A170&amp;",""title"":"""&amp;SUBSTITUTE(Catalog!D170,"""","\""")&amp;""",""creator"":"""&amp;SUBSTITUTE(Catalog!F170,"""","\""")&amp;""",""language"":"""&amp;Catalog!M170&amp;""",""identifier"":"""&amp;Catalog!C170&amp;"""}")</f>
        <v/>
      </c>
    </row>
    <row r="175">
      <c r="A175" s="23">
        <f>Catalog!A171</f>
        <v/>
      </c>
      <c r="B175" s="24">
        <f>Catalog!D171</f>
        <v/>
      </c>
      <c r="C175" s="24">
        <f>Catalog!F171</f>
        <v/>
      </c>
      <c r="D175" s="31">
        <f>IF(Catalog!D171="","","{""item_id"":"&amp;Catalog!A171&amp;",""title"":"""&amp;SUBSTITUTE(Catalog!D171,"""","\""")&amp;""",""creator"":"""&amp;SUBSTITUTE(Catalog!F171,"""","\""")&amp;""",""language"":"""&amp;Catalog!M171&amp;""",""identifier"":"""&amp;Catalog!C171&amp;"""}")</f>
        <v/>
      </c>
    </row>
    <row r="176">
      <c r="A176" s="23">
        <f>Catalog!A172</f>
        <v/>
      </c>
      <c r="B176" s="24">
        <f>Catalog!D172</f>
        <v/>
      </c>
      <c r="C176" s="24">
        <f>Catalog!F172</f>
        <v/>
      </c>
      <c r="D176" s="31">
        <f>IF(Catalog!D172="","","{""item_id"":"&amp;Catalog!A172&amp;",""title"":"""&amp;SUBSTITUTE(Catalog!D172,"""","\""")&amp;""",""creator"":"""&amp;SUBSTITUTE(Catalog!F172,"""","\""")&amp;""",""language"":"""&amp;Catalog!M172&amp;""",""identifier"":"""&amp;Catalog!C172&amp;"""}")</f>
        <v/>
      </c>
    </row>
    <row r="177">
      <c r="A177" s="23">
        <f>Catalog!A173</f>
        <v/>
      </c>
      <c r="B177" s="24">
        <f>Catalog!D173</f>
        <v/>
      </c>
      <c r="C177" s="24">
        <f>Catalog!F173</f>
        <v/>
      </c>
      <c r="D177" s="31">
        <f>IF(Catalog!D173="","","{""item_id"":"&amp;Catalog!A173&amp;",""title"":"""&amp;SUBSTITUTE(Catalog!D173,"""","\""")&amp;""",""creator"":"""&amp;SUBSTITUTE(Catalog!F173,"""","\""")&amp;""",""language"":"""&amp;Catalog!M173&amp;""",""identifier"":"""&amp;Catalog!C173&amp;"""}")</f>
        <v/>
      </c>
    </row>
    <row r="178">
      <c r="A178" s="23">
        <f>Catalog!A174</f>
        <v/>
      </c>
      <c r="B178" s="24">
        <f>Catalog!D174</f>
        <v/>
      </c>
      <c r="C178" s="24">
        <f>Catalog!F174</f>
        <v/>
      </c>
      <c r="D178" s="31">
        <f>IF(Catalog!D174="","","{""item_id"":"&amp;Catalog!A174&amp;",""title"":"""&amp;SUBSTITUTE(Catalog!D174,"""","\""")&amp;""",""creator"":"""&amp;SUBSTITUTE(Catalog!F174,"""","\""")&amp;""",""language"":"""&amp;Catalog!M174&amp;""",""identifier"":"""&amp;Catalog!C174&amp;"""}")</f>
        <v/>
      </c>
    </row>
    <row r="179">
      <c r="A179" s="23">
        <f>Catalog!A175</f>
        <v/>
      </c>
      <c r="B179" s="24">
        <f>Catalog!D175</f>
        <v/>
      </c>
      <c r="C179" s="24">
        <f>Catalog!F175</f>
        <v/>
      </c>
      <c r="D179" s="31">
        <f>IF(Catalog!D175="","","{""item_id"":"&amp;Catalog!A175&amp;",""title"":"""&amp;SUBSTITUTE(Catalog!D175,"""","\""")&amp;""",""creator"":"""&amp;SUBSTITUTE(Catalog!F175,"""","\""")&amp;""",""language"":"""&amp;Catalog!M175&amp;""",""identifier"":"""&amp;Catalog!C175&amp;"""}")</f>
        <v/>
      </c>
    </row>
    <row r="180">
      <c r="A180" s="23">
        <f>Catalog!A176</f>
        <v/>
      </c>
      <c r="B180" s="24">
        <f>Catalog!D176</f>
        <v/>
      </c>
      <c r="C180" s="24">
        <f>Catalog!F176</f>
        <v/>
      </c>
      <c r="D180" s="31">
        <f>IF(Catalog!D176="","","{""item_id"":"&amp;Catalog!A176&amp;",""title"":"""&amp;SUBSTITUTE(Catalog!D176,"""","\""")&amp;""",""creator"":"""&amp;SUBSTITUTE(Catalog!F176,"""","\""")&amp;""",""language"":"""&amp;Catalog!M176&amp;""",""identifier"":"""&amp;Catalog!C176&amp;"""}")</f>
        <v/>
      </c>
    </row>
    <row r="181">
      <c r="A181" s="23">
        <f>Catalog!A177</f>
        <v/>
      </c>
      <c r="B181" s="24">
        <f>Catalog!D177</f>
        <v/>
      </c>
      <c r="C181" s="24">
        <f>Catalog!F177</f>
        <v/>
      </c>
      <c r="D181" s="31">
        <f>IF(Catalog!D177="","","{""item_id"":"&amp;Catalog!A177&amp;",""title"":"""&amp;SUBSTITUTE(Catalog!D177,"""","\""")&amp;""",""creator"":"""&amp;SUBSTITUTE(Catalog!F177,"""","\""")&amp;""",""language"":"""&amp;Catalog!M177&amp;""",""identifier"":"""&amp;Catalog!C177&amp;"""}")</f>
        <v/>
      </c>
    </row>
    <row r="182">
      <c r="A182" s="23">
        <f>Catalog!A178</f>
        <v/>
      </c>
      <c r="B182" s="24">
        <f>Catalog!D178</f>
        <v/>
      </c>
      <c r="C182" s="24">
        <f>Catalog!F178</f>
        <v/>
      </c>
      <c r="D182" s="31">
        <f>IF(Catalog!D178="","","{""item_id"":"&amp;Catalog!A178&amp;",""title"":"""&amp;SUBSTITUTE(Catalog!D178,"""","\""")&amp;""",""creator"":"""&amp;SUBSTITUTE(Catalog!F178,"""","\""")&amp;""",""language"":"""&amp;Catalog!M178&amp;""",""identifier"":"""&amp;Catalog!C178&amp;"""}")</f>
        <v/>
      </c>
    </row>
    <row r="183">
      <c r="A183" s="23">
        <f>Catalog!A179</f>
        <v/>
      </c>
      <c r="B183" s="24">
        <f>Catalog!D179</f>
        <v/>
      </c>
      <c r="C183" s="24">
        <f>Catalog!F179</f>
        <v/>
      </c>
      <c r="D183" s="31">
        <f>IF(Catalog!D179="","","{""item_id"":"&amp;Catalog!A179&amp;",""title"":"""&amp;SUBSTITUTE(Catalog!D179,"""","\""")&amp;""",""creator"":"""&amp;SUBSTITUTE(Catalog!F179,"""","\""")&amp;""",""language"":"""&amp;Catalog!M179&amp;""",""identifier"":"""&amp;Catalog!C179&amp;"""}")</f>
        <v/>
      </c>
    </row>
    <row r="184">
      <c r="A184" s="23">
        <f>Catalog!A180</f>
        <v/>
      </c>
      <c r="B184" s="24">
        <f>Catalog!D180</f>
        <v/>
      </c>
      <c r="C184" s="24">
        <f>Catalog!F180</f>
        <v/>
      </c>
      <c r="D184" s="31">
        <f>IF(Catalog!D180="","","{""item_id"":"&amp;Catalog!A180&amp;",""title"":"""&amp;SUBSTITUTE(Catalog!D180,"""","\""")&amp;""",""creator"":"""&amp;SUBSTITUTE(Catalog!F180,"""","\""")&amp;""",""language"":"""&amp;Catalog!M180&amp;""",""identifier"":"""&amp;Catalog!C180&amp;"""}")</f>
        <v/>
      </c>
    </row>
    <row r="185">
      <c r="A185" s="23">
        <f>Catalog!A181</f>
        <v/>
      </c>
      <c r="B185" s="24">
        <f>Catalog!D181</f>
        <v/>
      </c>
      <c r="C185" s="24">
        <f>Catalog!F181</f>
        <v/>
      </c>
      <c r="D185" s="31">
        <f>IF(Catalog!D181="","","{""item_id"":"&amp;Catalog!A181&amp;",""title"":"""&amp;SUBSTITUTE(Catalog!D181,"""","\""")&amp;""",""creator"":"""&amp;SUBSTITUTE(Catalog!F181,"""","\""")&amp;""",""language"":"""&amp;Catalog!M181&amp;""",""identifier"":"""&amp;Catalog!C181&amp;"""}")</f>
        <v/>
      </c>
    </row>
    <row r="186">
      <c r="A186" s="23">
        <f>Catalog!A182</f>
        <v/>
      </c>
      <c r="B186" s="24">
        <f>Catalog!D182</f>
        <v/>
      </c>
      <c r="C186" s="24">
        <f>Catalog!F182</f>
        <v/>
      </c>
      <c r="D186" s="31">
        <f>IF(Catalog!D182="","","{""item_id"":"&amp;Catalog!A182&amp;",""title"":"""&amp;SUBSTITUTE(Catalog!D182,"""","\""")&amp;""",""creator"":"""&amp;SUBSTITUTE(Catalog!F182,"""","\""")&amp;""",""language"":"""&amp;Catalog!M182&amp;""",""identifier"":"""&amp;Catalog!C182&amp;"""}")</f>
        <v/>
      </c>
    </row>
    <row r="187">
      <c r="A187" s="23">
        <f>Catalog!A183</f>
        <v/>
      </c>
      <c r="B187" s="24">
        <f>Catalog!D183</f>
        <v/>
      </c>
      <c r="C187" s="24">
        <f>Catalog!F183</f>
        <v/>
      </c>
      <c r="D187" s="31">
        <f>IF(Catalog!D183="","","{""item_id"":"&amp;Catalog!A183&amp;",""title"":"""&amp;SUBSTITUTE(Catalog!D183,"""","\""")&amp;""",""creator"":"""&amp;SUBSTITUTE(Catalog!F183,"""","\""")&amp;""",""language"":"""&amp;Catalog!M183&amp;""",""identifier"":"""&amp;Catalog!C183&amp;"""}")</f>
        <v/>
      </c>
    </row>
    <row r="188">
      <c r="A188" s="23">
        <f>Catalog!A184</f>
        <v/>
      </c>
      <c r="B188" s="24">
        <f>Catalog!D184</f>
        <v/>
      </c>
      <c r="C188" s="24">
        <f>Catalog!F184</f>
        <v/>
      </c>
      <c r="D188" s="31">
        <f>IF(Catalog!D184="","","{""item_id"":"&amp;Catalog!A184&amp;",""title"":"""&amp;SUBSTITUTE(Catalog!D184,"""","\""")&amp;""",""creator"":"""&amp;SUBSTITUTE(Catalog!F184,"""","\""")&amp;""",""language"":"""&amp;Catalog!M184&amp;""",""identifier"":"""&amp;Catalog!C184&amp;"""}")</f>
        <v/>
      </c>
    </row>
    <row r="189">
      <c r="A189" s="23">
        <f>Catalog!A185</f>
        <v/>
      </c>
      <c r="B189" s="24">
        <f>Catalog!D185</f>
        <v/>
      </c>
      <c r="C189" s="24">
        <f>Catalog!F185</f>
        <v/>
      </c>
      <c r="D189" s="31">
        <f>IF(Catalog!D185="","","{""item_id"":"&amp;Catalog!A185&amp;",""title"":"""&amp;SUBSTITUTE(Catalog!D185,"""","\""")&amp;""",""creator"":"""&amp;SUBSTITUTE(Catalog!F185,"""","\""")&amp;""",""language"":"""&amp;Catalog!M185&amp;""",""identifier"":"""&amp;Catalog!C185&amp;"""}")</f>
        <v/>
      </c>
    </row>
    <row r="190">
      <c r="A190" s="23">
        <f>Catalog!A186</f>
        <v/>
      </c>
      <c r="B190" s="24">
        <f>Catalog!D186</f>
        <v/>
      </c>
      <c r="C190" s="24">
        <f>Catalog!F186</f>
        <v/>
      </c>
      <c r="D190" s="31">
        <f>IF(Catalog!D186="","","{""item_id"":"&amp;Catalog!A186&amp;",""title"":"""&amp;SUBSTITUTE(Catalog!D186,"""","\""")&amp;""",""creator"":"""&amp;SUBSTITUTE(Catalog!F186,"""","\""")&amp;""",""language"":"""&amp;Catalog!M186&amp;""",""identifier"":"""&amp;Catalog!C186&amp;"""}")</f>
        <v/>
      </c>
    </row>
    <row r="191">
      <c r="A191" s="23">
        <f>Catalog!A187</f>
        <v/>
      </c>
      <c r="B191" s="24">
        <f>Catalog!D187</f>
        <v/>
      </c>
      <c r="C191" s="24">
        <f>Catalog!F187</f>
        <v/>
      </c>
      <c r="D191" s="31">
        <f>IF(Catalog!D187="","","{""item_id"":"&amp;Catalog!A187&amp;",""title"":"""&amp;SUBSTITUTE(Catalog!D187,"""","\""")&amp;""",""creator"":"""&amp;SUBSTITUTE(Catalog!F187,"""","\""")&amp;""",""language"":"""&amp;Catalog!M187&amp;""",""identifier"":"""&amp;Catalog!C187&amp;"""}")</f>
        <v/>
      </c>
    </row>
    <row r="192">
      <c r="A192" s="23">
        <f>Catalog!A188</f>
        <v/>
      </c>
      <c r="B192" s="24">
        <f>Catalog!D188</f>
        <v/>
      </c>
      <c r="C192" s="24">
        <f>Catalog!F188</f>
        <v/>
      </c>
      <c r="D192" s="31">
        <f>IF(Catalog!D188="","","{""item_id"":"&amp;Catalog!A188&amp;",""title"":"""&amp;SUBSTITUTE(Catalog!D188,"""","\""")&amp;""",""creator"":"""&amp;SUBSTITUTE(Catalog!F188,"""","\""")&amp;""",""language"":"""&amp;Catalog!M188&amp;""",""identifier"":"""&amp;Catalog!C188&amp;"""}")</f>
        <v/>
      </c>
    </row>
    <row r="193">
      <c r="A193" s="23">
        <f>Catalog!A189</f>
        <v/>
      </c>
      <c r="B193" s="24">
        <f>Catalog!D189</f>
        <v/>
      </c>
      <c r="C193" s="24">
        <f>Catalog!F189</f>
        <v/>
      </c>
      <c r="D193" s="31">
        <f>IF(Catalog!D189="","","{""item_id"":"&amp;Catalog!A189&amp;",""title"":"""&amp;SUBSTITUTE(Catalog!D189,"""","\""")&amp;""",""creator"":"""&amp;SUBSTITUTE(Catalog!F189,"""","\""")&amp;""",""language"":"""&amp;Catalog!M189&amp;""",""identifier"":"""&amp;Catalog!C189&amp;"""}")</f>
        <v/>
      </c>
    </row>
    <row r="194">
      <c r="A194" s="23">
        <f>Catalog!A190</f>
        <v/>
      </c>
      <c r="B194" s="24">
        <f>Catalog!D190</f>
        <v/>
      </c>
      <c r="C194" s="24">
        <f>Catalog!F190</f>
        <v/>
      </c>
      <c r="D194" s="31">
        <f>IF(Catalog!D190="","","{""item_id"":"&amp;Catalog!A190&amp;",""title"":"""&amp;SUBSTITUTE(Catalog!D190,"""","\""")&amp;""",""creator"":"""&amp;SUBSTITUTE(Catalog!F190,"""","\""")&amp;""",""language"":"""&amp;Catalog!M190&amp;""",""identifier"":"""&amp;Catalog!C190&amp;"""}")</f>
        <v/>
      </c>
    </row>
    <row r="195">
      <c r="A195" s="23">
        <f>Catalog!A191</f>
        <v/>
      </c>
      <c r="B195" s="24">
        <f>Catalog!D191</f>
        <v/>
      </c>
      <c r="C195" s="24">
        <f>Catalog!F191</f>
        <v/>
      </c>
      <c r="D195" s="31">
        <f>IF(Catalog!D191="","","{""item_id"":"&amp;Catalog!A191&amp;",""title"":"""&amp;SUBSTITUTE(Catalog!D191,"""","\""")&amp;""",""creator"":"""&amp;SUBSTITUTE(Catalog!F191,"""","\""")&amp;""",""language"":"""&amp;Catalog!M191&amp;""",""identifier"":"""&amp;Catalog!C191&amp;"""}")</f>
        <v/>
      </c>
    </row>
    <row r="196">
      <c r="A196" s="23">
        <f>Catalog!A192</f>
        <v/>
      </c>
      <c r="B196" s="24">
        <f>Catalog!D192</f>
        <v/>
      </c>
      <c r="C196" s="24">
        <f>Catalog!F192</f>
        <v/>
      </c>
      <c r="D196" s="31">
        <f>IF(Catalog!D192="","","{""item_id"":"&amp;Catalog!A192&amp;",""title"":"""&amp;SUBSTITUTE(Catalog!D192,"""","\""")&amp;""",""creator"":"""&amp;SUBSTITUTE(Catalog!F192,"""","\""")&amp;""",""language"":"""&amp;Catalog!M192&amp;""",""identifier"":"""&amp;Catalog!C192&amp;"""}")</f>
        <v/>
      </c>
    </row>
    <row r="197">
      <c r="A197" s="23">
        <f>Catalog!A193</f>
        <v/>
      </c>
      <c r="B197" s="24">
        <f>Catalog!D193</f>
        <v/>
      </c>
      <c r="C197" s="24">
        <f>Catalog!F193</f>
        <v/>
      </c>
      <c r="D197" s="31">
        <f>IF(Catalog!D193="","","{""item_id"":"&amp;Catalog!A193&amp;",""title"":"""&amp;SUBSTITUTE(Catalog!D193,"""","\""")&amp;""",""creator"":"""&amp;SUBSTITUTE(Catalog!F193,"""","\""")&amp;""",""language"":"""&amp;Catalog!M193&amp;""",""identifier"":"""&amp;Catalog!C193&amp;"""}")</f>
        <v/>
      </c>
    </row>
    <row r="198">
      <c r="A198" s="23">
        <f>Catalog!A194</f>
        <v/>
      </c>
      <c r="B198" s="24">
        <f>Catalog!D194</f>
        <v/>
      </c>
      <c r="C198" s="24">
        <f>Catalog!F194</f>
        <v/>
      </c>
      <c r="D198" s="31">
        <f>IF(Catalog!D194="","","{""item_id"":"&amp;Catalog!A194&amp;",""title"":"""&amp;SUBSTITUTE(Catalog!D194,"""","\""")&amp;""",""creator"":"""&amp;SUBSTITUTE(Catalog!F194,"""","\""")&amp;""",""language"":"""&amp;Catalog!M194&amp;""",""identifier"":"""&amp;Catalog!C194&amp;"""}")</f>
        <v/>
      </c>
    </row>
    <row r="199">
      <c r="A199" s="23">
        <f>Catalog!A195</f>
        <v/>
      </c>
      <c r="B199" s="24">
        <f>Catalog!D195</f>
        <v/>
      </c>
      <c r="C199" s="24">
        <f>Catalog!F195</f>
        <v/>
      </c>
      <c r="D199" s="31">
        <f>IF(Catalog!D195="","","{""item_id"":"&amp;Catalog!A195&amp;",""title"":"""&amp;SUBSTITUTE(Catalog!D195,"""","\""")&amp;""",""creator"":"""&amp;SUBSTITUTE(Catalog!F195,"""","\""")&amp;""",""language"":"""&amp;Catalog!M195&amp;""",""identifier"":"""&amp;Catalog!C195&amp;"""}")</f>
        <v/>
      </c>
    </row>
    <row r="200">
      <c r="A200" s="23">
        <f>Catalog!A196</f>
        <v/>
      </c>
      <c r="B200" s="24">
        <f>Catalog!D196</f>
        <v/>
      </c>
      <c r="C200" s="24">
        <f>Catalog!F196</f>
        <v/>
      </c>
      <c r="D200" s="31">
        <f>IF(Catalog!D196="","","{""item_id"":"&amp;Catalog!A196&amp;",""title"":"""&amp;SUBSTITUTE(Catalog!D196,"""","\""")&amp;""",""creator"":"""&amp;SUBSTITUTE(Catalog!F196,"""","\""")&amp;""",""language"":"""&amp;Catalog!M196&amp;""",""identifier"":"""&amp;Catalog!C196&amp;"""}")</f>
        <v/>
      </c>
    </row>
    <row r="201">
      <c r="A201" s="23">
        <f>Catalog!A197</f>
        <v/>
      </c>
      <c r="B201" s="24">
        <f>Catalog!D197</f>
        <v/>
      </c>
      <c r="C201" s="24">
        <f>Catalog!F197</f>
        <v/>
      </c>
      <c r="D201" s="31">
        <f>IF(Catalog!D197="","","{""item_id"":"&amp;Catalog!A197&amp;",""title"":"""&amp;SUBSTITUTE(Catalog!D197,"""","\""")&amp;""",""creator"":"""&amp;SUBSTITUTE(Catalog!F197,"""","\""")&amp;""",""language"":"""&amp;Catalog!M197&amp;""",""identifier"":"""&amp;Catalog!C197&amp;"""}")</f>
        <v/>
      </c>
    </row>
    <row r="202">
      <c r="A202" s="23">
        <f>Catalog!A198</f>
        <v/>
      </c>
      <c r="B202" s="24">
        <f>Catalog!D198</f>
        <v/>
      </c>
      <c r="C202" s="24">
        <f>Catalog!F198</f>
        <v/>
      </c>
      <c r="D202" s="31">
        <f>IF(Catalog!D198="","","{""item_id"":"&amp;Catalog!A198&amp;",""title"":"""&amp;SUBSTITUTE(Catalog!D198,"""","\""")&amp;""",""creator"":"""&amp;SUBSTITUTE(Catalog!F198,"""","\""")&amp;""",""language"":"""&amp;Catalog!M198&amp;""",""identifier"":"""&amp;Catalog!C198&amp;"""}")</f>
        <v/>
      </c>
    </row>
    <row r="203">
      <c r="A203" s="23">
        <f>Catalog!A199</f>
        <v/>
      </c>
      <c r="B203" s="24">
        <f>Catalog!D199</f>
        <v/>
      </c>
      <c r="C203" s="24">
        <f>Catalog!F199</f>
        <v/>
      </c>
      <c r="D203" s="31">
        <f>IF(Catalog!D199="","","{""item_id"":"&amp;Catalog!A199&amp;",""title"":"""&amp;SUBSTITUTE(Catalog!D199,"""","\""")&amp;""",""creator"":"""&amp;SUBSTITUTE(Catalog!F199,"""","\""")&amp;""",""language"":"""&amp;Catalog!M199&amp;""",""identifier"":"""&amp;Catalog!C199&amp;"""}")</f>
        <v/>
      </c>
    </row>
    <row r="204">
      <c r="A204" s="23">
        <f>Catalog!A200</f>
        <v/>
      </c>
      <c r="B204" s="24">
        <f>Catalog!D200</f>
        <v/>
      </c>
      <c r="C204" s="24">
        <f>Catalog!F200</f>
        <v/>
      </c>
      <c r="D204" s="31">
        <f>IF(Catalog!D200="","","{""item_id"":"&amp;Catalog!A200&amp;",""title"":"""&amp;SUBSTITUTE(Catalog!D200,"""","\""")&amp;""",""creator"":"""&amp;SUBSTITUTE(Catalog!F200,"""","\""")&amp;""",""language"":"""&amp;Catalog!M200&amp;""",""identifier"":"""&amp;Catalog!C200&amp;"""}")</f>
        <v/>
      </c>
    </row>
    <row r="205">
      <c r="A205" s="23">
        <f>Catalog!A201</f>
        <v/>
      </c>
      <c r="B205" s="24">
        <f>Catalog!D201</f>
        <v/>
      </c>
      <c r="C205" s="24">
        <f>Catalog!F201</f>
        <v/>
      </c>
      <c r="D205" s="31">
        <f>IF(Catalog!D201="","","{""item_id"":"&amp;Catalog!A201&amp;",""title"":"""&amp;SUBSTITUTE(Catalog!D201,"""","\""")&amp;""",""creator"":"""&amp;SUBSTITUTE(Catalog!F201,"""","\""")&amp;""",""language"":"""&amp;Catalog!M201&amp;""",""identifier"":"""&amp;Catalog!C201&amp;"""}")</f>
        <v/>
      </c>
    </row>
    <row r="206">
      <c r="A206" s="23">
        <f>Catalog!A202</f>
        <v/>
      </c>
      <c r="B206" s="24">
        <f>Catalog!D202</f>
        <v/>
      </c>
      <c r="C206" s="24">
        <f>Catalog!F202</f>
        <v/>
      </c>
      <c r="D206" s="31">
        <f>IF(Catalog!D202="","","{""item_id"":"&amp;Catalog!A202&amp;",""title"":"""&amp;SUBSTITUTE(Catalog!D202,"""","\""")&amp;""",""creator"":"""&amp;SUBSTITUTE(Catalog!F202,"""","\""")&amp;""",""language"":"""&amp;Catalog!M202&amp;""",""identifier"":"""&amp;Catalog!C202&amp;"""}")</f>
        <v/>
      </c>
    </row>
    <row r="207">
      <c r="A207" s="23">
        <f>Catalog!A203</f>
        <v/>
      </c>
      <c r="B207" s="24">
        <f>Catalog!D203</f>
        <v/>
      </c>
      <c r="C207" s="24">
        <f>Catalog!F203</f>
        <v/>
      </c>
      <c r="D207" s="31">
        <f>IF(Catalog!D203="","","{""item_id"":"&amp;Catalog!A203&amp;",""title"":"""&amp;SUBSTITUTE(Catalog!D203,"""","\""")&amp;""",""creator"":"""&amp;SUBSTITUTE(Catalog!F203,"""","\""")&amp;""",""language"":"""&amp;Catalog!M203&amp;""",""identifier"":"""&amp;Catalog!C203&amp;"""}")</f>
        <v/>
      </c>
    </row>
    <row r="208">
      <c r="A208" s="23">
        <f>Catalog!A204</f>
        <v/>
      </c>
      <c r="B208" s="24">
        <f>Catalog!D204</f>
        <v/>
      </c>
      <c r="C208" s="24">
        <f>Catalog!F204</f>
        <v/>
      </c>
      <c r="D208" s="31">
        <f>IF(Catalog!D204="","","{""item_id"":"&amp;Catalog!A204&amp;",""title"":"""&amp;SUBSTITUTE(Catalog!D204,"""","\""")&amp;""",""creator"":"""&amp;SUBSTITUTE(Catalog!F204,"""","\""")&amp;""",""language"":"""&amp;Catalog!M204&amp;""",""identifier"":"""&amp;Catalog!C204&amp;"""}")</f>
        <v/>
      </c>
    </row>
    <row r="209">
      <c r="A209" s="23">
        <f>Catalog!A205</f>
        <v/>
      </c>
      <c r="B209" s="24">
        <f>Catalog!D205</f>
        <v/>
      </c>
      <c r="C209" s="24">
        <f>Catalog!F205</f>
        <v/>
      </c>
      <c r="D209" s="31">
        <f>IF(Catalog!D205="","","{""item_id"":"&amp;Catalog!A205&amp;",""title"":"""&amp;SUBSTITUTE(Catalog!D205,"""","\""")&amp;""",""creator"":"""&amp;SUBSTITUTE(Catalog!F205,"""","\""")&amp;""",""language"":"""&amp;Catalog!M205&amp;""",""identifier"":"""&amp;Catalog!C205&amp;"""}")</f>
        <v/>
      </c>
    </row>
    <row r="210">
      <c r="A210" s="23">
        <f>Catalog!A206</f>
        <v/>
      </c>
      <c r="B210" s="24">
        <f>Catalog!D206</f>
        <v/>
      </c>
      <c r="C210" s="24">
        <f>Catalog!F206</f>
        <v/>
      </c>
      <c r="D210" s="31">
        <f>IF(Catalog!D206="","","{""item_id"":"&amp;Catalog!A206&amp;",""title"":"""&amp;SUBSTITUTE(Catalog!D206,"""","\""")&amp;""",""creator"":"""&amp;SUBSTITUTE(Catalog!F206,"""","\""")&amp;""",""language"":"""&amp;Catalog!M206&amp;""",""identifier"":"""&amp;Catalog!C206&amp;"""}")</f>
        <v/>
      </c>
    </row>
    <row r="211">
      <c r="A211" s="23">
        <f>Catalog!A207</f>
        <v/>
      </c>
      <c r="B211" s="24">
        <f>Catalog!D207</f>
        <v/>
      </c>
      <c r="C211" s="24">
        <f>Catalog!F207</f>
        <v/>
      </c>
      <c r="D211" s="31">
        <f>IF(Catalog!D207="","","{""item_id"":"&amp;Catalog!A207&amp;",""title"":"""&amp;SUBSTITUTE(Catalog!D207,"""","\""")&amp;""",""creator"":"""&amp;SUBSTITUTE(Catalog!F207,"""","\""")&amp;""",""language"":"""&amp;Catalog!M207&amp;""",""identifier"":"""&amp;Catalog!C207&amp;"""}")</f>
        <v/>
      </c>
    </row>
    <row r="212">
      <c r="A212" s="23">
        <f>Catalog!A208</f>
        <v/>
      </c>
      <c r="B212" s="24">
        <f>Catalog!D208</f>
        <v/>
      </c>
      <c r="C212" s="24">
        <f>Catalog!F208</f>
        <v/>
      </c>
      <c r="D212" s="31">
        <f>IF(Catalog!D208="","","{""item_id"":"&amp;Catalog!A208&amp;",""title"":"""&amp;SUBSTITUTE(Catalog!D208,"""","\""")&amp;""",""creator"":"""&amp;SUBSTITUTE(Catalog!F208,"""","\""")&amp;""",""language"":"""&amp;Catalog!M208&amp;""",""identifier"":"""&amp;Catalog!C208&amp;"""}")</f>
        <v/>
      </c>
    </row>
    <row r="213">
      <c r="A213" s="23">
        <f>Catalog!A209</f>
        <v/>
      </c>
      <c r="B213" s="24">
        <f>Catalog!D209</f>
        <v/>
      </c>
      <c r="C213" s="24">
        <f>Catalog!F209</f>
        <v/>
      </c>
      <c r="D213" s="31">
        <f>IF(Catalog!D209="","","{""item_id"":"&amp;Catalog!A209&amp;",""title"":"""&amp;SUBSTITUTE(Catalog!D209,"""","\""")&amp;""",""creator"":"""&amp;SUBSTITUTE(Catalog!F209,"""","\""")&amp;""",""language"":"""&amp;Catalog!M209&amp;""",""identifier"":"""&amp;Catalog!C209&amp;"""}")</f>
        <v/>
      </c>
    </row>
    <row r="214">
      <c r="A214" s="23">
        <f>Catalog!A210</f>
        <v/>
      </c>
      <c r="B214" s="24">
        <f>Catalog!D210</f>
        <v/>
      </c>
      <c r="C214" s="24">
        <f>Catalog!F210</f>
        <v/>
      </c>
      <c r="D214" s="31">
        <f>IF(Catalog!D210="","","{""item_id"":"&amp;Catalog!A210&amp;",""title"":"""&amp;SUBSTITUTE(Catalog!D210,"""","\""")&amp;""",""creator"":"""&amp;SUBSTITUTE(Catalog!F210,"""","\""")&amp;""",""language"":"""&amp;Catalog!M210&amp;""",""identifier"":"""&amp;Catalog!C210&amp;"""}")</f>
        <v/>
      </c>
    </row>
    <row r="215">
      <c r="A215" s="23">
        <f>Catalog!A211</f>
        <v/>
      </c>
      <c r="B215" s="24">
        <f>Catalog!D211</f>
        <v/>
      </c>
      <c r="C215" s="24">
        <f>Catalog!F211</f>
        <v/>
      </c>
      <c r="D215" s="31">
        <f>IF(Catalog!D211="","","{""item_id"":"&amp;Catalog!A211&amp;",""title"":"""&amp;SUBSTITUTE(Catalog!D211,"""","\""")&amp;""",""creator"":"""&amp;SUBSTITUTE(Catalog!F211,"""","\""")&amp;""",""language"":"""&amp;Catalog!M211&amp;""",""identifier"":"""&amp;Catalog!C211&amp;"""}")</f>
        <v/>
      </c>
    </row>
    <row r="216">
      <c r="A216" s="23">
        <f>Catalog!A212</f>
        <v/>
      </c>
      <c r="B216" s="24">
        <f>Catalog!D212</f>
        <v/>
      </c>
      <c r="C216" s="24">
        <f>Catalog!F212</f>
        <v/>
      </c>
      <c r="D216" s="31">
        <f>IF(Catalog!D212="","","{""item_id"":"&amp;Catalog!A212&amp;",""title"":"""&amp;SUBSTITUTE(Catalog!D212,"""","\""")&amp;""",""creator"":"""&amp;SUBSTITUTE(Catalog!F212,"""","\""")&amp;""",""language"":"""&amp;Catalog!M212&amp;""",""identifier"":"""&amp;Catalog!C212&amp;"""}")</f>
        <v/>
      </c>
    </row>
    <row r="217">
      <c r="A217" s="23">
        <f>Catalog!A213</f>
        <v/>
      </c>
      <c r="B217" s="24">
        <f>Catalog!D213</f>
        <v/>
      </c>
      <c r="C217" s="24">
        <f>Catalog!F213</f>
        <v/>
      </c>
      <c r="D217" s="31">
        <f>IF(Catalog!D213="","","{""item_id"":"&amp;Catalog!A213&amp;",""title"":"""&amp;SUBSTITUTE(Catalog!D213,"""","\""")&amp;""",""creator"":"""&amp;SUBSTITUTE(Catalog!F213,"""","\""")&amp;""",""language"":"""&amp;Catalog!M213&amp;""",""identifier"":"""&amp;Catalog!C213&amp;"""}")</f>
        <v/>
      </c>
    </row>
    <row r="218">
      <c r="A218" s="23">
        <f>Catalog!A214</f>
        <v/>
      </c>
      <c r="B218" s="24">
        <f>Catalog!D214</f>
        <v/>
      </c>
      <c r="C218" s="24">
        <f>Catalog!F214</f>
        <v/>
      </c>
      <c r="D218" s="31">
        <f>IF(Catalog!D214="","","{""item_id"":"&amp;Catalog!A214&amp;",""title"":"""&amp;SUBSTITUTE(Catalog!D214,"""","\""")&amp;""",""creator"":"""&amp;SUBSTITUTE(Catalog!F214,"""","\""")&amp;""",""language"":"""&amp;Catalog!M214&amp;""",""identifier"":"""&amp;Catalog!C214&amp;"""}")</f>
        <v/>
      </c>
    </row>
    <row r="219">
      <c r="A219" s="23">
        <f>Catalog!A215</f>
        <v/>
      </c>
      <c r="B219" s="24">
        <f>Catalog!D215</f>
        <v/>
      </c>
      <c r="C219" s="24">
        <f>Catalog!F215</f>
        <v/>
      </c>
      <c r="D219" s="31">
        <f>IF(Catalog!D215="","","{""item_id"":"&amp;Catalog!A215&amp;",""title"":"""&amp;SUBSTITUTE(Catalog!D215,"""","\""")&amp;""",""creator"":"""&amp;SUBSTITUTE(Catalog!F215,"""","\""")&amp;""",""language"":"""&amp;Catalog!M215&amp;""",""identifier"":"""&amp;Catalog!C215&amp;"""}")</f>
        <v/>
      </c>
    </row>
    <row r="220">
      <c r="A220" s="23">
        <f>Catalog!A216</f>
        <v/>
      </c>
      <c r="B220" s="24">
        <f>Catalog!D216</f>
        <v/>
      </c>
      <c r="C220" s="24">
        <f>Catalog!F216</f>
        <v/>
      </c>
      <c r="D220" s="31">
        <f>IF(Catalog!D216="","","{""item_id"":"&amp;Catalog!A216&amp;",""title"":"""&amp;SUBSTITUTE(Catalog!D216,"""","\""")&amp;""",""creator"":"""&amp;SUBSTITUTE(Catalog!F216,"""","\""")&amp;""",""language"":"""&amp;Catalog!M216&amp;""",""identifier"":"""&amp;Catalog!C216&amp;"""}")</f>
        <v/>
      </c>
    </row>
    <row r="221">
      <c r="A221" s="23">
        <f>Catalog!A217</f>
        <v/>
      </c>
      <c r="B221" s="24">
        <f>Catalog!D217</f>
        <v/>
      </c>
      <c r="C221" s="24">
        <f>Catalog!F217</f>
        <v/>
      </c>
      <c r="D221" s="31">
        <f>IF(Catalog!D217="","","{""item_id"":"&amp;Catalog!A217&amp;",""title"":"""&amp;SUBSTITUTE(Catalog!D217,"""","\""")&amp;""",""creator"":"""&amp;SUBSTITUTE(Catalog!F217,"""","\""")&amp;""",""language"":"""&amp;Catalog!M217&amp;""",""identifier"":"""&amp;Catalog!C217&amp;"""}")</f>
        <v/>
      </c>
    </row>
    <row r="222">
      <c r="A222" s="23">
        <f>Catalog!A218</f>
        <v/>
      </c>
      <c r="B222" s="24">
        <f>Catalog!D218</f>
        <v/>
      </c>
      <c r="C222" s="24">
        <f>Catalog!F218</f>
        <v/>
      </c>
      <c r="D222" s="31">
        <f>IF(Catalog!D218="","","{""item_id"":"&amp;Catalog!A218&amp;",""title"":"""&amp;SUBSTITUTE(Catalog!D218,"""","\""")&amp;""",""creator"":"""&amp;SUBSTITUTE(Catalog!F218,"""","\""")&amp;""",""language"":"""&amp;Catalog!M218&amp;""",""identifier"":"""&amp;Catalog!C218&amp;"""}")</f>
        <v/>
      </c>
    </row>
    <row r="223">
      <c r="A223" s="23">
        <f>Catalog!A219</f>
        <v/>
      </c>
      <c r="B223" s="24">
        <f>Catalog!D219</f>
        <v/>
      </c>
      <c r="C223" s="24">
        <f>Catalog!F219</f>
        <v/>
      </c>
      <c r="D223" s="31">
        <f>IF(Catalog!D219="","","{""item_id"":"&amp;Catalog!A219&amp;",""title"":"""&amp;SUBSTITUTE(Catalog!D219,"""","\""")&amp;""",""creator"":"""&amp;SUBSTITUTE(Catalog!F219,"""","\""")&amp;""",""language"":"""&amp;Catalog!M219&amp;""",""identifier"":"""&amp;Catalog!C219&amp;"""}")</f>
        <v/>
      </c>
    </row>
    <row r="224">
      <c r="A224" s="23">
        <f>Catalog!A220</f>
        <v/>
      </c>
      <c r="B224" s="24">
        <f>Catalog!D220</f>
        <v/>
      </c>
      <c r="C224" s="24">
        <f>Catalog!F220</f>
        <v/>
      </c>
      <c r="D224" s="31">
        <f>IF(Catalog!D220="","","{""item_id"":"&amp;Catalog!A220&amp;",""title"":"""&amp;SUBSTITUTE(Catalog!D220,"""","\""")&amp;""",""creator"":"""&amp;SUBSTITUTE(Catalog!F220,"""","\""")&amp;""",""language"":"""&amp;Catalog!M220&amp;""",""identifier"":"""&amp;Catalog!C220&amp;"""}")</f>
        <v/>
      </c>
    </row>
    <row r="225">
      <c r="A225" s="23">
        <f>Catalog!A221</f>
        <v/>
      </c>
      <c r="B225" s="24">
        <f>Catalog!D221</f>
        <v/>
      </c>
      <c r="C225" s="24">
        <f>Catalog!F221</f>
        <v/>
      </c>
      <c r="D225" s="31">
        <f>IF(Catalog!D221="","","{""item_id"":"&amp;Catalog!A221&amp;",""title"":"""&amp;SUBSTITUTE(Catalog!D221,"""","\""")&amp;""",""creator"":"""&amp;SUBSTITUTE(Catalog!F221,"""","\""")&amp;""",""language"":"""&amp;Catalog!M221&amp;""",""identifier"":"""&amp;Catalog!C221&amp;"""}")</f>
        <v/>
      </c>
    </row>
    <row r="226">
      <c r="A226" s="23">
        <f>Catalog!A222</f>
        <v/>
      </c>
      <c r="B226" s="24">
        <f>Catalog!D222</f>
        <v/>
      </c>
      <c r="C226" s="24">
        <f>Catalog!F222</f>
        <v/>
      </c>
      <c r="D226" s="31">
        <f>IF(Catalog!D222="","","{""item_id"":"&amp;Catalog!A222&amp;",""title"":"""&amp;SUBSTITUTE(Catalog!D222,"""","\""")&amp;""",""creator"":"""&amp;SUBSTITUTE(Catalog!F222,"""","\""")&amp;""",""language"":"""&amp;Catalog!M222&amp;""",""identifier"":"""&amp;Catalog!C222&amp;"""}")</f>
        <v/>
      </c>
    </row>
    <row r="227">
      <c r="A227" s="23">
        <f>Catalog!A223</f>
        <v/>
      </c>
      <c r="B227" s="24">
        <f>Catalog!D223</f>
        <v/>
      </c>
      <c r="C227" s="24">
        <f>Catalog!F223</f>
        <v/>
      </c>
      <c r="D227" s="31">
        <f>IF(Catalog!D223="","","{""item_id"":"&amp;Catalog!A223&amp;",""title"":"""&amp;SUBSTITUTE(Catalog!D223,"""","\""")&amp;""",""creator"":"""&amp;SUBSTITUTE(Catalog!F223,"""","\""")&amp;""",""language"":"""&amp;Catalog!M223&amp;""",""identifier"":"""&amp;Catalog!C223&amp;"""}")</f>
        <v/>
      </c>
    </row>
    <row r="228">
      <c r="A228" s="23">
        <f>Catalog!A224</f>
        <v/>
      </c>
      <c r="B228" s="24">
        <f>Catalog!D224</f>
        <v/>
      </c>
      <c r="C228" s="24">
        <f>Catalog!F224</f>
        <v/>
      </c>
      <c r="D228" s="31">
        <f>IF(Catalog!D224="","","{""item_id"":"&amp;Catalog!A224&amp;",""title"":"""&amp;SUBSTITUTE(Catalog!D224,"""","\""")&amp;""",""creator"":"""&amp;SUBSTITUTE(Catalog!F224,"""","\""")&amp;""",""language"":"""&amp;Catalog!M224&amp;""",""identifier"":"""&amp;Catalog!C224&amp;"""}")</f>
        <v/>
      </c>
    </row>
    <row r="229">
      <c r="A229" s="23">
        <f>Catalog!A225</f>
        <v/>
      </c>
      <c r="B229" s="24">
        <f>Catalog!D225</f>
        <v/>
      </c>
      <c r="C229" s="24">
        <f>Catalog!F225</f>
        <v/>
      </c>
      <c r="D229" s="31">
        <f>IF(Catalog!D225="","","{""item_id"":"&amp;Catalog!A225&amp;",""title"":"""&amp;SUBSTITUTE(Catalog!D225,"""","\""")&amp;""",""creator"":"""&amp;SUBSTITUTE(Catalog!F225,"""","\""")&amp;""",""language"":"""&amp;Catalog!M225&amp;""",""identifier"":"""&amp;Catalog!C225&amp;"""}")</f>
        <v/>
      </c>
    </row>
    <row r="230">
      <c r="A230" s="23">
        <f>Catalog!A226</f>
        <v/>
      </c>
      <c r="B230" s="24">
        <f>Catalog!D226</f>
        <v/>
      </c>
      <c r="C230" s="24">
        <f>Catalog!F226</f>
        <v/>
      </c>
      <c r="D230" s="31">
        <f>IF(Catalog!D226="","","{""item_id"":"&amp;Catalog!A226&amp;",""title"":"""&amp;SUBSTITUTE(Catalog!D226,"""","\""")&amp;""",""creator"":"""&amp;SUBSTITUTE(Catalog!F226,"""","\""")&amp;""",""language"":"""&amp;Catalog!M226&amp;""",""identifier"":"""&amp;Catalog!C226&amp;"""}")</f>
        <v/>
      </c>
    </row>
    <row r="231">
      <c r="A231" s="23">
        <f>Catalog!A227</f>
        <v/>
      </c>
      <c r="B231" s="24">
        <f>Catalog!D227</f>
        <v/>
      </c>
      <c r="C231" s="24">
        <f>Catalog!F227</f>
        <v/>
      </c>
      <c r="D231" s="31">
        <f>IF(Catalog!D227="","","{""item_id"":"&amp;Catalog!A227&amp;",""title"":"""&amp;SUBSTITUTE(Catalog!D227,"""","\""")&amp;""",""creator"":"""&amp;SUBSTITUTE(Catalog!F227,"""","\""")&amp;""",""language"":"""&amp;Catalog!M227&amp;""",""identifier"":"""&amp;Catalog!C227&amp;"""}")</f>
        <v/>
      </c>
    </row>
    <row r="232">
      <c r="A232" s="23">
        <f>Catalog!A228</f>
        <v/>
      </c>
      <c r="B232" s="24">
        <f>Catalog!D228</f>
        <v/>
      </c>
      <c r="C232" s="24">
        <f>Catalog!F228</f>
        <v/>
      </c>
      <c r="D232" s="31">
        <f>IF(Catalog!D228="","","{""item_id"":"&amp;Catalog!A228&amp;",""title"":"""&amp;SUBSTITUTE(Catalog!D228,"""","\""")&amp;""",""creator"":"""&amp;SUBSTITUTE(Catalog!F228,"""","\""")&amp;""",""language"":"""&amp;Catalog!M228&amp;""",""identifier"":"""&amp;Catalog!C228&amp;"""}")</f>
        <v/>
      </c>
    </row>
    <row r="233">
      <c r="A233" s="23">
        <f>Catalog!A229</f>
        <v/>
      </c>
      <c r="B233" s="24">
        <f>Catalog!D229</f>
        <v/>
      </c>
      <c r="C233" s="24">
        <f>Catalog!F229</f>
        <v/>
      </c>
      <c r="D233" s="31">
        <f>IF(Catalog!D229="","","{""item_id"":"&amp;Catalog!A229&amp;",""title"":"""&amp;SUBSTITUTE(Catalog!D229,"""","\""")&amp;""",""creator"":"""&amp;SUBSTITUTE(Catalog!F229,"""","\""")&amp;""",""language"":"""&amp;Catalog!M229&amp;""",""identifier"":"""&amp;Catalog!C229&amp;"""}")</f>
        <v/>
      </c>
    </row>
    <row r="234">
      <c r="A234" s="23">
        <f>Catalog!A230</f>
        <v/>
      </c>
      <c r="B234" s="24">
        <f>Catalog!D230</f>
        <v/>
      </c>
      <c r="C234" s="24">
        <f>Catalog!F230</f>
        <v/>
      </c>
      <c r="D234" s="31">
        <f>IF(Catalog!D230="","","{""item_id"":"&amp;Catalog!A230&amp;",""title"":"""&amp;SUBSTITUTE(Catalog!D230,"""","\""")&amp;""",""creator"":"""&amp;SUBSTITUTE(Catalog!F230,"""","\""")&amp;""",""language"":"""&amp;Catalog!M230&amp;""",""identifier"":"""&amp;Catalog!C230&amp;"""}")</f>
        <v/>
      </c>
    </row>
    <row r="235">
      <c r="A235" s="23">
        <f>Catalog!A231</f>
        <v/>
      </c>
      <c r="B235" s="24">
        <f>Catalog!D231</f>
        <v/>
      </c>
      <c r="C235" s="24">
        <f>Catalog!F231</f>
        <v/>
      </c>
      <c r="D235" s="31">
        <f>IF(Catalog!D231="","","{""item_id"":"&amp;Catalog!A231&amp;",""title"":"""&amp;SUBSTITUTE(Catalog!D231,"""","\""")&amp;""",""creator"":"""&amp;SUBSTITUTE(Catalog!F231,"""","\""")&amp;""",""language"":"""&amp;Catalog!M231&amp;""",""identifier"":"""&amp;Catalog!C231&amp;"""}")</f>
        <v/>
      </c>
    </row>
    <row r="236">
      <c r="A236" s="23">
        <f>Catalog!A232</f>
        <v/>
      </c>
      <c r="B236" s="24">
        <f>Catalog!D232</f>
        <v/>
      </c>
      <c r="C236" s="24">
        <f>Catalog!F232</f>
        <v/>
      </c>
      <c r="D236" s="31">
        <f>IF(Catalog!D232="","","{""item_id"":"&amp;Catalog!A232&amp;",""title"":"""&amp;SUBSTITUTE(Catalog!D232,"""","\""")&amp;""",""creator"":"""&amp;SUBSTITUTE(Catalog!F232,"""","\""")&amp;""",""language"":"""&amp;Catalog!M232&amp;""",""identifier"":"""&amp;Catalog!C232&amp;"""}")</f>
        <v/>
      </c>
    </row>
    <row r="237">
      <c r="A237" s="23">
        <f>Catalog!A233</f>
        <v/>
      </c>
      <c r="B237" s="24">
        <f>Catalog!D233</f>
        <v/>
      </c>
      <c r="C237" s="24">
        <f>Catalog!F233</f>
        <v/>
      </c>
      <c r="D237" s="31">
        <f>IF(Catalog!D233="","","{""item_id"":"&amp;Catalog!A233&amp;",""title"":"""&amp;SUBSTITUTE(Catalog!D233,"""","\""")&amp;""",""creator"":"""&amp;SUBSTITUTE(Catalog!F233,"""","\""")&amp;""",""language"":"""&amp;Catalog!M233&amp;""",""identifier"":"""&amp;Catalog!C233&amp;"""}")</f>
        <v/>
      </c>
    </row>
    <row r="238">
      <c r="A238" s="23">
        <f>Catalog!A234</f>
        <v/>
      </c>
      <c r="B238" s="24">
        <f>Catalog!D234</f>
        <v/>
      </c>
      <c r="C238" s="24">
        <f>Catalog!F234</f>
        <v/>
      </c>
      <c r="D238" s="31">
        <f>IF(Catalog!D234="","","{""item_id"":"&amp;Catalog!A234&amp;",""title"":"""&amp;SUBSTITUTE(Catalog!D234,"""","\""")&amp;""",""creator"":"""&amp;SUBSTITUTE(Catalog!F234,"""","\""")&amp;""",""language"":"""&amp;Catalog!M234&amp;""",""identifier"":"""&amp;Catalog!C234&amp;"""}")</f>
        <v/>
      </c>
    </row>
    <row r="239">
      <c r="A239" s="23">
        <f>Catalog!A235</f>
        <v/>
      </c>
      <c r="B239" s="24">
        <f>Catalog!D235</f>
        <v/>
      </c>
      <c r="C239" s="24">
        <f>Catalog!F235</f>
        <v/>
      </c>
      <c r="D239" s="31">
        <f>IF(Catalog!D235="","","{""item_id"":"&amp;Catalog!A235&amp;",""title"":"""&amp;SUBSTITUTE(Catalog!D235,"""","\""")&amp;""",""creator"":"""&amp;SUBSTITUTE(Catalog!F235,"""","\""")&amp;""",""language"":"""&amp;Catalog!M235&amp;""",""identifier"":"""&amp;Catalog!C235&amp;"""}")</f>
        <v/>
      </c>
    </row>
    <row r="240">
      <c r="A240" s="23">
        <f>Catalog!A236</f>
        <v/>
      </c>
      <c r="B240" s="24">
        <f>Catalog!D236</f>
        <v/>
      </c>
      <c r="C240" s="24">
        <f>Catalog!F236</f>
        <v/>
      </c>
      <c r="D240" s="31">
        <f>IF(Catalog!D236="","","{""item_id"":"&amp;Catalog!A236&amp;",""title"":"""&amp;SUBSTITUTE(Catalog!D236,"""","\""")&amp;""",""creator"":"""&amp;SUBSTITUTE(Catalog!F236,"""","\""")&amp;""",""language"":"""&amp;Catalog!M236&amp;""",""identifier"":"""&amp;Catalog!C236&amp;"""}")</f>
        <v/>
      </c>
    </row>
    <row r="241">
      <c r="A241" s="23">
        <f>Catalog!A237</f>
        <v/>
      </c>
      <c r="B241" s="24">
        <f>Catalog!D237</f>
        <v/>
      </c>
      <c r="C241" s="24">
        <f>Catalog!F237</f>
        <v/>
      </c>
      <c r="D241" s="31">
        <f>IF(Catalog!D237="","","{""item_id"":"&amp;Catalog!A237&amp;",""title"":"""&amp;SUBSTITUTE(Catalog!D237,"""","\""")&amp;""",""creator"":"""&amp;SUBSTITUTE(Catalog!F237,"""","\""")&amp;""",""language"":"""&amp;Catalog!M237&amp;""",""identifier"":"""&amp;Catalog!C237&amp;"""}")</f>
        <v/>
      </c>
    </row>
    <row r="242">
      <c r="A242" s="23">
        <f>Catalog!A238</f>
        <v/>
      </c>
      <c r="B242" s="24">
        <f>Catalog!D238</f>
        <v/>
      </c>
      <c r="C242" s="24">
        <f>Catalog!F238</f>
        <v/>
      </c>
      <c r="D242" s="31">
        <f>IF(Catalog!D238="","","{""item_id"":"&amp;Catalog!A238&amp;",""title"":"""&amp;SUBSTITUTE(Catalog!D238,"""","\""")&amp;""",""creator"":"""&amp;SUBSTITUTE(Catalog!F238,"""","\""")&amp;""",""language"":"""&amp;Catalog!M238&amp;""",""identifier"":"""&amp;Catalog!C238&amp;"""}")</f>
        <v/>
      </c>
    </row>
    <row r="243">
      <c r="A243" s="23">
        <f>Catalog!A239</f>
        <v/>
      </c>
      <c r="B243" s="24">
        <f>Catalog!D239</f>
        <v/>
      </c>
      <c r="C243" s="24">
        <f>Catalog!F239</f>
        <v/>
      </c>
      <c r="D243" s="31">
        <f>IF(Catalog!D239="","","{""item_id"":"&amp;Catalog!A239&amp;",""title"":"""&amp;SUBSTITUTE(Catalog!D239,"""","\""")&amp;""",""creator"":"""&amp;SUBSTITUTE(Catalog!F239,"""","\""")&amp;""",""language"":"""&amp;Catalog!M239&amp;""",""identifier"":"""&amp;Catalog!C239&amp;"""}")</f>
        <v/>
      </c>
    </row>
    <row r="244">
      <c r="A244" s="23">
        <f>Catalog!A240</f>
        <v/>
      </c>
      <c r="B244" s="24">
        <f>Catalog!D240</f>
        <v/>
      </c>
      <c r="C244" s="24">
        <f>Catalog!F240</f>
        <v/>
      </c>
      <c r="D244" s="31">
        <f>IF(Catalog!D240="","","{""item_id"":"&amp;Catalog!A240&amp;",""title"":"""&amp;SUBSTITUTE(Catalog!D240,"""","\""")&amp;""",""creator"":"""&amp;SUBSTITUTE(Catalog!F240,"""","\""")&amp;""",""language"":"""&amp;Catalog!M240&amp;""",""identifier"":"""&amp;Catalog!C240&amp;"""}")</f>
        <v/>
      </c>
    </row>
    <row r="245">
      <c r="A245" s="23">
        <f>Catalog!A241</f>
        <v/>
      </c>
      <c r="B245" s="24">
        <f>Catalog!D241</f>
        <v/>
      </c>
      <c r="C245" s="24">
        <f>Catalog!F241</f>
        <v/>
      </c>
      <c r="D245" s="31">
        <f>IF(Catalog!D241="","","{""item_id"":"&amp;Catalog!A241&amp;",""title"":"""&amp;SUBSTITUTE(Catalog!D241,"""","\""")&amp;""",""creator"":"""&amp;SUBSTITUTE(Catalog!F241,"""","\""")&amp;""",""language"":"""&amp;Catalog!M241&amp;""",""identifier"":"""&amp;Catalog!C241&amp;"""}")</f>
        <v/>
      </c>
    </row>
    <row r="246">
      <c r="A246" s="23">
        <f>Catalog!A242</f>
        <v/>
      </c>
      <c r="B246" s="24">
        <f>Catalog!D242</f>
        <v/>
      </c>
      <c r="C246" s="24">
        <f>Catalog!F242</f>
        <v/>
      </c>
      <c r="D246" s="31">
        <f>IF(Catalog!D242="","","{""item_id"":"&amp;Catalog!A242&amp;",""title"":"""&amp;SUBSTITUTE(Catalog!D242,"""","\""")&amp;""",""creator"":"""&amp;SUBSTITUTE(Catalog!F242,"""","\""")&amp;""",""language"":"""&amp;Catalog!M242&amp;""",""identifier"":"""&amp;Catalog!C242&amp;"""}")</f>
        <v/>
      </c>
    </row>
    <row r="247">
      <c r="A247" s="23">
        <f>Catalog!A243</f>
        <v/>
      </c>
      <c r="B247" s="24">
        <f>Catalog!D243</f>
        <v/>
      </c>
      <c r="C247" s="24">
        <f>Catalog!F243</f>
        <v/>
      </c>
      <c r="D247" s="31">
        <f>IF(Catalog!D243="","","{""item_id"":"&amp;Catalog!A243&amp;",""title"":"""&amp;SUBSTITUTE(Catalog!D243,"""","\""")&amp;""",""creator"":"""&amp;SUBSTITUTE(Catalog!F243,"""","\""")&amp;""",""language"":"""&amp;Catalog!M243&amp;""",""identifier"":"""&amp;Catalog!C243&amp;"""}")</f>
        <v/>
      </c>
    </row>
    <row r="248">
      <c r="A248" s="23">
        <f>Catalog!A244</f>
        <v/>
      </c>
      <c r="B248" s="24">
        <f>Catalog!D244</f>
        <v/>
      </c>
      <c r="C248" s="24">
        <f>Catalog!F244</f>
        <v/>
      </c>
      <c r="D248" s="31">
        <f>IF(Catalog!D244="","","{""item_id"":"&amp;Catalog!A244&amp;",""title"":"""&amp;SUBSTITUTE(Catalog!D244,"""","\""")&amp;""",""creator"":"""&amp;SUBSTITUTE(Catalog!F244,"""","\""")&amp;""",""language"":"""&amp;Catalog!M244&amp;""",""identifier"":"""&amp;Catalog!C244&amp;"""}")</f>
        <v/>
      </c>
    </row>
    <row r="249">
      <c r="A249" s="23">
        <f>Catalog!A245</f>
        <v/>
      </c>
      <c r="B249" s="24">
        <f>Catalog!D245</f>
        <v/>
      </c>
      <c r="C249" s="24">
        <f>Catalog!F245</f>
        <v/>
      </c>
      <c r="D249" s="31">
        <f>IF(Catalog!D245="","","{""item_id"":"&amp;Catalog!A245&amp;",""title"":"""&amp;SUBSTITUTE(Catalog!D245,"""","\""")&amp;""",""creator"":"""&amp;SUBSTITUTE(Catalog!F245,"""","\""")&amp;""",""language"":"""&amp;Catalog!M245&amp;""",""identifier"":"""&amp;Catalog!C245&amp;"""}")</f>
        <v/>
      </c>
    </row>
    <row r="250">
      <c r="A250" s="23">
        <f>Catalog!A246</f>
        <v/>
      </c>
      <c r="B250" s="24">
        <f>Catalog!D246</f>
        <v/>
      </c>
      <c r="C250" s="24">
        <f>Catalog!F246</f>
        <v/>
      </c>
      <c r="D250" s="31">
        <f>IF(Catalog!D246="","","{""item_id"":"&amp;Catalog!A246&amp;",""title"":"""&amp;SUBSTITUTE(Catalog!D246,"""","\""")&amp;""",""creator"":"""&amp;SUBSTITUTE(Catalog!F246,"""","\""")&amp;""",""language"":"""&amp;Catalog!M246&amp;""",""identifier"":"""&amp;Catalog!C246&amp;"""}")</f>
        <v/>
      </c>
    </row>
    <row r="251">
      <c r="A251" s="23">
        <f>Catalog!A247</f>
        <v/>
      </c>
      <c r="B251" s="24">
        <f>Catalog!D247</f>
        <v/>
      </c>
      <c r="C251" s="24">
        <f>Catalog!F247</f>
        <v/>
      </c>
      <c r="D251" s="31">
        <f>IF(Catalog!D247="","","{""item_id"":"&amp;Catalog!A247&amp;",""title"":"""&amp;SUBSTITUTE(Catalog!D247,"""","\""")&amp;""",""creator"":"""&amp;SUBSTITUTE(Catalog!F247,"""","\""")&amp;""",""language"":"""&amp;Catalog!M247&amp;""",""identifier"":"""&amp;Catalog!C247&amp;"""}")</f>
        <v/>
      </c>
    </row>
    <row r="252">
      <c r="A252" s="23">
        <f>Catalog!A248</f>
        <v/>
      </c>
      <c r="B252" s="24">
        <f>Catalog!D248</f>
        <v/>
      </c>
      <c r="C252" s="24">
        <f>Catalog!F248</f>
        <v/>
      </c>
      <c r="D252" s="31">
        <f>IF(Catalog!D248="","","{""item_id"":"&amp;Catalog!A248&amp;",""title"":"""&amp;SUBSTITUTE(Catalog!D248,"""","\""")&amp;""",""creator"":"""&amp;SUBSTITUTE(Catalog!F248,"""","\""")&amp;""",""language"":"""&amp;Catalog!M248&amp;""",""identifier"":"""&amp;Catalog!C248&amp;"""}")</f>
        <v/>
      </c>
    </row>
    <row r="253">
      <c r="A253" s="23">
        <f>Catalog!A249</f>
        <v/>
      </c>
      <c r="B253" s="24">
        <f>Catalog!D249</f>
        <v/>
      </c>
      <c r="C253" s="24">
        <f>Catalog!F249</f>
        <v/>
      </c>
      <c r="D253" s="31">
        <f>IF(Catalog!D249="","","{""item_id"":"&amp;Catalog!A249&amp;",""title"":"""&amp;SUBSTITUTE(Catalog!D249,"""","\""")&amp;""",""creator"":"""&amp;SUBSTITUTE(Catalog!F249,"""","\""")&amp;""",""language"":"""&amp;Catalog!M249&amp;""",""identifier"":"""&amp;Catalog!C249&amp;"""}")</f>
        <v/>
      </c>
    </row>
    <row r="254">
      <c r="A254" s="23">
        <f>Catalog!A250</f>
        <v/>
      </c>
      <c r="B254" s="24">
        <f>Catalog!D250</f>
        <v/>
      </c>
      <c r="C254" s="24">
        <f>Catalog!F250</f>
        <v/>
      </c>
      <c r="D254" s="31">
        <f>IF(Catalog!D250="","","{""item_id"":"&amp;Catalog!A250&amp;",""title"":"""&amp;SUBSTITUTE(Catalog!D250,"""","\""")&amp;""",""creator"":"""&amp;SUBSTITUTE(Catalog!F250,"""","\""")&amp;""",""language"":"""&amp;Catalog!M250&amp;""",""identifier"":"""&amp;Catalog!C250&amp;"""}")</f>
        <v/>
      </c>
    </row>
    <row r="255">
      <c r="A255" s="23">
        <f>Catalog!A251</f>
        <v/>
      </c>
      <c r="B255" s="24">
        <f>Catalog!D251</f>
        <v/>
      </c>
      <c r="C255" s="24">
        <f>Catalog!F251</f>
        <v/>
      </c>
      <c r="D255" s="31">
        <f>IF(Catalog!D251="","","{""item_id"":"&amp;Catalog!A251&amp;",""title"":"""&amp;SUBSTITUTE(Catalog!D251,"""","\""")&amp;""",""creator"":"""&amp;SUBSTITUTE(Catalog!F251,"""","\""")&amp;""",""language"":"""&amp;Catalog!M251&amp;""",""identifier"":"""&amp;Catalog!C251&amp;"""}")</f>
        <v/>
      </c>
    </row>
    <row r="256">
      <c r="A256" s="23">
        <f>Catalog!A252</f>
        <v/>
      </c>
      <c r="B256" s="24">
        <f>Catalog!D252</f>
        <v/>
      </c>
      <c r="C256" s="24">
        <f>Catalog!F252</f>
        <v/>
      </c>
      <c r="D256" s="31">
        <f>IF(Catalog!D252="","","{""item_id"":"&amp;Catalog!A252&amp;",""title"":"""&amp;SUBSTITUTE(Catalog!D252,"""","\""")&amp;""",""creator"":"""&amp;SUBSTITUTE(Catalog!F252,"""","\""")&amp;""",""language"":"""&amp;Catalog!M252&amp;""",""identifier"":"""&amp;Catalog!C252&amp;"""}")</f>
        <v/>
      </c>
    </row>
    <row r="257">
      <c r="A257" s="23">
        <f>Catalog!A253</f>
        <v/>
      </c>
      <c r="B257" s="24">
        <f>Catalog!D253</f>
        <v/>
      </c>
      <c r="C257" s="24">
        <f>Catalog!F253</f>
        <v/>
      </c>
      <c r="D257" s="31">
        <f>IF(Catalog!D253="","","{""item_id"":"&amp;Catalog!A253&amp;",""title"":"""&amp;SUBSTITUTE(Catalog!D253,"""","\""")&amp;""",""creator"":"""&amp;SUBSTITUTE(Catalog!F253,"""","\""")&amp;""",""language"":"""&amp;Catalog!M253&amp;""",""identifier"":"""&amp;Catalog!C253&amp;"""}")</f>
        <v/>
      </c>
    </row>
    <row r="258">
      <c r="A258" s="23">
        <f>Catalog!A254</f>
        <v/>
      </c>
      <c r="B258" s="24">
        <f>Catalog!D254</f>
        <v/>
      </c>
      <c r="C258" s="24">
        <f>Catalog!F254</f>
        <v/>
      </c>
      <c r="D258" s="31">
        <f>IF(Catalog!D254="","","{""item_id"":"&amp;Catalog!A254&amp;",""title"":"""&amp;SUBSTITUTE(Catalog!D254,"""","\""")&amp;""",""creator"":"""&amp;SUBSTITUTE(Catalog!F254,"""","\""")&amp;""",""language"":"""&amp;Catalog!M254&amp;""",""identifier"":"""&amp;Catalog!C254&amp;"""}")</f>
        <v/>
      </c>
    </row>
    <row r="259">
      <c r="A259" s="23">
        <f>Catalog!A255</f>
        <v/>
      </c>
      <c r="B259" s="24">
        <f>Catalog!D255</f>
        <v/>
      </c>
      <c r="C259" s="24">
        <f>Catalog!F255</f>
        <v/>
      </c>
      <c r="D259" s="31">
        <f>IF(Catalog!D255="","","{""item_id"":"&amp;Catalog!A255&amp;",""title"":"""&amp;SUBSTITUTE(Catalog!D255,"""","\""")&amp;""",""creator"":"""&amp;SUBSTITUTE(Catalog!F255,"""","\""")&amp;""",""language"":"""&amp;Catalog!M255&amp;""",""identifier"":"""&amp;Catalog!C255&amp;"""}")</f>
        <v/>
      </c>
    </row>
    <row r="260">
      <c r="A260" s="23">
        <f>Catalog!A256</f>
        <v/>
      </c>
      <c r="B260" s="24">
        <f>Catalog!D256</f>
        <v/>
      </c>
      <c r="C260" s="24">
        <f>Catalog!F256</f>
        <v/>
      </c>
      <c r="D260" s="31">
        <f>IF(Catalog!D256="","","{""item_id"":"&amp;Catalog!A256&amp;",""title"":"""&amp;SUBSTITUTE(Catalog!D256,"""","\""")&amp;""",""creator"":"""&amp;SUBSTITUTE(Catalog!F256,"""","\""")&amp;""",""language"":"""&amp;Catalog!M256&amp;""",""identifier"":"""&amp;Catalog!C256&amp;"""}")</f>
        <v/>
      </c>
    </row>
    <row r="261">
      <c r="A261" s="23">
        <f>Catalog!A257</f>
        <v/>
      </c>
      <c r="B261" s="24">
        <f>Catalog!D257</f>
        <v/>
      </c>
      <c r="C261" s="24">
        <f>Catalog!F257</f>
        <v/>
      </c>
      <c r="D261" s="31">
        <f>IF(Catalog!D257="","","{""item_id"":"&amp;Catalog!A257&amp;",""title"":"""&amp;SUBSTITUTE(Catalog!D257,"""","\""")&amp;""",""creator"":"""&amp;SUBSTITUTE(Catalog!F257,"""","\""")&amp;""",""language"":"""&amp;Catalog!M257&amp;""",""identifier"":"""&amp;Catalog!C257&amp;"""}")</f>
        <v/>
      </c>
    </row>
    <row r="262">
      <c r="A262" s="23">
        <f>Catalog!A258</f>
        <v/>
      </c>
      <c r="B262" s="24">
        <f>Catalog!D258</f>
        <v/>
      </c>
      <c r="C262" s="24">
        <f>Catalog!F258</f>
        <v/>
      </c>
      <c r="D262" s="31">
        <f>IF(Catalog!D258="","","{""item_id"":"&amp;Catalog!A258&amp;",""title"":"""&amp;SUBSTITUTE(Catalog!D258,"""","\""")&amp;""",""creator"":"""&amp;SUBSTITUTE(Catalog!F258,"""","\""")&amp;""",""language"":"""&amp;Catalog!M258&amp;""",""identifier"":"""&amp;Catalog!C258&amp;"""}")</f>
        <v/>
      </c>
    </row>
    <row r="263">
      <c r="A263" s="23">
        <f>Catalog!A259</f>
        <v/>
      </c>
      <c r="B263" s="24">
        <f>Catalog!D259</f>
        <v/>
      </c>
      <c r="C263" s="24">
        <f>Catalog!F259</f>
        <v/>
      </c>
      <c r="D263" s="31">
        <f>IF(Catalog!D259="","","{""item_id"":"&amp;Catalog!A259&amp;",""title"":"""&amp;SUBSTITUTE(Catalog!D259,"""","\""")&amp;""",""creator"":"""&amp;SUBSTITUTE(Catalog!F259,"""","\""")&amp;""",""language"":"""&amp;Catalog!M259&amp;""",""identifier"":"""&amp;Catalog!C259&amp;"""}")</f>
        <v/>
      </c>
    </row>
    <row r="264">
      <c r="A264" s="23">
        <f>Catalog!A260</f>
        <v/>
      </c>
      <c r="B264" s="24">
        <f>Catalog!D260</f>
        <v/>
      </c>
      <c r="C264" s="24">
        <f>Catalog!F260</f>
        <v/>
      </c>
      <c r="D264" s="31">
        <f>IF(Catalog!D260="","","{""item_id"":"&amp;Catalog!A260&amp;",""title"":"""&amp;SUBSTITUTE(Catalog!D260,"""","\""")&amp;""",""creator"":"""&amp;SUBSTITUTE(Catalog!F260,"""","\""")&amp;""",""language"":"""&amp;Catalog!M260&amp;""",""identifier"":"""&amp;Catalog!C260&amp;"""}")</f>
        <v/>
      </c>
    </row>
    <row r="265">
      <c r="A265" s="23">
        <f>Catalog!A261</f>
        <v/>
      </c>
      <c r="B265" s="24">
        <f>Catalog!D261</f>
        <v/>
      </c>
      <c r="C265" s="24">
        <f>Catalog!F261</f>
        <v/>
      </c>
      <c r="D265" s="31">
        <f>IF(Catalog!D261="","","{""item_id"":"&amp;Catalog!A261&amp;",""title"":"""&amp;SUBSTITUTE(Catalog!D261,"""","\""")&amp;""",""creator"":"""&amp;SUBSTITUTE(Catalog!F261,"""","\""")&amp;""",""language"":"""&amp;Catalog!M261&amp;""",""identifier"":"""&amp;Catalog!C261&amp;"""}")</f>
        <v/>
      </c>
    </row>
    <row r="266">
      <c r="A266" s="23">
        <f>Catalog!A262</f>
        <v/>
      </c>
      <c r="B266" s="24">
        <f>Catalog!D262</f>
        <v/>
      </c>
      <c r="C266" s="24">
        <f>Catalog!F262</f>
        <v/>
      </c>
      <c r="D266" s="31">
        <f>IF(Catalog!D262="","","{""item_id"":"&amp;Catalog!A262&amp;",""title"":"""&amp;SUBSTITUTE(Catalog!D262,"""","\""")&amp;""",""creator"":"""&amp;SUBSTITUTE(Catalog!F262,"""","\""")&amp;""",""language"":"""&amp;Catalog!M262&amp;""",""identifier"":"""&amp;Catalog!C262&amp;"""}")</f>
        <v/>
      </c>
    </row>
    <row r="267">
      <c r="A267" s="23">
        <f>Catalog!A263</f>
        <v/>
      </c>
      <c r="B267" s="24">
        <f>Catalog!D263</f>
        <v/>
      </c>
      <c r="C267" s="24">
        <f>Catalog!F263</f>
        <v/>
      </c>
      <c r="D267" s="31">
        <f>IF(Catalog!D263="","","{""item_id"":"&amp;Catalog!A263&amp;",""title"":"""&amp;SUBSTITUTE(Catalog!D263,"""","\""")&amp;""",""creator"":"""&amp;SUBSTITUTE(Catalog!F263,"""","\""")&amp;""",""language"":"""&amp;Catalog!M263&amp;""",""identifier"":"""&amp;Catalog!C263&amp;"""}")</f>
        <v/>
      </c>
    </row>
    <row r="268">
      <c r="A268" s="23">
        <f>Catalog!A264</f>
        <v/>
      </c>
      <c r="B268" s="24">
        <f>Catalog!D264</f>
        <v/>
      </c>
      <c r="C268" s="24">
        <f>Catalog!F264</f>
        <v/>
      </c>
      <c r="D268" s="31">
        <f>IF(Catalog!D264="","","{""item_id"":"&amp;Catalog!A264&amp;",""title"":"""&amp;SUBSTITUTE(Catalog!D264,"""","\""")&amp;""",""creator"":"""&amp;SUBSTITUTE(Catalog!F264,"""","\""")&amp;""",""language"":"""&amp;Catalog!M264&amp;""",""identifier"":"""&amp;Catalog!C264&amp;"""}")</f>
        <v/>
      </c>
    </row>
    <row r="269">
      <c r="A269" s="23">
        <f>Catalog!A265</f>
        <v/>
      </c>
      <c r="B269" s="24">
        <f>Catalog!D265</f>
        <v/>
      </c>
      <c r="C269" s="24">
        <f>Catalog!F265</f>
        <v/>
      </c>
      <c r="D269" s="31">
        <f>IF(Catalog!D265="","","{""item_id"":"&amp;Catalog!A265&amp;",""title"":"""&amp;SUBSTITUTE(Catalog!D265,"""","\""")&amp;""",""creator"":"""&amp;SUBSTITUTE(Catalog!F265,"""","\""")&amp;""",""language"":"""&amp;Catalog!M265&amp;""",""identifier"":"""&amp;Catalog!C265&amp;"""}")</f>
        <v/>
      </c>
    </row>
    <row r="270">
      <c r="A270" s="23">
        <f>Catalog!A266</f>
        <v/>
      </c>
      <c r="B270" s="24">
        <f>Catalog!D266</f>
        <v/>
      </c>
      <c r="C270" s="24">
        <f>Catalog!F266</f>
        <v/>
      </c>
      <c r="D270" s="31">
        <f>IF(Catalog!D266="","","{""item_id"":"&amp;Catalog!A266&amp;",""title"":"""&amp;SUBSTITUTE(Catalog!D266,"""","\""")&amp;""",""creator"":"""&amp;SUBSTITUTE(Catalog!F266,"""","\""")&amp;""",""language"":"""&amp;Catalog!M266&amp;""",""identifier"":"""&amp;Catalog!C266&amp;"""}")</f>
        <v/>
      </c>
    </row>
    <row r="271">
      <c r="A271" s="23">
        <f>Catalog!A267</f>
        <v/>
      </c>
      <c r="B271" s="24">
        <f>Catalog!D267</f>
        <v/>
      </c>
      <c r="C271" s="24">
        <f>Catalog!F267</f>
        <v/>
      </c>
      <c r="D271" s="31">
        <f>IF(Catalog!D267="","","{""item_id"":"&amp;Catalog!A267&amp;",""title"":"""&amp;SUBSTITUTE(Catalog!D267,"""","\""")&amp;""",""creator"":"""&amp;SUBSTITUTE(Catalog!F267,"""","\""")&amp;""",""language"":"""&amp;Catalog!M267&amp;""",""identifier"":"""&amp;Catalog!C267&amp;"""}")</f>
        <v/>
      </c>
    </row>
    <row r="272">
      <c r="A272" s="23">
        <f>Catalog!A268</f>
        <v/>
      </c>
      <c r="B272" s="24">
        <f>Catalog!D268</f>
        <v/>
      </c>
      <c r="C272" s="24">
        <f>Catalog!F268</f>
        <v/>
      </c>
      <c r="D272" s="31">
        <f>IF(Catalog!D268="","","{""item_id"":"&amp;Catalog!A268&amp;",""title"":"""&amp;SUBSTITUTE(Catalog!D268,"""","\""")&amp;""",""creator"":"""&amp;SUBSTITUTE(Catalog!F268,"""","\""")&amp;""",""language"":"""&amp;Catalog!M268&amp;""",""identifier"":"""&amp;Catalog!C268&amp;"""}")</f>
        <v/>
      </c>
    </row>
    <row r="273">
      <c r="A273" s="23">
        <f>Catalog!A269</f>
        <v/>
      </c>
      <c r="B273" s="24">
        <f>Catalog!D269</f>
        <v/>
      </c>
      <c r="C273" s="24">
        <f>Catalog!F269</f>
        <v/>
      </c>
      <c r="D273" s="31">
        <f>IF(Catalog!D269="","","{""item_id"":"&amp;Catalog!A269&amp;",""title"":"""&amp;SUBSTITUTE(Catalog!D269,"""","\""")&amp;""",""creator"":"""&amp;SUBSTITUTE(Catalog!F269,"""","\""")&amp;""",""language"":"""&amp;Catalog!M269&amp;""",""identifier"":"""&amp;Catalog!C269&amp;"""}")</f>
        <v/>
      </c>
    </row>
    <row r="274">
      <c r="A274" s="23">
        <f>Catalog!A270</f>
        <v/>
      </c>
      <c r="B274" s="24">
        <f>Catalog!D270</f>
        <v/>
      </c>
      <c r="C274" s="24">
        <f>Catalog!F270</f>
        <v/>
      </c>
      <c r="D274" s="31">
        <f>IF(Catalog!D270="","","{""item_id"":"&amp;Catalog!A270&amp;",""title"":"""&amp;SUBSTITUTE(Catalog!D270,"""","\""")&amp;""",""creator"":"""&amp;SUBSTITUTE(Catalog!F270,"""","\""")&amp;""",""language"":"""&amp;Catalog!M270&amp;""",""identifier"":"""&amp;Catalog!C270&amp;"""}")</f>
        <v/>
      </c>
    </row>
    <row r="275">
      <c r="A275" s="23">
        <f>Catalog!A271</f>
        <v/>
      </c>
      <c r="B275" s="24">
        <f>Catalog!D271</f>
        <v/>
      </c>
      <c r="C275" s="24">
        <f>Catalog!F271</f>
        <v/>
      </c>
      <c r="D275" s="31">
        <f>IF(Catalog!D271="","","{""item_id"":"&amp;Catalog!A271&amp;",""title"":"""&amp;SUBSTITUTE(Catalog!D271,"""","\""")&amp;""",""creator"":"""&amp;SUBSTITUTE(Catalog!F271,"""","\""")&amp;""",""language"":"""&amp;Catalog!M271&amp;""",""identifier"":"""&amp;Catalog!C271&amp;"""}")</f>
        <v/>
      </c>
    </row>
    <row r="276">
      <c r="A276" s="23">
        <f>Catalog!A272</f>
        <v/>
      </c>
      <c r="B276" s="24">
        <f>Catalog!D272</f>
        <v/>
      </c>
      <c r="C276" s="24">
        <f>Catalog!F272</f>
        <v/>
      </c>
      <c r="D276" s="31">
        <f>IF(Catalog!D272="","","{""item_id"":"&amp;Catalog!A272&amp;",""title"":"""&amp;SUBSTITUTE(Catalog!D272,"""","\""")&amp;""",""creator"":"""&amp;SUBSTITUTE(Catalog!F272,"""","\""")&amp;""",""language"":"""&amp;Catalog!M272&amp;""",""identifier"":"""&amp;Catalog!C272&amp;"""}")</f>
        <v/>
      </c>
    </row>
    <row r="277">
      <c r="A277" s="23">
        <f>Catalog!A273</f>
        <v/>
      </c>
      <c r="B277" s="24">
        <f>Catalog!D273</f>
        <v/>
      </c>
      <c r="C277" s="24">
        <f>Catalog!F273</f>
        <v/>
      </c>
      <c r="D277" s="31">
        <f>IF(Catalog!D273="","","{""item_id"":"&amp;Catalog!A273&amp;",""title"":"""&amp;SUBSTITUTE(Catalog!D273,"""","\""")&amp;""",""creator"":"""&amp;SUBSTITUTE(Catalog!F273,"""","\""")&amp;""",""language"":"""&amp;Catalog!M273&amp;""",""identifier"":"""&amp;Catalog!C273&amp;"""}")</f>
        <v/>
      </c>
    </row>
    <row r="278">
      <c r="A278" s="23">
        <f>Catalog!A274</f>
        <v/>
      </c>
      <c r="B278" s="24">
        <f>Catalog!D274</f>
        <v/>
      </c>
      <c r="C278" s="24">
        <f>Catalog!F274</f>
        <v/>
      </c>
      <c r="D278" s="31">
        <f>IF(Catalog!D274="","","{""item_id"":"&amp;Catalog!A274&amp;",""title"":"""&amp;SUBSTITUTE(Catalog!D274,"""","\""")&amp;""",""creator"":"""&amp;SUBSTITUTE(Catalog!F274,"""","\""")&amp;""",""language"":"""&amp;Catalog!M274&amp;""",""identifier"":"""&amp;Catalog!C274&amp;"""}")</f>
        <v/>
      </c>
    </row>
    <row r="279">
      <c r="A279" s="23">
        <f>Catalog!A275</f>
        <v/>
      </c>
      <c r="B279" s="24">
        <f>Catalog!D275</f>
        <v/>
      </c>
      <c r="C279" s="24">
        <f>Catalog!F275</f>
        <v/>
      </c>
      <c r="D279" s="31">
        <f>IF(Catalog!D275="","","{""item_id"":"&amp;Catalog!A275&amp;",""title"":"""&amp;SUBSTITUTE(Catalog!D275,"""","\""")&amp;""",""creator"":"""&amp;SUBSTITUTE(Catalog!F275,"""","\""")&amp;""",""language"":"""&amp;Catalog!M275&amp;""",""identifier"":"""&amp;Catalog!C275&amp;"""}")</f>
        <v/>
      </c>
    </row>
    <row r="280">
      <c r="A280" s="23">
        <f>Catalog!A276</f>
        <v/>
      </c>
      <c r="B280" s="24">
        <f>Catalog!D276</f>
        <v/>
      </c>
      <c r="C280" s="24">
        <f>Catalog!F276</f>
        <v/>
      </c>
      <c r="D280" s="31">
        <f>IF(Catalog!D276="","","{""item_id"":"&amp;Catalog!A276&amp;",""title"":"""&amp;SUBSTITUTE(Catalog!D276,"""","\""")&amp;""",""creator"":"""&amp;SUBSTITUTE(Catalog!F276,"""","\""")&amp;""",""language"":"""&amp;Catalog!M276&amp;""",""identifier"":"""&amp;Catalog!C276&amp;"""}")</f>
        <v/>
      </c>
    </row>
    <row r="281">
      <c r="A281" s="23">
        <f>Catalog!A277</f>
        <v/>
      </c>
      <c r="B281" s="24">
        <f>Catalog!D277</f>
        <v/>
      </c>
      <c r="C281" s="24">
        <f>Catalog!F277</f>
        <v/>
      </c>
      <c r="D281" s="31">
        <f>IF(Catalog!D277="","","{""item_id"":"&amp;Catalog!A277&amp;",""title"":"""&amp;SUBSTITUTE(Catalog!D277,"""","\""")&amp;""",""creator"":"""&amp;SUBSTITUTE(Catalog!F277,"""","\""")&amp;""",""language"":"""&amp;Catalog!M277&amp;""",""identifier"":"""&amp;Catalog!C277&amp;"""}")</f>
        <v/>
      </c>
    </row>
    <row r="282">
      <c r="A282" s="23">
        <f>Catalog!A278</f>
        <v/>
      </c>
      <c r="B282" s="24">
        <f>Catalog!D278</f>
        <v/>
      </c>
      <c r="C282" s="24">
        <f>Catalog!F278</f>
        <v/>
      </c>
      <c r="D282" s="31">
        <f>IF(Catalog!D278="","","{""item_id"":"&amp;Catalog!A278&amp;",""title"":"""&amp;SUBSTITUTE(Catalog!D278,"""","\""")&amp;""",""creator"":"""&amp;SUBSTITUTE(Catalog!F278,"""","\""")&amp;""",""language"":"""&amp;Catalog!M278&amp;""",""identifier"":"""&amp;Catalog!C278&amp;"""}")</f>
        <v/>
      </c>
    </row>
    <row r="283">
      <c r="A283" s="23">
        <f>Catalog!A279</f>
        <v/>
      </c>
      <c r="B283" s="24">
        <f>Catalog!D279</f>
        <v/>
      </c>
      <c r="C283" s="24">
        <f>Catalog!F279</f>
        <v/>
      </c>
      <c r="D283" s="31">
        <f>IF(Catalog!D279="","","{""item_id"":"&amp;Catalog!A279&amp;",""title"":"""&amp;SUBSTITUTE(Catalog!D279,"""","\""")&amp;""",""creator"":"""&amp;SUBSTITUTE(Catalog!F279,"""","\""")&amp;""",""language"":"""&amp;Catalog!M279&amp;""",""identifier"":"""&amp;Catalog!C279&amp;"""}")</f>
        <v/>
      </c>
    </row>
    <row r="284">
      <c r="A284" s="23">
        <f>Catalog!A280</f>
        <v/>
      </c>
      <c r="B284" s="24">
        <f>Catalog!D280</f>
        <v/>
      </c>
      <c r="C284" s="24">
        <f>Catalog!F280</f>
        <v/>
      </c>
      <c r="D284" s="31">
        <f>IF(Catalog!D280="","","{""item_id"":"&amp;Catalog!A280&amp;",""title"":"""&amp;SUBSTITUTE(Catalog!D280,"""","\""")&amp;""",""creator"":"""&amp;SUBSTITUTE(Catalog!F280,"""","\""")&amp;""",""language"":"""&amp;Catalog!M280&amp;""",""identifier"":"""&amp;Catalog!C280&amp;"""}")</f>
        <v/>
      </c>
    </row>
    <row r="285">
      <c r="A285" s="23">
        <f>Catalog!A281</f>
        <v/>
      </c>
      <c r="B285" s="24">
        <f>Catalog!D281</f>
        <v/>
      </c>
      <c r="C285" s="24">
        <f>Catalog!F281</f>
        <v/>
      </c>
      <c r="D285" s="31">
        <f>IF(Catalog!D281="","","{""item_id"":"&amp;Catalog!A281&amp;",""title"":"""&amp;SUBSTITUTE(Catalog!D281,"""","\""")&amp;""",""creator"":"""&amp;SUBSTITUTE(Catalog!F281,"""","\""")&amp;""",""language"":"""&amp;Catalog!M281&amp;""",""identifier"":"""&amp;Catalog!C281&amp;"""}")</f>
        <v/>
      </c>
    </row>
    <row r="286">
      <c r="A286" s="23">
        <f>Catalog!A282</f>
        <v/>
      </c>
      <c r="B286" s="24">
        <f>Catalog!D282</f>
        <v/>
      </c>
      <c r="C286" s="24">
        <f>Catalog!F282</f>
        <v/>
      </c>
      <c r="D286" s="31">
        <f>IF(Catalog!D282="","","{""item_id"":"&amp;Catalog!A282&amp;",""title"":"""&amp;SUBSTITUTE(Catalog!D282,"""","\""")&amp;""",""creator"":"""&amp;SUBSTITUTE(Catalog!F282,"""","\""")&amp;""",""language"":"""&amp;Catalog!M282&amp;""",""identifier"":"""&amp;Catalog!C282&amp;"""}")</f>
        <v/>
      </c>
    </row>
    <row r="287">
      <c r="A287" s="23">
        <f>Catalog!A283</f>
        <v/>
      </c>
      <c r="B287" s="24">
        <f>Catalog!D283</f>
        <v/>
      </c>
      <c r="C287" s="24">
        <f>Catalog!F283</f>
        <v/>
      </c>
      <c r="D287" s="31">
        <f>IF(Catalog!D283="","","{""item_id"":"&amp;Catalog!A283&amp;",""title"":"""&amp;SUBSTITUTE(Catalog!D283,"""","\""")&amp;""",""creator"":"""&amp;SUBSTITUTE(Catalog!F283,"""","\""")&amp;""",""language"":"""&amp;Catalog!M283&amp;""",""identifier"":"""&amp;Catalog!C283&amp;"""}")</f>
        <v/>
      </c>
    </row>
    <row r="288">
      <c r="A288" s="23">
        <f>Catalog!A284</f>
        <v/>
      </c>
      <c r="B288" s="24">
        <f>Catalog!D284</f>
        <v/>
      </c>
      <c r="C288" s="24">
        <f>Catalog!F284</f>
        <v/>
      </c>
      <c r="D288" s="31">
        <f>IF(Catalog!D284="","","{""item_id"":"&amp;Catalog!A284&amp;",""title"":"""&amp;SUBSTITUTE(Catalog!D284,"""","\""")&amp;""",""creator"":"""&amp;SUBSTITUTE(Catalog!F284,"""","\""")&amp;""",""language"":"""&amp;Catalog!M284&amp;""",""identifier"":"""&amp;Catalog!C284&amp;"""}")</f>
        <v/>
      </c>
    </row>
    <row r="289">
      <c r="A289" s="23">
        <f>Catalog!A285</f>
        <v/>
      </c>
      <c r="B289" s="24">
        <f>Catalog!D285</f>
        <v/>
      </c>
      <c r="C289" s="24">
        <f>Catalog!F285</f>
        <v/>
      </c>
      <c r="D289" s="31">
        <f>IF(Catalog!D285="","","{""item_id"":"&amp;Catalog!A285&amp;",""title"":"""&amp;SUBSTITUTE(Catalog!D285,"""","\""")&amp;""",""creator"":"""&amp;SUBSTITUTE(Catalog!F285,"""","\""")&amp;""",""language"":"""&amp;Catalog!M285&amp;""",""identifier"":"""&amp;Catalog!C285&amp;"""}")</f>
        <v/>
      </c>
    </row>
    <row r="290">
      <c r="A290" s="23">
        <f>Catalog!A286</f>
        <v/>
      </c>
      <c r="B290" s="24">
        <f>Catalog!D286</f>
        <v/>
      </c>
      <c r="C290" s="24">
        <f>Catalog!F286</f>
        <v/>
      </c>
      <c r="D290" s="31">
        <f>IF(Catalog!D286="","","{""item_id"":"&amp;Catalog!A286&amp;",""title"":"""&amp;SUBSTITUTE(Catalog!D286,"""","\""")&amp;""",""creator"":"""&amp;SUBSTITUTE(Catalog!F286,"""","\""")&amp;""",""language"":"""&amp;Catalog!M286&amp;""",""identifier"":"""&amp;Catalog!C286&amp;"""}")</f>
        <v/>
      </c>
    </row>
    <row r="291">
      <c r="A291" s="23">
        <f>Catalog!A287</f>
        <v/>
      </c>
      <c r="B291" s="24">
        <f>Catalog!D287</f>
        <v/>
      </c>
      <c r="C291" s="24">
        <f>Catalog!F287</f>
        <v/>
      </c>
      <c r="D291" s="31">
        <f>IF(Catalog!D287="","","{""item_id"":"&amp;Catalog!A287&amp;",""title"":"""&amp;SUBSTITUTE(Catalog!D287,"""","\""")&amp;""",""creator"":"""&amp;SUBSTITUTE(Catalog!F287,"""","\""")&amp;""",""language"":"""&amp;Catalog!M287&amp;""",""identifier"":"""&amp;Catalog!C287&amp;"""}")</f>
        <v/>
      </c>
    </row>
    <row r="292">
      <c r="A292" s="23">
        <f>Catalog!A288</f>
        <v/>
      </c>
      <c r="B292" s="24">
        <f>Catalog!D288</f>
        <v/>
      </c>
      <c r="C292" s="24">
        <f>Catalog!F288</f>
        <v/>
      </c>
      <c r="D292" s="31">
        <f>IF(Catalog!D288="","","{""item_id"":"&amp;Catalog!A288&amp;",""title"":"""&amp;SUBSTITUTE(Catalog!D288,"""","\""")&amp;""",""creator"":"""&amp;SUBSTITUTE(Catalog!F288,"""","\""")&amp;""",""language"":"""&amp;Catalog!M288&amp;""",""identifier"":"""&amp;Catalog!C288&amp;"""}")</f>
        <v/>
      </c>
    </row>
    <row r="293">
      <c r="A293" s="23">
        <f>Catalog!A289</f>
        <v/>
      </c>
      <c r="B293" s="24">
        <f>Catalog!D289</f>
        <v/>
      </c>
      <c r="C293" s="24">
        <f>Catalog!F289</f>
        <v/>
      </c>
      <c r="D293" s="31">
        <f>IF(Catalog!D289="","","{""item_id"":"&amp;Catalog!A289&amp;",""title"":"""&amp;SUBSTITUTE(Catalog!D289,"""","\""")&amp;""",""creator"":"""&amp;SUBSTITUTE(Catalog!F289,"""","\""")&amp;""",""language"":"""&amp;Catalog!M289&amp;""",""identifier"":"""&amp;Catalog!C289&amp;"""}")</f>
        <v/>
      </c>
    </row>
    <row r="294">
      <c r="A294" s="23">
        <f>Catalog!A290</f>
        <v/>
      </c>
      <c r="B294" s="24">
        <f>Catalog!D290</f>
        <v/>
      </c>
      <c r="C294" s="24">
        <f>Catalog!F290</f>
        <v/>
      </c>
      <c r="D294" s="31">
        <f>IF(Catalog!D290="","","{""item_id"":"&amp;Catalog!A290&amp;",""title"":"""&amp;SUBSTITUTE(Catalog!D290,"""","\""")&amp;""",""creator"":"""&amp;SUBSTITUTE(Catalog!F290,"""","\""")&amp;""",""language"":"""&amp;Catalog!M290&amp;""",""identifier"":"""&amp;Catalog!C290&amp;"""}")</f>
        <v/>
      </c>
    </row>
    <row r="295">
      <c r="A295" s="23">
        <f>Catalog!A291</f>
        <v/>
      </c>
      <c r="B295" s="24">
        <f>Catalog!D291</f>
        <v/>
      </c>
      <c r="C295" s="24">
        <f>Catalog!F291</f>
        <v/>
      </c>
      <c r="D295" s="31">
        <f>IF(Catalog!D291="","","{""item_id"":"&amp;Catalog!A291&amp;",""title"":"""&amp;SUBSTITUTE(Catalog!D291,"""","\""")&amp;""",""creator"":"""&amp;SUBSTITUTE(Catalog!F291,"""","\""")&amp;""",""language"":"""&amp;Catalog!M291&amp;""",""identifier"":"""&amp;Catalog!C291&amp;"""}")</f>
        <v/>
      </c>
    </row>
    <row r="296">
      <c r="A296" s="23">
        <f>Catalog!A292</f>
        <v/>
      </c>
      <c r="B296" s="24">
        <f>Catalog!D292</f>
        <v/>
      </c>
      <c r="C296" s="24">
        <f>Catalog!F292</f>
        <v/>
      </c>
      <c r="D296" s="31">
        <f>IF(Catalog!D292="","","{""item_id"":"&amp;Catalog!A292&amp;",""title"":"""&amp;SUBSTITUTE(Catalog!D292,"""","\""")&amp;""",""creator"":"""&amp;SUBSTITUTE(Catalog!F292,"""","\""")&amp;""",""language"":"""&amp;Catalog!M292&amp;""",""identifier"":"""&amp;Catalog!C292&amp;"""}")</f>
        <v/>
      </c>
    </row>
    <row r="297">
      <c r="A297" s="23">
        <f>Catalog!A293</f>
        <v/>
      </c>
      <c r="B297" s="24">
        <f>Catalog!D293</f>
        <v/>
      </c>
      <c r="C297" s="24">
        <f>Catalog!F293</f>
        <v/>
      </c>
      <c r="D297" s="31">
        <f>IF(Catalog!D293="","","{""item_id"":"&amp;Catalog!A293&amp;",""title"":"""&amp;SUBSTITUTE(Catalog!D293,"""","\""")&amp;""",""creator"":"""&amp;SUBSTITUTE(Catalog!F293,"""","\""")&amp;""",""language"":"""&amp;Catalog!M293&amp;""",""identifier"":"""&amp;Catalog!C293&amp;"""}")</f>
        <v/>
      </c>
    </row>
    <row r="298">
      <c r="A298" s="23">
        <f>Catalog!A294</f>
        <v/>
      </c>
      <c r="B298" s="24">
        <f>Catalog!D294</f>
        <v/>
      </c>
      <c r="C298" s="24">
        <f>Catalog!F294</f>
        <v/>
      </c>
      <c r="D298" s="31">
        <f>IF(Catalog!D294="","","{""item_id"":"&amp;Catalog!A294&amp;",""title"":"""&amp;SUBSTITUTE(Catalog!D294,"""","\""")&amp;""",""creator"":"""&amp;SUBSTITUTE(Catalog!F294,"""","\""")&amp;""",""language"":"""&amp;Catalog!M294&amp;""",""identifier"":"""&amp;Catalog!C294&amp;"""}")</f>
        <v/>
      </c>
    </row>
    <row r="299">
      <c r="A299" s="23">
        <f>Catalog!A295</f>
        <v/>
      </c>
      <c r="B299" s="24">
        <f>Catalog!D295</f>
        <v/>
      </c>
      <c r="C299" s="24">
        <f>Catalog!F295</f>
        <v/>
      </c>
      <c r="D299" s="31">
        <f>IF(Catalog!D295="","","{""item_id"":"&amp;Catalog!A295&amp;",""title"":"""&amp;SUBSTITUTE(Catalog!D295,"""","\""")&amp;""",""creator"":"""&amp;SUBSTITUTE(Catalog!F295,"""","\""")&amp;""",""language"":"""&amp;Catalog!M295&amp;""",""identifier"":"""&amp;Catalog!C295&amp;"""}")</f>
        <v/>
      </c>
    </row>
    <row r="300">
      <c r="A300" s="23">
        <f>Catalog!A296</f>
        <v/>
      </c>
      <c r="B300" s="24">
        <f>Catalog!D296</f>
        <v/>
      </c>
      <c r="C300" s="24">
        <f>Catalog!F296</f>
        <v/>
      </c>
      <c r="D300" s="31">
        <f>IF(Catalog!D296="","","{""item_id"":"&amp;Catalog!A296&amp;",""title"":"""&amp;SUBSTITUTE(Catalog!D296,"""","\""")&amp;""",""creator"":"""&amp;SUBSTITUTE(Catalog!F296,"""","\""")&amp;""",""language"":"""&amp;Catalog!M296&amp;""",""identifier"":"""&amp;Catalog!C296&amp;"""}")</f>
        <v/>
      </c>
    </row>
    <row r="301">
      <c r="A301" s="23">
        <f>Catalog!A297</f>
        <v/>
      </c>
      <c r="B301" s="24">
        <f>Catalog!D297</f>
        <v/>
      </c>
      <c r="C301" s="24">
        <f>Catalog!F297</f>
        <v/>
      </c>
      <c r="D301" s="31">
        <f>IF(Catalog!D297="","","{""item_id"":"&amp;Catalog!A297&amp;",""title"":"""&amp;SUBSTITUTE(Catalog!D297,"""","\""")&amp;""",""creator"":"""&amp;SUBSTITUTE(Catalog!F297,"""","\""")&amp;""",""language"":"""&amp;Catalog!M297&amp;""",""identifier"":"""&amp;Catalog!C297&amp;"""}")</f>
        <v/>
      </c>
    </row>
    <row r="302">
      <c r="A302" s="23">
        <f>Catalog!A298</f>
        <v/>
      </c>
      <c r="B302" s="24">
        <f>Catalog!D298</f>
        <v/>
      </c>
      <c r="C302" s="24">
        <f>Catalog!F298</f>
        <v/>
      </c>
      <c r="D302" s="31">
        <f>IF(Catalog!D298="","","{""item_id"":"&amp;Catalog!A298&amp;",""title"":"""&amp;SUBSTITUTE(Catalog!D298,"""","\""")&amp;""",""creator"":"""&amp;SUBSTITUTE(Catalog!F298,"""","\""")&amp;""",""language"":"""&amp;Catalog!M298&amp;""",""identifier"":"""&amp;Catalog!C298&amp;"""}")</f>
        <v/>
      </c>
    </row>
    <row r="303">
      <c r="A303" s="23">
        <f>Catalog!A299</f>
        <v/>
      </c>
      <c r="B303" s="24">
        <f>Catalog!D299</f>
        <v/>
      </c>
      <c r="C303" s="24">
        <f>Catalog!F299</f>
        <v/>
      </c>
      <c r="D303" s="31">
        <f>IF(Catalog!D299="","","{""item_id"":"&amp;Catalog!A299&amp;",""title"":"""&amp;SUBSTITUTE(Catalog!D299,"""","\""")&amp;""",""creator"":"""&amp;SUBSTITUTE(Catalog!F299,"""","\""")&amp;""",""language"":"""&amp;Catalog!M299&amp;""",""identifier"":"""&amp;Catalog!C299&amp;"""}")</f>
        <v/>
      </c>
    </row>
    <row r="304">
      <c r="A304" s="23">
        <f>Catalog!A300</f>
        <v/>
      </c>
      <c r="B304" s="24">
        <f>Catalog!D300</f>
        <v/>
      </c>
      <c r="C304" s="24">
        <f>Catalog!F300</f>
        <v/>
      </c>
      <c r="D304" s="31">
        <f>IF(Catalog!D300="","","{""item_id"":"&amp;Catalog!A300&amp;",""title"":"""&amp;SUBSTITUTE(Catalog!D300,"""","\""")&amp;""",""creator"":"""&amp;SUBSTITUTE(Catalog!F300,"""","\""")&amp;""",""language"":"""&amp;Catalog!M300&amp;""",""identifier"":"""&amp;Catalog!C300&amp;"""}")</f>
        <v/>
      </c>
    </row>
    <row r="305">
      <c r="A305" s="23">
        <f>Catalog!A301</f>
        <v/>
      </c>
      <c r="B305" s="24">
        <f>Catalog!D301</f>
        <v/>
      </c>
      <c r="C305" s="24">
        <f>Catalog!F301</f>
        <v/>
      </c>
      <c r="D305" s="31">
        <f>IF(Catalog!D301="","","{""item_id"":"&amp;Catalog!A301&amp;",""title"":"""&amp;SUBSTITUTE(Catalog!D301,"""","\""")&amp;""",""creator"":"""&amp;SUBSTITUTE(Catalog!F301,"""","\""")&amp;""",""language"":"""&amp;Catalog!M301&amp;""",""identifier"":"""&amp;Catalog!C301&amp;"""}")</f>
        <v/>
      </c>
    </row>
    <row r="306">
      <c r="A306" s="23">
        <f>Catalog!A302</f>
        <v/>
      </c>
      <c r="B306" s="24">
        <f>Catalog!D302</f>
        <v/>
      </c>
      <c r="C306" s="24">
        <f>Catalog!F302</f>
        <v/>
      </c>
      <c r="D306" s="31">
        <f>IF(Catalog!D302="","","{""item_id"":"&amp;Catalog!A302&amp;",""title"":"""&amp;SUBSTITUTE(Catalog!D302,"""","\""")&amp;""",""creator"":"""&amp;SUBSTITUTE(Catalog!F302,"""","\""")&amp;""",""language"":"""&amp;Catalog!M302&amp;""",""identifier"":"""&amp;Catalog!C302&amp;"""}")</f>
        <v/>
      </c>
    </row>
    <row r="307">
      <c r="A307" s="23">
        <f>Catalog!A303</f>
        <v/>
      </c>
      <c r="B307" s="24">
        <f>Catalog!D303</f>
        <v/>
      </c>
      <c r="C307" s="24">
        <f>Catalog!F303</f>
        <v/>
      </c>
      <c r="D307" s="31">
        <f>IF(Catalog!D303="","","{""item_id"":"&amp;Catalog!A303&amp;",""title"":"""&amp;SUBSTITUTE(Catalog!D303,"""","\""")&amp;""",""creator"":"""&amp;SUBSTITUTE(Catalog!F303,"""","\""")&amp;""",""language"":"""&amp;Catalog!M303&amp;""",""identifier"":"""&amp;Catalog!C303&amp;"""}")</f>
        <v/>
      </c>
    </row>
    <row r="308">
      <c r="A308" s="23">
        <f>Catalog!A304</f>
        <v/>
      </c>
      <c r="B308" s="24">
        <f>Catalog!D304</f>
        <v/>
      </c>
      <c r="C308" s="24">
        <f>Catalog!F304</f>
        <v/>
      </c>
      <c r="D308" s="31">
        <f>IF(Catalog!D304="","","{""item_id"":"&amp;Catalog!A304&amp;",""title"":"""&amp;SUBSTITUTE(Catalog!D304,"""","\""")&amp;""",""creator"":"""&amp;SUBSTITUTE(Catalog!F304,"""","\""")&amp;""",""language"":"""&amp;Catalog!M304&amp;""",""identifier"":"""&amp;Catalog!C304&amp;"""}")</f>
        <v/>
      </c>
    </row>
    <row r="309">
      <c r="A309" s="23">
        <f>Catalog!A305</f>
        <v/>
      </c>
      <c r="B309" s="24">
        <f>Catalog!D305</f>
        <v/>
      </c>
      <c r="C309" s="24">
        <f>Catalog!F305</f>
        <v/>
      </c>
      <c r="D309" s="31">
        <f>IF(Catalog!D305="","","{""item_id"":"&amp;Catalog!A305&amp;",""title"":"""&amp;SUBSTITUTE(Catalog!D305,"""","\""")&amp;""",""creator"":"""&amp;SUBSTITUTE(Catalog!F305,"""","\""")&amp;""",""language"":"""&amp;Catalog!M305&amp;""",""identifier"":"""&amp;Catalog!C305&amp;"""}")</f>
        <v/>
      </c>
    </row>
    <row r="310">
      <c r="A310" s="23">
        <f>Catalog!A306</f>
        <v/>
      </c>
      <c r="B310" s="24">
        <f>Catalog!D306</f>
        <v/>
      </c>
      <c r="C310" s="24">
        <f>Catalog!F306</f>
        <v/>
      </c>
      <c r="D310" s="31">
        <f>IF(Catalog!D306="","","{""item_id"":"&amp;Catalog!A306&amp;",""title"":"""&amp;SUBSTITUTE(Catalog!D306,"""","\""")&amp;""",""creator"":"""&amp;SUBSTITUTE(Catalog!F306,"""","\""")&amp;""",""language"":"""&amp;Catalog!M306&amp;""",""identifier"":"""&amp;Catalog!C306&amp;"""}")</f>
        <v/>
      </c>
    </row>
    <row r="311">
      <c r="A311" s="23">
        <f>Catalog!A307</f>
        <v/>
      </c>
      <c r="B311" s="24">
        <f>Catalog!D307</f>
        <v/>
      </c>
      <c r="C311" s="24">
        <f>Catalog!F307</f>
        <v/>
      </c>
      <c r="D311" s="31">
        <f>IF(Catalog!D307="","","{""item_id"":"&amp;Catalog!A307&amp;",""title"":"""&amp;SUBSTITUTE(Catalog!D307,"""","\""")&amp;""",""creator"":"""&amp;SUBSTITUTE(Catalog!F307,"""","\""")&amp;""",""language"":"""&amp;Catalog!M307&amp;""",""identifier"":"""&amp;Catalog!C307&amp;"""}")</f>
        <v/>
      </c>
    </row>
    <row r="312">
      <c r="A312" s="23">
        <f>Catalog!A308</f>
        <v/>
      </c>
      <c r="B312" s="24">
        <f>Catalog!D308</f>
        <v/>
      </c>
      <c r="C312" s="24">
        <f>Catalog!F308</f>
        <v/>
      </c>
      <c r="D312" s="31">
        <f>IF(Catalog!D308="","","{""item_id"":"&amp;Catalog!A308&amp;",""title"":"""&amp;SUBSTITUTE(Catalog!D308,"""","\""")&amp;""",""creator"":"""&amp;SUBSTITUTE(Catalog!F308,"""","\""")&amp;""",""language"":"""&amp;Catalog!M308&amp;""",""identifier"":"""&amp;Catalog!C308&amp;"""}")</f>
        <v/>
      </c>
    </row>
    <row r="313">
      <c r="A313" s="23">
        <f>Catalog!A309</f>
        <v/>
      </c>
      <c r="B313" s="24">
        <f>Catalog!D309</f>
        <v/>
      </c>
      <c r="C313" s="24">
        <f>Catalog!F309</f>
        <v/>
      </c>
      <c r="D313" s="31">
        <f>IF(Catalog!D309="","","{""item_id"":"&amp;Catalog!A309&amp;",""title"":"""&amp;SUBSTITUTE(Catalog!D309,"""","\""")&amp;""",""creator"":"""&amp;SUBSTITUTE(Catalog!F309,"""","\""")&amp;""",""language"":"""&amp;Catalog!M309&amp;""",""identifier"":"""&amp;Catalog!C309&amp;"""}")</f>
        <v/>
      </c>
    </row>
    <row r="314">
      <c r="A314" s="23">
        <f>Catalog!A310</f>
        <v/>
      </c>
      <c r="B314" s="24">
        <f>Catalog!D310</f>
        <v/>
      </c>
      <c r="C314" s="24">
        <f>Catalog!F310</f>
        <v/>
      </c>
      <c r="D314" s="31">
        <f>IF(Catalog!D310="","","{""item_id"":"&amp;Catalog!A310&amp;",""title"":"""&amp;SUBSTITUTE(Catalog!D310,"""","\""")&amp;""",""creator"":"""&amp;SUBSTITUTE(Catalog!F310,"""","\""")&amp;""",""language"":"""&amp;Catalog!M310&amp;""",""identifier"":"""&amp;Catalog!C310&amp;"""}")</f>
        <v/>
      </c>
    </row>
    <row r="315">
      <c r="A315" s="23">
        <f>Catalog!A311</f>
        <v/>
      </c>
      <c r="B315" s="24">
        <f>Catalog!D311</f>
        <v/>
      </c>
      <c r="C315" s="24">
        <f>Catalog!F311</f>
        <v/>
      </c>
      <c r="D315" s="31">
        <f>IF(Catalog!D311="","","{""item_id"":"&amp;Catalog!A311&amp;",""title"":"""&amp;SUBSTITUTE(Catalog!D311,"""","\""")&amp;""",""creator"":"""&amp;SUBSTITUTE(Catalog!F311,"""","\""")&amp;""",""language"":"""&amp;Catalog!M311&amp;""",""identifier"":"""&amp;Catalog!C311&amp;"""}")</f>
        <v/>
      </c>
    </row>
    <row r="316">
      <c r="A316" s="23">
        <f>Catalog!A312</f>
        <v/>
      </c>
      <c r="B316" s="24">
        <f>Catalog!D312</f>
        <v/>
      </c>
      <c r="C316" s="24">
        <f>Catalog!F312</f>
        <v/>
      </c>
      <c r="D316" s="31">
        <f>IF(Catalog!D312="","","{""item_id"":"&amp;Catalog!A312&amp;",""title"":"""&amp;SUBSTITUTE(Catalog!D312,"""","\""")&amp;""",""creator"":"""&amp;SUBSTITUTE(Catalog!F312,"""","\""")&amp;""",""language"":"""&amp;Catalog!M312&amp;""",""identifier"":"""&amp;Catalog!C312&amp;"""}")</f>
        <v/>
      </c>
    </row>
    <row r="317">
      <c r="A317" s="23">
        <f>Catalog!A313</f>
        <v/>
      </c>
      <c r="B317" s="24">
        <f>Catalog!D313</f>
        <v/>
      </c>
      <c r="C317" s="24">
        <f>Catalog!F313</f>
        <v/>
      </c>
      <c r="D317" s="31">
        <f>IF(Catalog!D313="","","{""item_id"":"&amp;Catalog!A313&amp;",""title"":"""&amp;SUBSTITUTE(Catalog!D313,"""","\""")&amp;""",""creator"":"""&amp;SUBSTITUTE(Catalog!F313,"""","\""")&amp;""",""language"":"""&amp;Catalog!M313&amp;""",""identifier"":"""&amp;Catalog!C313&amp;"""}")</f>
        <v/>
      </c>
    </row>
    <row r="318">
      <c r="A318" s="23">
        <f>Catalog!A314</f>
        <v/>
      </c>
      <c r="B318" s="24">
        <f>Catalog!D314</f>
        <v/>
      </c>
      <c r="C318" s="24">
        <f>Catalog!F314</f>
        <v/>
      </c>
      <c r="D318" s="31">
        <f>IF(Catalog!D314="","","{""item_id"":"&amp;Catalog!A314&amp;",""title"":"""&amp;SUBSTITUTE(Catalog!D314,"""","\""")&amp;""",""creator"":"""&amp;SUBSTITUTE(Catalog!F314,"""","\""")&amp;""",""language"":"""&amp;Catalog!M314&amp;""",""identifier"":"""&amp;Catalog!C314&amp;"""}")</f>
        <v/>
      </c>
    </row>
    <row r="319">
      <c r="A319" s="23">
        <f>Catalog!A315</f>
        <v/>
      </c>
      <c r="B319" s="24">
        <f>Catalog!D315</f>
        <v/>
      </c>
      <c r="C319" s="24">
        <f>Catalog!F315</f>
        <v/>
      </c>
      <c r="D319" s="31">
        <f>IF(Catalog!D315="","","{""item_id"":"&amp;Catalog!A315&amp;",""title"":"""&amp;SUBSTITUTE(Catalog!D315,"""","\""")&amp;""",""creator"":"""&amp;SUBSTITUTE(Catalog!F315,"""","\""")&amp;""",""language"":"""&amp;Catalog!M315&amp;""",""identifier"":"""&amp;Catalog!C315&amp;"""}")</f>
        <v/>
      </c>
    </row>
    <row r="320">
      <c r="A320" s="23">
        <f>Catalog!A316</f>
        <v/>
      </c>
      <c r="B320" s="24">
        <f>Catalog!D316</f>
        <v/>
      </c>
      <c r="C320" s="24">
        <f>Catalog!F316</f>
        <v/>
      </c>
      <c r="D320" s="31">
        <f>IF(Catalog!D316="","","{""item_id"":"&amp;Catalog!A316&amp;",""title"":"""&amp;SUBSTITUTE(Catalog!D316,"""","\""")&amp;""",""creator"":"""&amp;SUBSTITUTE(Catalog!F316,"""","\""")&amp;""",""language"":"""&amp;Catalog!M316&amp;""",""identifier"":"""&amp;Catalog!C316&amp;"""}")</f>
        <v/>
      </c>
    </row>
    <row r="321">
      <c r="A321" s="23">
        <f>Catalog!A317</f>
        <v/>
      </c>
      <c r="B321" s="24">
        <f>Catalog!D317</f>
        <v/>
      </c>
      <c r="C321" s="24">
        <f>Catalog!F317</f>
        <v/>
      </c>
      <c r="D321" s="31">
        <f>IF(Catalog!D317="","","{""item_id"":"&amp;Catalog!A317&amp;",""title"":"""&amp;SUBSTITUTE(Catalog!D317,"""","\""")&amp;""",""creator"":"""&amp;SUBSTITUTE(Catalog!F317,"""","\""")&amp;""",""language"":"""&amp;Catalog!M317&amp;""",""identifier"":"""&amp;Catalog!C317&amp;"""}")</f>
        <v/>
      </c>
    </row>
    <row r="322">
      <c r="A322" s="23">
        <f>Catalog!A318</f>
        <v/>
      </c>
      <c r="B322" s="24">
        <f>Catalog!D318</f>
        <v/>
      </c>
      <c r="C322" s="24">
        <f>Catalog!F318</f>
        <v/>
      </c>
      <c r="D322" s="31">
        <f>IF(Catalog!D318="","","{""item_id"":"&amp;Catalog!A318&amp;",""title"":"""&amp;SUBSTITUTE(Catalog!D318,"""","\""")&amp;""",""creator"":"""&amp;SUBSTITUTE(Catalog!F318,"""","\""")&amp;""",""language"":"""&amp;Catalog!M318&amp;""",""identifier"":"""&amp;Catalog!C318&amp;"""}")</f>
        <v/>
      </c>
    </row>
    <row r="323">
      <c r="A323" s="23">
        <f>Catalog!A319</f>
        <v/>
      </c>
      <c r="B323" s="24">
        <f>Catalog!D319</f>
        <v/>
      </c>
      <c r="C323" s="24">
        <f>Catalog!F319</f>
        <v/>
      </c>
      <c r="D323" s="31">
        <f>IF(Catalog!D319="","","{""item_id"":"&amp;Catalog!A319&amp;",""title"":"""&amp;SUBSTITUTE(Catalog!D319,"""","\""")&amp;""",""creator"":"""&amp;SUBSTITUTE(Catalog!F319,"""","\""")&amp;""",""language"":"""&amp;Catalog!M319&amp;""",""identifier"":"""&amp;Catalog!C319&amp;"""}")</f>
        <v/>
      </c>
    </row>
    <row r="324">
      <c r="A324" s="23">
        <f>Catalog!A320</f>
        <v/>
      </c>
      <c r="B324" s="24">
        <f>Catalog!D320</f>
        <v/>
      </c>
      <c r="C324" s="24">
        <f>Catalog!F320</f>
        <v/>
      </c>
      <c r="D324" s="31">
        <f>IF(Catalog!D320="","","{""item_id"":"&amp;Catalog!A320&amp;",""title"":"""&amp;SUBSTITUTE(Catalog!D320,"""","\""")&amp;""",""creator"":"""&amp;SUBSTITUTE(Catalog!F320,"""","\""")&amp;""",""language"":"""&amp;Catalog!M320&amp;""",""identifier"":"""&amp;Catalog!C320&amp;"""}")</f>
        <v/>
      </c>
    </row>
    <row r="325">
      <c r="A325" s="23">
        <f>Catalog!A321</f>
        <v/>
      </c>
      <c r="B325" s="24">
        <f>Catalog!D321</f>
        <v/>
      </c>
      <c r="C325" s="24">
        <f>Catalog!F321</f>
        <v/>
      </c>
      <c r="D325" s="31">
        <f>IF(Catalog!D321="","","{""item_id"":"&amp;Catalog!A321&amp;",""title"":"""&amp;SUBSTITUTE(Catalog!D321,"""","\""")&amp;""",""creator"":"""&amp;SUBSTITUTE(Catalog!F321,"""","\""")&amp;""",""language"":"""&amp;Catalog!M321&amp;""",""identifier"":"""&amp;Catalog!C321&amp;"""}")</f>
        <v/>
      </c>
    </row>
    <row r="326">
      <c r="A326" s="23">
        <f>Catalog!A322</f>
        <v/>
      </c>
      <c r="B326" s="24">
        <f>Catalog!D322</f>
        <v/>
      </c>
      <c r="C326" s="24">
        <f>Catalog!F322</f>
        <v/>
      </c>
      <c r="D326" s="31">
        <f>IF(Catalog!D322="","","{""item_id"":"&amp;Catalog!A322&amp;",""title"":"""&amp;SUBSTITUTE(Catalog!D322,"""","\""")&amp;""",""creator"":"""&amp;SUBSTITUTE(Catalog!F322,"""","\""")&amp;""",""language"":"""&amp;Catalog!M322&amp;""",""identifier"":"""&amp;Catalog!C322&amp;"""}")</f>
        <v/>
      </c>
    </row>
    <row r="327">
      <c r="A327" s="23">
        <f>Catalog!A323</f>
        <v/>
      </c>
      <c r="B327" s="24">
        <f>Catalog!D323</f>
        <v/>
      </c>
      <c r="C327" s="24">
        <f>Catalog!F323</f>
        <v/>
      </c>
      <c r="D327" s="31">
        <f>IF(Catalog!D323="","","{""item_id"":"&amp;Catalog!A323&amp;",""title"":"""&amp;SUBSTITUTE(Catalog!D323,"""","\""")&amp;""",""creator"":"""&amp;SUBSTITUTE(Catalog!F323,"""","\""")&amp;""",""language"":"""&amp;Catalog!M323&amp;""",""identifier"":"""&amp;Catalog!C323&amp;"""}")</f>
        <v/>
      </c>
    </row>
    <row r="328">
      <c r="A328" s="23">
        <f>Catalog!A324</f>
        <v/>
      </c>
      <c r="B328" s="24">
        <f>Catalog!D324</f>
        <v/>
      </c>
      <c r="C328" s="24">
        <f>Catalog!F324</f>
        <v/>
      </c>
      <c r="D328" s="31">
        <f>IF(Catalog!D324="","","{""item_id"":"&amp;Catalog!A324&amp;",""title"":"""&amp;SUBSTITUTE(Catalog!D324,"""","\""")&amp;""",""creator"":"""&amp;SUBSTITUTE(Catalog!F324,"""","\""")&amp;""",""language"":"""&amp;Catalog!M324&amp;""",""identifier"":"""&amp;Catalog!C324&amp;"""}")</f>
        <v/>
      </c>
    </row>
    <row r="329">
      <c r="A329" s="23">
        <f>Catalog!A325</f>
        <v/>
      </c>
      <c r="B329" s="24">
        <f>Catalog!D325</f>
        <v/>
      </c>
      <c r="C329" s="24">
        <f>Catalog!F325</f>
        <v/>
      </c>
      <c r="D329" s="31">
        <f>IF(Catalog!D325="","","{""item_id"":"&amp;Catalog!A325&amp;",""title"":"""&amp;SUBSTITUTE(Catalog!D325,"""","\""")&amp;""",""creator"":"""&amp;SUBSTITUTE(Catalog!F325,"""","\""")&amp;""",""language"":"""&amp;Catalog!M325&amp;""",""identifier"":"""&amp;Catalog!C325&amp;"""}")</f>
        <v/>
      </c>
    </row>
    <row r="330">
      <c r="A330" s="23">
        <f>Catalog!A326</f>
        <v/>
      </c>
      <c r="B330" s="24">
        <f>Catalog!D326</f>
        <v/>
      </c>
      <c r="C330" s="24">
        <f>Catalog!F326</f>
        <v/>
      </c>
      <c r="D330" s="31">
        <f>IF(Catalog!D326="","","{""item_id"":"&amp;Catalog!A326&amp;",""title"":"""&amp;SUBSTITUTE(Catalog!D326,"""","\""")&amp;""",""creator"":"""&amp;SUBSTITUTE(Catalog!F326,"""","\""")&amp;""",""language"":"""&amp;Catalog!M326&amp;""",""identifier"":"""&amp;Catalog!C326&amp;"""}")</f>
        <v/>
      </c>
    </row>
    <row r="331">
      <c r="A331" s="23">
        <f>Catalog!A327</f>
        <v/>
      </c>
      <c r="B331" s="24">
        <f>Catalog!D327</f>
        <v/>
      </c>
      <c r="C331" s="24">
        <f>Catalog!F327</f>
        <v/>
      </c>
      <c r="D331" s="31">
        <f>IF(Catalog!D327="","","{""item_id"":"&amp;Catalog!A327&amp;",""title"":"""&amp;SUBSTITUTE(Catalog!D327,"""","\""")&amp;""",""creator"":"""&amp;SUBSTITUTE(Catalog!F327,"""","\""")&amp;""",""language"":"""&amp;Catalog!M327&amp;""",""identifier"":"""&amp;Catalog!C327&amp;"""}")</f>
        <v/>
      </c>
    </row>
    <row r="332">
      <c r="A332" s="23">
        <f>Catalog!A328</f>
        <v/>
      </c>
      <c r="B332" s="24">
        <f>Catalog!D328</f>
        <v/>
      </c>
      <c r="C332" s="24">
        <f>Catalog!F328</f>
        <v/>
      </c>
      <c r="D332" s="31">
        <f>IF(Catalog!D328="","","{""item_id"":"&amp;Catalog!A328&amp;",""title"":"""&amp;SUBSTITUTE(Catalog!D328,"""","\""")&amp;""",""creator"":"""&amp;SUBSTITUTE(Catalog!F328,"""","\""")&amp;""",""language"":"""&amp;Catalog!M328&amp;""",""identifier"":"""&amp;Catalog!C328&amp;"""}")</f>
        <v/>
      </c>
    </row>
    <row r="333">
      <c r="A333" s="23">
        <f>Catalog!A329</f>
        <v/>
      </c>
      <c r="B333" s="24">
        <f>Catalog!D329</f>
        <v/>
      </c>
      <c r="C333" s="24">
        <f>Catalog!F329</f>
        <v/>
      </c>
      <c r="D333" s="31">
        <f>IF(Catalog!D329="","","{""item_id"":"&amp;Catalog!A329&amp;",""title"":"""&amp;SUBSTITUTE(Catalog!D329,"""","\""")&amp;""",""creator"":"""&amp;SUBSTITUTE(Catalog!F329,"""","\""")&amp;""",""language"":"""&amp;Catalog!M329&amp;""",""identifier"":"""&amp;Catalog!C329&amp;"""}")</f>
        <v/>
      </c>
    </row>
    <row r="334">
      <c r="A334" s="23">
        <f>Catalog!A330</f>
        <v/>
      </c>
      <c r="B334" s="24">
        <f>Catalog!D330</f>
        <v/>
      </c>
      <c r="C334" s="24">
        <f>Catalog!F330</f>
        <v/>
      </c>
      <c r="D334" s="31">
        <f>IF(Catalog!D330="","","{""item_id"":"&amp;Catalog!A330&amp;",""title"":"""&amp;SUBSTITUTE(Catalog!D330,"""","\""")&amp;""",""creator"":"""&amp;SUBSTITUTE(Catalog!F330,"""","\""")&amp;""",""language"":"""&amp;Catalog!M330&amp;""",""identifier"":"""&amp;Catalog!C330&amp;"""}")</f>
        <v/>
      </c>
    </row>
    <row r="335">
      <c r="A335" s="23">
        <f>Catalog!A331</f>
        <v/>
      </c>
      <c r="B335" s="24">
        <f>Catalog!D331</f>
        <v/>
      </c>
      <c r="C335" s="24">
        <f>Catalog!F331</f>
        <v/>
      </c>
      <c r="D335" s="31">
        <f>IF(Catalog!D331="","","{""item_id"":"&amp;Catalog!A331&amp;",""title"":"""&amp;SUBSTITUTE(Catalog!D331,"""","\""")&amp;""",""creator"":"""&amp;SUBSTITUTE(Catalog!F331,"""","\""")&amp;""",""language"":"""&amp;Catalog!M331&amp;""",""identifier"":"""&amp;Catalog!C331&amp;"""}")</f>
        <v/>
      </c>
    </row>
    <row r="336">
      <c r="A336" s="23">
        <f>Catalog!A332</f>
        <v/>
      </c>
      <c r="B336" s="24">
        <f>Catalog!D332</f>
        <v/>
      </c>
      <c r="C336" s="24">
        <f>Catalog!F332</f>
        <v/>
      </c>
      <c r="D336" s="31">
        <f>IF(Catalog!D332="","","{""item_id"":"&amp;Catalog!A332&amp;",""title"":"""&amp;SUBSTITUTE(Catalog!D332,"""","\""")&amp;""",""creator"":"""&amp;SUBSTITUTE(Catalog!F332,"""","\""")&amp;""",""language"":"""&amp;Catalog!M332&amp;""",""identifier"":"""&amp;Catalog!C332&amp;"""}")</f>
        <v/>
      </c>
    </row>
    <row r="337">
      <c r="A337" s="23">
        <f>Catalog!A333</f>
        <v/>
      </c>
      <c r="B337" s="24">
        <f>Catalog!D333</f>
        <v/>
      </c>
      <c r="C337" s="24">
        <f>Catalog!F333</f>
        <v/>
      </c>
      <c r="D337" s="31">
        <f>IF(Catalog!D333="","","{""item_id"":"&amp;Catalog!A333&amp;",""title"":"""&amp;SUBSTITUTE(Catalog!D333,"""","\""")&amp;""",""creator"":"""&amp;SUBSTITUTE(Catalog!F333,"""","\""")&amp;""",""language"":"""&amp;Catalog!M333&amp;""",""identifier"":"""&amp;Catalog!C333&amp;"""}")</f>
        <v/>
      </c>
    </row>
    <row r="338">
      <c r="A338" s="23">
        <f>Catalog!A334</f>
        <v/>
      </c>
      <c r="B338" s="24">
        <f>Catalog!D334</f>
        <v/>
      </c>
      <c r="C338" s="24">
        <f>Catalog!F334</f>
        <v/>
      </c>
      <c r="D338" s="31">
        <f>IF(Catalog!D334="","","{""item_id"":"&amp;Catalog!A334&amp;",""title"":"""&amp;SUBSTITUTE(Catalog!D334,"""","\""")&amp;""",""creator"":"""&amp;SUBSTITUTE(Catalog!F334,"""","\""")&amp;""",""language"":"""&amp;Catalog!M334&amp;""",""identifier"":"""&amp;Catalog!C334&amp;"""}")</f>
        <v/>
      </c>
    </row>
    <row r="339">
      <c r="A339" s="23">
        <f>Catalog!A335</f>
        <v/>
      </c>
      <c r="B339" s="24">
        <f>Catalog!D335</f>
        <v/>
      </c>
      <c r="C339" s="24">
        <f>Catalog!F335</f>
        <v/>
      </c>
      <c r="D339" s="31">
        <f>IF(Catalog!D335="","","{""item_id"":"&amp;Catalog!A335&amp;",""title"":"""&amp;SUBSTITUTE(Catalog!D335,"""","\""")&amp;""",""creator"":"""&amp;SUBSTITUTE(Catalog!F335,"""","\""")&amp;""",""language"":"""&amp;Catalog!M335&amp;""",""identifier"":"""&amp;Catalog!C335&amp;"""}")</f>
        <v/>
      </c>
    </row>
    <row r="340">
      <c r="A340" s="23">
        <f>Catalog!A336</f>
        <v/>
      </c>
      <c r="B340" s="24">
        <f>Catalog!D336</f>
        <v/>
      </c>
      <c r="C340" s="24">
        <f>Catalog!F336</f>
        <v/>
      </c>
      <c r="D340" s="31">
        <f>IF(Catalog!D336="","","{""item_id"":"&amp;Catalog!A336&amp;",""title"":"""&amp;SUBSTITUTE(Catalog!D336,"""","\""")&amp;""",""creator"":"""&amp;SUBSTITUTE(Catalog!F336,"""","\""")&amp;""",""language"":"""&amp;Catalog!M336&amp;""",""identifier"":"""&amp;Catalog!C336&amp;"""}")</f>
        <v/>
      </c>
    </row>
    <row r="341">
      <c r="A341" s="23">
        <f>Catalog!A337</f>
        <v/>
      </c>
      <c r="B341" s="24">
        <f>Catalog!D337</f>
        <v/>
      </c>
      <c r="C341" s="24">
        <f>Catalog!F337</f>
        <v/>
      </c>
      <c r="D341" s="31">
        <f>IF(Catalog!D337="","","{""item_id"":"&amp;Catalog!A337&amp;",""title"":"""&amp;SUBSTITUTE(Catalog!D337,"""","\""")&amp;""",""creator"":"""&amp;SUBSTITUTE(Catalog!F337,"""","\""")&amp;""",""language"":"""&amp;Catalog!M337&amp;""",""identifier"":"""&amp;Catalog!C337&amp;"""}")</f>
        <v/>
      </c>
    </row>
    <row r="342">
      <c r="A342" s="23">
        <f>Catalog!A338</f>
        <v/>
      </c>
      <c r="B342" s="24">
        <f>Catalog!D338</f>
        <v/>
      </c>
      <c r="C342" s="24">
        <f>Catalog!F338</f>
        <v/>
      </c>
      <c r="D342" s="31">
        <f>IF(Catalog!D338="","","{""item_id"":"&amp;Catalog!A338&amp;",""title"":"""&amp;SUBSTITUTE(Catalog!D338,"""","\""")&amp;""",""creator"":"""&amp;SUBSTITUTE(Catalog!F338,"""","\""")&amp;""",""language"":"""&amp;Catalog!M338&amp;""",""identifier"":"""&amp;Catalog!C338&amp;"""}")</f>
        <v/>
      </c>
    </row>
    <row r="343">
      <c r="A343" s="23">
        <f>Catalog!A339</f>
        <v/>
      </c>
      <c r="B343" s="24">
        <f>Catalog!D339</f>
        <v/>
      </c>
      <c r="C343" s="24">
        <f>Catalog!F339</f>
        <v/>
      </c>
      <c r="D343" s="31">
        <f>IF(Catalog!D339="","","{""item_id"":"&amp;Catalog!A339&amp;",""title"":"""&amp;SUBSTITUTE(Catalog!D339,"""","\""")&amp;""",""creator"":"""&amp;SUBSTITUTE(Catalog!F339,"""","\""")&amp;""",""language"":"""&amp;Catalog!M339&amp;""",""identifier"":"""&amp;Catalog!C339&amp;"""}")</f>
        <v/>
      </c>
    </row>
    <row r="344">
      <c r="A344" s="23">
        <f>Catalog!A340</f>
        <v/>
      </c>
      <c r="B344" s="24">
        <f>Catalog!D340</f>
        <v/>
      </c>
      <c r="C344" s="24">
        <f>Catalog!F340</f>
        <v/>
      </c>
      <c r="D344" s="31">
        <f>IF(Catalog!D340="","","{""item_id"":"&amp;Catalog!A340&amp;",""title"":"""&amp;SUBSTITUTE(Catalog!D340,"""","\""")&amp;""",""creator"":"""&amp;SUBSTITUTE(Catalog!F340,"""","\""")&amp;""",""language"":"""&amp;Catalog!M340&amp;""",""identifier"":"""&amp;Catalog!C340&amp;"""}")</f>
        <v/>
      </c>
    </row>
    <row r="345">
      <c r="A345" s="23">
        <f>Catalog!A341</f>
        <v/>
      </c>
      <c r="B345" s="24">
        <f>Catalog!D341</f>
        <v/>
      </c>
      <c r="C345" s="24">
        <f>Catalog!F341</f>
        <v/>
      </c>
      <c r="D345" s="31">
        <f>IF(Catalog!D341="","","{""item_id"":"&amp;Catalog!A341&amp;",""title"":"""&amp;SUBSTITUTE(Catalog!D341,"""","\""")&amp;""",""creator"":"""&amp;SUBSTITUTE(Catalog!F341,"""","\""")&amp;""",""language"":"""&amp;Catalog!M341&amp;""",""identifier"":"""&amp;Catalog!C341&amp;"""}")</f>
        <v/>
      </c>
    </row>
    <row r="346">
      <c r="A346" s="23">
        <f>Catalog!A342</f>
        <v/>
      </c>
      <c r="B346" s="24">
        <f>Catalog!D342</f>
        <v/>
      </c>
      <c r="C346" s="24">
        <f>Catalog!F342</f>
        <v/>
      </c>
      <c r="D346" s="31">
        <f>IF(Catalog!D342="","","{""item_id"":"&amp;Catalog!A342&amp;",""title"":"""&amp;SUBSTITUTE(Catalog!D342,"""","\""")&amp;""",""creator"":"""&amp;SUBSTITUTE(Catalog!F342,"""","\""")&amp;""",""language"":"""&amp;Catalog!M342&amp;""",""identifier"":"""&amp;Catalog!C342&amp;"""}")</f>
        <v/>
      </c>
    </row>
    <row r="347">
      <c r="A347" s="23">
        <f>Catalog!A343</f>
        <v/>
      </c>
      <c r="B347" s="24">
        <f>Catalog!D343</f>
        <v/>
      </c>
      <c r="C347" s="24">
        <f>Catalog!F343</f>
        <v/>
      </c>
      <c r="D347" s="31">
        <f>IF(Catalog!D343="","","{""item_id"":"&amp;Catalog!A343&amp;",""title"":"""&amp;SUBSTITUTE(Catalog!D343,"""","\""")&amp;""",""creator"":"""&amp;SUBSTITUTE(Catalog!F343,"""","\""")&amp;""",""language"":"""&amp;Catalog!M343&amp;""",""identifier"":"""&amp;Catalog!C343&amp;"""}")</f>
        <v/>
      </c>
    </row>
    <row r="348">
      <c r="A348" s="23">
        <f>Catalog!A344</f>
        <v/>
      </c>
      <c r="B348" s="24">
        <f>Catalog!D344</f>
        <v/>
      </c>
      <c r="C348" s="24">
        <f>Catalog!F344</f>
        <v/>
      </c>
      <c r="D348" s="31">
        <f>IF(Catalog!D344="","","{""item_id"":"&amp;Catalog!A344&amp;",""title"":"""&amp;SUBSTITUTE(Catalog!D344,"""","\""")&amp;""",""creator"":"""&amp;SUBSTITUTE(Catalog!F344,"""","\""")&amp;""",""language"":"""&amp;Catalog!M344&amp;""",""identifier"":"""&amp;Catalog!C344&amp;"""}")</f>
        <v/>
      </c>
    </row>
    <row r="349">
      <c r="A349" s="23">
        <f>Catalog!A345</f>
        <v/>
      </c>
      <c r="B349" s="24">
        <f>Catalog!D345</f>
        <v/>
      </c>
      <c r="C349" s="24">
        <f>Catalog!F345</f>
        <v/>
      </c>
      <c r="D349" s="31">
        <f>IF(Catalog!D345="","","{""item_id"":"&amp;Catalog!A345&amp;",""title"":"""&amp;SUBSTITUTE(Catalog!D345,"""","\""")&amp;""",""creator"":"""&amp;SUBSTITUTE(Catalog!F345,"""","\""")&amp;""",""language"":"""&amp;Catalog!M345&amp;""",""identifier"":"""&amp;Catalog!C345&amp;"""}")</f>
        <v/>
      </c>
    </row>
    <row r="350">
      <c r="A350" s="23">
        <f>Catalog!A346</f>
        <v/>
      </c>
      <c r="B350" s="24">
        <f>Catalog!D346</f>
        <v/>
      </c>
      <c r="C350" s="24">
        <f>Catalog!F346</f>
        <v/>
      </c>
      <c r="D350" s="31">
        <f>IF(Catalog!D346="","","{""item_id"":"&amp;Catalog!A346&amp;",""title"":"""&amp;SUBSTITUTE(Catalog!D346,"""","\""")&amp;""",""creator"":"""&amp;SUBSTITUTE(Catalog!F346,"""","\""")&amp;""",""language"":"""&amp;Catalog!M346&amp;""",""identifier"":"""&amp;Catalog!C346&amp;"""}")</f>
        <v/>
      </c>
    </row>
    <row r="351">
      <c r="A351" s="23">
        <f>Catalog!A347</f>
        <v/>
      </c>
      <c r="B351" s="24">
        <f>Catalog!D347</f>
        <v/>
      </c>
      <c r="C351" s="24">
        <f>Catalog!F347</f>
        <v/>
      </c>
      <c r="D351" s="31">
        <f>IF(Catalog!D347="","","{""item_id"":"&amp;Catalog!A347&amp;",""title"":"""&amp;SUBSTITUTE(Catalog!D347,"""","\""")&amp;""",""creator"":"""&amp;SUBSTITUTE(Catalog!F347,"""","\""")&amp;""",""language"":"""&amp;Catalog!M347&amp;""",""identifier"":"""&amp;Catalog!C347&amp;"""}")</f>
        <v/>
      </c>
    </row>
    <row r="352">
      <c r="A352" s="23">
        <f>Catalog!A348</f>
        <v/>
      </c>
      <c r="B352" s="24">
        <f>Catalog!D348</f>
        <v/>
      </c>
      <c r="C352" s="24">
        <f>Catalog!F348</f>
        <v/>
      </c>
      <c r="D352" s="31">
        <f>IF(Catalog!D348="","","{""item_id"":"&amp;Catalog!A348&amp;",""title"":"""&amp;SUBSTITUTE(Catalog!D348,"""","\""")&amp;""",""creator"":"""&amp;SUBSTITUTE(Catalog!F348,"""","\""")&amp;""",""language"":"""&amp;Catalog!M348&amp;""",""identifier"":"""&amp;Catalog!C348&amp;"""}")</f>
        <v/>
      </c>
    </row>
    <row r="353">
      <c r="A353" s="23">
        <f>Catalog!A349</f>
        <v/>
      </c>
      <c r="B353" s="24">
        <f>Catalog!D349</f>
        <v/>
      </c>
      <c r="C353" s="24">
        <f>Catalog!F349</f>
        <v/>
      </c>
      <c r="D353" s="31">
        <f>IF(Catalog!D349="","","{""item_id"":"&amp;Catalog!A349&amp;",""title"":"""&amp;SUBSTITUTE(Catalog!D349,"""","\""")&amp;""",""creator"":"""&amp;SUBSTITUTE(Catalog!F349,"""","\""")&amp;""",""language"":"""&amp;Catalog!M349&amp;""",""identifier"":"""&amp;Catalog!C349&amp;"""}")</f>
        <v/>
      </c>
    </row>
    <row r="354">
      <c r="A354" s="23">
        <f>Catalog!A350</f>
        <v/>
      </c>
      <c r="B354" s="24">
        <f>Catalog!D350</f>
        <v/>
      </c>
      <c r="C354" s="24">
        <f>Catalog!F350</f>
        <v/>
      </c>
      <c r="D354" s="31">
        <f>IF(Catalog!D350="","","{""item_id"":"&amp;Catalog!A350&amp;",""title"":"""&amp;SUBSTITUTE(Catalog!D350,"""","\""")&amp;""",""creator"":"""&amp;SUBSTITUTE(Catalog!F350,"""","\""")&amp;""",""language"":"""&amp;Catalog!M350&amp;""",""identifier"":"""&amp;Catalog!C350&amp;"""}")</f>
        <v/>
      </c>
    </row>
    <row r="355">
      <c r="A355" s="23">
        <f>Catalog!A351</f>
        <v/>
      </c>
      <c r="B355" s="24">
        <f>Catalog!D351</f>
        <v/>
      </c>
      <c r="C355" s="24">
        <f>Catalog!F351</f>
        <v/>
      </c>
      <c r="D355" s="31">
        <f>IF(Catalog!D351="","","{""item_id"":"&amp;Catalog!A351&amp;",""title"":"""&amp;SUBSTITUTE(Catalog!D351,"""","\""")&amp;""",""creator"":"""&amp;SUBSTITUTE(Catalog!F351,"""","\""")&amp;""",""language"":"""&amp;Catalog!M351&amp;""",""identifier"":"""&amp;Catalog!C351&amp;"""}")</f>
        <v/>
      </c>
    </row>
    <row r="356">
      <c r="A356" s="23">
        <f>Catalog!A352</f>
        <v/>
      </c>
      <c r="B356" s="24">
        <f>Catalog!D352</f>
        <v/>
      </c>
      <c r="C356" s="24">
        <f>Catalog!F352</f>
        <v/>
      </c>
      <c r="D356" s="31">
        <f>IF(Catalog!D352="","","{""item_id"":"&amp;Catalog!A352&amp;",""title"":"""&amp;SUBSTITUTE(Catalog!D352,"""","\""")&amp;""",""creator"":"""&amp;SUBSTITUTE(Catalog!F352,"""","\""")&amp;""",""language"":"""&amp;Catalog!M352&amp;""",""identifier"":"""&amp;Catalog!C352&amp;"""}")</f>
        <v/>
      </c>
    </row>
    <row r="357">
      <c r="A357" s="23">
        <f>Catalog!A353</f>
        <v/>
      </c>
      <c r="B357" s="24">
        <f>Catalog!D353</f>
        <v/>
      </c>
      <c r="C357" s="24">
        <f>Catalog!F353</f>
        <v/>
      </c>
      <c r="D357" s="31">
        <f>IF(Catalog!D353="","","{""item_id"":"&amp;Catalog!A353&amp;",""title"":"""&amp;SUBSTITUTE(Catalog!D353,"""","\""")&amp;""",""creator"":"""&amp;SUBSTITUTE(Catalog!F353,"""","\""")&amp;""",""language"":"""&amp;Catalog!M353&amp;""",""identifier"":"""&amp;Catalog!C353&amp;"""}")</f>
        <v/>
      </c>
    </row>
    <row r="358">
      <c r="A358" s="23">
        <f>Catalog!A354</f>
        <v/>
      </c>
      <c r="B358" s="24">
        <f>Catalog!D354</f>
        <v/>
      </c>
      <c r="C358" s="24">
        <f>Catalog!F354</f>
        <v/>
      </c>
      <c r="D358" s="31">
        <f>IF(Catalog!D354="","","{""item_id"":"&amp;Catalog!A354&amp;",""title"":"""&amp;SUBSTITUTE(Catalog!D354,"""","\""")&amp;""",""creator"":"""&amp;SUBSTITUTE(Catalog!F354,"""","\""")&amp;""",""language"":"""&amp;Catalog!M354&amp;""",""identifier"":"""&amp;Catalog!C354&amp;"""}")</f>
        <v/>
      </c>
    </row>
    <row r="359">
      <c r="A359" s="23">
        <f>Catalog!A355</f>
        <v/>
      </c>
      <c r="B359" s="24">
        <f>Catalog!D355</f>
        <v/>
      </c>
      <c r="C359" s="24">
        <f>Catalog!F355</f>
        <v/>
      </c>
      <c r="D359" s="31">
        <f>IF(Catalog!D355="","","{""item_id"":"&amp;Catalog!A355&amp;",""title"":"""&amp;SUBSTITUTE(Catalog!D355,"""","\""")&amp;""",""creator"":"""&amp;SUBSTITUTE(Catalog!F355,"""","\""")&amp;""",""language"":"""&amp;Catalog!M355&amp;""",""identifier"":"""&amp;Catalog!C355&amp;"""}")</f>
        <v/>
      </c>
    </row>
    <row r="360">
      <c r="A360" s="23">
        <f>Catalog!A356</f>
        <v/>
      </c>
      <c r="B360" s="24">
        <f>Catalog!D356</f>
        <v/>
      </c>
      <c r="C360" s="24">
        <f>Catalog!F356</f>
        <v/>
      </c>
      <c r="D360" s="31">
        <f>IF(Catalog!D356="","","{""item_id"":"&amp;Catalog!A356&amp;",""title"":"""&amp;SUBSTITUTE(Catalog!D356,"""","\""")&amp;""",""creator"":"""&amp;SUBSTITUTE(Catalog!F356,"""","\""")&amp;""",""language"":"""&amp;Catalog!M356&amp;""",""identifier"":"""&amp;Catalog!C356&amp;"""}")</f>
        <v/>
      </c>
    </row>
    <row r="361">
      <c r="A361" s="23">
        <f>Catalog!A357</f>
        <v/>
      </c>
      <c r="B361" s="24">
        <f>Catalog!D357</f>
        <v/>
      </c>
      <c r="C361" s="24">
        <f>Catalog!F357</f>
        <v/>
      </c>
      <c r="D361" s="31">
        <f>IF(Catalog!D357="","","{""item_id"":"&amp;Catalog!A357&amp;",""title"":"""&amp;SUBSTITUTE(Catalog!D357,"""","\""")&amp;""",""creator"":"""&amp;SUBSTITUTE(Catalog!F357,"""","\""")&amp;""",""language"":"""&amp;Catalog!M357&amp;""",""identifier"":"""&amp;Catalog!C357&amp;"""}")</f>
        <v/>
      </c>
    </row>
    <row r="362">
      <c r="A362" s="23">
        <f>Catalog!A358</f>
        <v/>
      </c>
      <c r="B362" s="24">
        <f>Catalog!D358</f>
        <v/>
      </c>
      <c r="C362" s="24">
        <f>Catalog!F358</f>
        <v/>
      </c>
      <c r="D362" s="31">
        <f>IF(Catalog!D358="","","{""item_id"":"&amp;Catalog!A358&amp;",""title"":"""&amp;SUBSTITUTE(Catalog!D358,"""","\""")&amp;""",""creator"":"""&amp;SUBSTITUTE(Catalog!F358,"""","\""")&amp;""",""language"":"""&amp;Catalog!M358&amp;""",""identifier"":"""&amp;Catalog!C358&amp;"""}")</f>
        <v/>
      </c>
    </row>
    <row r="363">
      <c r="A363" s="23">
        <f>Catalog!A359</f>
        <v/>
      </c>
      <c r="B363" s="24">
        <f>Catalog!D359</f>
        <v/>
      </c>
      <c r="C363" s="24">
        <f>Catalog!F359</f>
        <v/>
      </c>
      <c r="D363" s="31">
        <f>IF(Catalog!D359="","","{""item_id"":"&amp;Catalog!A359&amp;",""title"":"""&amp;SUBSTITUTE(Catalog!D359,"""","\""")&amp;""",""creator"":"""&amp;SUBSTITUTE(Catalog!F359,"""","\""")&amp;""",""language"":"""&amp;Catalog!M359&amp;""",""identifier"":"""&amp;Catalog!C359&amp;"""}")</f>
        <v/>
      </c>
    </row>
    <row r="364">
      <c r="A364" s="23">
        <f>Catalog!A360</f>
        <v/>
      </c>
      <c r="B364" s="24">
        <f>Catalog!D360</f>
        <v/>
      </c>
      <c r="C364" s="24">
        <f>Catalog!F360</f>
        <v/>
      </c>
      <c r="D364" s="31">
        <f>IF(Catalog!D360="","","{""item_id"":"&amp;Catalog!A360&amp;",""title"":"""&amp;SUBSTITUTE(Catalog!D360,"""","\""")&amp;""",""creator"":"""&amp;SUBSTITUTE(Catalog!F360,"""","\""")&amp;""",""language"":"""&amp;Catalog!M360&amp;""",""identifier"":"""&amp;Catalog!C360&amp;"""}")</f>
        <v/>
      </c>
    </row>
    <row r="365">
      <c r="A365" s="23">
        <f>Catalog!A361</f>
        <v/>
      </c>
      <c r="B365" s="24">
        <f>Catalog!D361</f>
        <v/>
      </c>
      <c r="C365" s="24">
        <f>Catalog!F361</f>
        <v/>
      </c>
      <c r="D365" s="31">
        <f>IF(Catalog!D361="","","{""item_id"":"&amp;Catalog!A361&amp;",""title"":"""&amp;SUBSTITUTE(Catalog!D361,"""","\""")&amp;""",""creator"":"""&amp;SUBSTITUTE(Catalog!F361,"""","\""")&amp;""",""language"":"""&amp;Catalog!M361&amp;""",""identifier"":"""&amp;Catalog!C361&amp;"""}")</f>
        <v/>
      </c>
    </row>
    <row r="366">
      <c r="A366" s="23">
        <f>Catalog!A362</f>
        <v/>
      </c>
      <c r="B366" s="24">
        <f>Catalog!D362</f>
        <v/>
      </c>
      <c r="C366" s="24">
        <f>Catalog!F362</f>
        <v/>
      </c>
      <c r="D366" s="31">
        <f>IF(Catalog!D362="","","{""item_id"":"&amp;Catalog!A362&amp;",""title"":"""&amp;SUBSTITUTE(Catalog!D362,"""","\""")&amp;""",""creator"":"""&amp;SUBSTITUTE(Catalog!F362,"""","\""")&amp;""",""language"":"""&amp;Catalog!M362&amp;""",""identifier"":"""&amp;Catalog!C362&amp;"""}")</f>
        <v/>
      </c>
    </row>
    <row r="367">
      <c r="A367" s="23">
        <f>Catalog!A363</f>
        <v/>
      </c>
      <c r="B367" s="24">
        <f>Catalog!D363</f>
        <v/>
      </c>
      <c r="C367" s="24">
        <f>Catalog!F363</f>
        <v/>
      </c>
      <c r="D367" s="31">
        <f>IF(Catalog!D363="","","{""item_id"":"&amp;Catalog!A363&amp;",""title"":"""&amp;SUBSTITUTE(Catalog!D363,"""","\""")&amp;""",""creator"":"""&amp;SUBSTITUTE(Catalog!F363,"""","\""")&amp;""",""language"":"""&amp;Catalog!M363&amp;""",""identifier"":"""&amp;Catalog!C363&amp;"""}")</f>
        <v/>
      </c>
    </row>
    <row r="368">
      <c r="A368" s="23">
        <f>Catalog!A364</f>
        <v/>
      </c>
      <c r="B368" s="24">
        <f>Catalog!D364</f>
        <v/>
      </c>
      <c r="C368" s="24">
        <f>Catalog!F364</f>
        <v/>
      </c>
      <c r="D368" s="31">
        <f>IF(Catalog!D364="","","{""item_id"":"&amp;Catalog!A364&amp;",""title"":"""&amp;SUBSTITUTE(Catalog!D364,"""","\""")&amp;""",""creator"":"""&amp;SUBSTITUTE(Catalog!F364,"""","\""")&amp;""",""language"":"""&amp;Catalog!M364&amp;""",""identifier"":"""&amp;Catalog!C364&amp;"""}")</f>
        <v/>
      </c>
    </row>
    <row r="369">
      <c r="A369" s="23">
        <f>Catalog!A365</f>
        <v/>
      </c>
      <c r="B369" s="24">
        <f>Catalog!D365</f>
        <v/>
      </c>
      <c r="C369" s="24">
        <f>Catalog!F365</f>
        <v/>
      </c>
      <c r="D369" s="31">
        <f>IF(Catalog!D365="","","{""item_id"":"&amp;Catalog!A365&amp;",""title"":"""&amp;SUBSTITUTE(Catalog!D365,"""","\""")&amp;""",""creator"":"""&amp;SUBSTITUTE(Catalog!F365,"""","\""")&amp;""",""language"":"""&amp;Catalog!M365&amp;""",""identifier"":"""&amp;Catalog!C365&amp;"""}")</f>
        <v/>
      </c>
    </row>
    <row r="370">
      <c r="A370" s="23">
        <f>Catalog!A366</f>
        <v/>
      </c>
      <c r="B370" s="24">
        <f>Catalog!D366</f>
        <v/>
      </c>
      <c r="C370" s="24">
        <f>Catalog!F366</f>
        <v/>
      </c>
      <c r="D370" s="31">
        <f>IF(Catalog!D366="","","{""item_id"":"&amp;Catalog!A366&amp;",""title"":"""&amp;SUBSTITUTE(Catalog!D366,"""","\""")&amp;""",""creator"":"""&amp;SUBSTITUTE(Catalog!F366,"""","\""")&amp;""",""language"":"""&amp;Catalog!M366&amp;""",""identifier"":"""&amp;Catalog!C366&amp;"""}")</f>
        <v/>
      </c>
    </row>
    <row r="371">
      <c r="A371" s="23">
        <f>Catalog!A367</f>
        <v/>
      </c>
      <c r="B371" s="24">
        <f>Catalog!D367</f>
        <v/>
      </c>
      <c r="C371" s="24">
        <f>Catalog!F367</f>
        <v/>
      </c>
      <c r="D371" s="31">
        <f>IF(Catalog!D367="","","{""item_id"":"&amp;Catalog!A367&amp;",""title"":"""&amp;SUBSTITUTE(Catalog!D367,"""","\""")&amp;""",""creator"":"""&amp;SUBSTITUTE(Catalog!F367,"""","\""")&amp;""",""language"":"""&amp;Catalog!M367&amp;""",""identifier"":"""&amp;Catalog!C367&amp;"""}")</f>
        <v/>
      </c>
    </row>
    <row r="372">
      <c r="A372" s="23">
        <f>Catalog!A368</f>
        <v/>
      </c>
      <c r="B372" s="24">
        <f>Catalog!D368</f>
        <v/>
      </c>
      <c r="C372" s="24">
        <f>Catalog!F368</f>
        <v/>
      </c>
      <c r="D372" s="31">
        <f>IF(Catalog!D368="","","{""item_id"":"&amp;Catalog!A368&amp;",""title"":"""&amp;SUBSTITUTE(Catalog!D368,"""","\""")&amp;""",""creator"":"""&amp;SUBSTITUTE(Catalog!F368,"""","\""")&amp;""",""language"":"""&amp;Catalog!M368&amp;""",""identifier"":"""&amp;Catalog!C368&amp;"""}")</f>
        <v/>
      </c>
    </row>
    <row r="373">
      <c r="A373" s="23">
        <f>Catalog!A369</f>
        <v/>
      </c>
      <c r="B373" s="24">
        <f>Catalog!D369</f>
        <v/>
      </c>
      <c r="C373" s="24">
        <f>Catalog!F369</f>
        <v/>
      </c>
      <c r="D373" s="31">
        <f>IF(Catalog!D369="","","{""item_id"":"&amp;Catalog!A369&amp;",""title"":"""&amp;SUBSTITUTE(Catalog!D369,"""","\""")&amp;""",""creator"":"""&amp;SUBSTITUTE(Catalog!F369,"""","\""")&amp;""",""language"":"""&amp;Catalog!M369&amp;""",""identifier"":"""&amp;Catalog!C369&amp;"""}")</f>
        <v/>
      </c>
    </row>
    <row r="374">
      <c r="A374" s="23">
        <f>Catalog!A370</f>
        <v/>
      </c>
      <c r="B374" s="24">
        <f>Catalog!D370</f>
        <v/>
      </c>
      <c r="C374" s="24">
        <f>Catalog!F370</f>
        <v/>
      </c>
      <c r="D374" s="31">
        <f>IF(Catalog!D370="","","{""item_id"":"&amp;Catalog!A370&amp;",""title"":"""&amp;SUBSTITUTE(Catalog!D370,"""","\""")&amp;""",""creator"":"""&amp;SUBSTITUTE(Catalog!F370,"""","\""")&amp;""",""language"":"""&amp;Catalog!M370&amp;""",""identifier"":"""&amp;Catalog!C370&amp;"""}")</f>
        <v/>
      </c>
    </row>
    <row r="375">
      <c r="A375" s="23">
        <f>Catalog!A371</f>
        <v/>
      </c>
      <c r="B375" s="24">
        <f>Catalog!D371</f>
        <v/>
      </c>
      <c r="C375" s="24">
        <f>Catalog!F371</f>
        <v/>
      </c>
      <c r="D375" s="31">
        <f>IF(Catalog!D371="","","{""item_id"":"&amp;Catalog!A371&amp;",""title"":"""&amp;SUBSTITUTE(Catalog!D371,"""","\""")&amp;""",""creator"":"""&amp;SUBSTITUTE(Catalog!F371,"""","\""")&amp;""",""language"":"""&amp;Catalog!M371&amp;""",""identifier"":"""&amp;Catalog!C371&amp;"""}")</f>
        <v/>
      </c>
    </row>
    <row r="376">
      <c r="A376" s="23">
        <f>Catalog!A372</f>
        <v/>
      </c>
      <c r="B376" s="24">
        <f>Catalog!D372</f>
        <v/>
      </c>
      <c r="C376" s="24">
        <f>Catalog!F372</f>
        <v/>
      </c>
      <c r="D376" s="31">
        <f>IF(Catalog!D372="","","{""item_id"":"&amp;Catalog!A372&amp;",""title"":"""&amp;SUBSTITUTE(Catalog!D372,"""","\""")&amp;""",""creator"":"""&amp;SUBSTITUTE(Catalog!F372,"""","\""")&amp;""",""language"":"""&amp;Catalog!M372&amp;""",""identifier"":"""&amp;Catalog!C372&amp;"""}")</f>
        <v/>
      </c>
    </row>
    <row r="377">
      <c r="A377" s="23">
        <f>Catalog!A373</f>
        <v/>
      </c>
      <c r="B377" s="24">
        <f>Catalog!D373</f>
        <v/>
      </c>
      <c r="C377" s="24">
        <f>Catalog!F373</f>
        <v/>
      </c>
      <c r="D377" s="31">
        <f>IF(Catalog!D373="","","{""item_id"":"&amp;Catalog!A373&amp;",""title"":"""&amp;SUBSTITUTE(Catalog!D373,"""","\""")&amp;""",""creator"":"""&amp;SUBSTITUTE(Catalog!F373,"""","\""")&amp;""",""language"":"""&amp;Catalog!M373&amp;""",""identifier"":"""&amp;Catalog!C373&amp;"""}")</f>
        <v/>
      </c>
    </row>
    <row r="378">
      <c r="A378" s="23">
        <f>Catalog!A374</f>
        <v/>
      </c>
      <c r="B378" s="24">
        <f>Catalog!D374</f>
        <v/>
      </c>
      <c r="C378" s="24">
        <f>Catalog!F374</f>
        <v/>
      </c>
      <c r="D378" s="31">
        <f>IF(Catalog!D374="","","{""item_id"":"&amp;Catalog!A374&amp;",""title"":"""&amp;SUBSTITUTE(Catalog!D374,"""","\""")&amp;""",""creator"":"""&amp;SUBSTITUTE(Catalog!F374,"""","\""")&amp;""",""language"":"""&amp;Catalog!M374&amp;""",""identifier"":"""&amp;Catalog!C374&amp;"""}")</f>
        <v/>
      </c>
    </row>
    <row r="379">
      <c r="A379" s="23">
        <f>Catalog!A375</f>
        <v/>
      </c>
      <c r="B379" s="24">
        <f>Catalog!D375</f>
        <v/>
      </c>
      <c r="C379" s="24">
        <f>Catalog!F375</f>
        <v/>
      </c>
      <c r="D379" s="31">
        <f>IF(Catalog!D375="","","{""item_id"":"&amp;Catalog!A375&amp;",""title"":"""&amp;SUBSTITUTE(Catalog!D375,"""","\""")&amp;""",""creator"":"""&amp;SUBSTITUTE(Catalog!F375,"""","\""")&amp;""",""language"":"""&amp;Catalog!M375&amp;""",""identifier"":"""&amp;Catalog!C375&amp;"""}")</f>
        <v/>
      </c>
    </row>
    <row r="380">
      <c r="A380" s="23">
        <f>Catalog!A376</f>
        <v/>
      </c>
      <c r="B380" s="24">
        <f>Catalog!D376</f>
        <v/>
      </c>
      <c r="C380" s="24">
        <f>Catalog!F376</f>
        <v/>
      </c>
      <c r="D380" s="31">
        <f>IF(Catalog!D376="","","{""item_id"":"&amp;Catalog!A376&amp;",""title"":"""&amp;SUBSTITUTE(Catalog!D376,"""","\""")&amp;""",""creator"":"""&amp;SUBSTITUTE(Catalog!F376,"""","\""")&amp;""",""language"":"""&amp;Catalog!M376&amp;""",""identifier"":"""&amp;Catalog!C376&amp;"""}")</f>
        <v/>
      </c>
    </row>
    <row r="381">
      <c r="A381" s="23">
        <f>Catalog!A377</f>
        <v/>
      </c>
      <c r="B381" s="24">
        <f>Catalog!D377</f>
        <v/>
      </c>
      <c r="C381" s="24">
        <f>Catalog!F377</f>
        <v/>
      </c>
      <c r="D381" s="31">
        <f>IF(Catalog!D377="","","{""item_id"":"&amp;Catalog!A377&amp;",""title"":"""&amp;SUBSTITUTE(Catalog!D377,"""","\""")&amp;""",""creator"":"""&amp;SUBSTITUTE(Catalog!F377,"""","\""")&amp;""",""language"":"""&amp;Catalog!M377&amp;""",""identifier"":"""&amp;Catalog!C377&amp;"""}")</f>
        <v/>
      </c>
    </row>
    <row r="382">
      <c r="A382" s="23">
        <f>Catalog!A378</f>
        <v/>
      </c>
      <c r="B382" s="24">
        <f>Catalog!D378</f>
        <v/>
      </c>
      <c r="C382" s="24">
        <f>Catalog!F378</f>
        <v/>
      </c>
      <c r="D382" s="31">
        <f>IF(Catalog!D378="","","{""item_id"":"&amp;Catalog!A378&amp;",""title"":"""&amp;SUBSTITUTE(Catalog!D378,"""","\""")&amp;""",""creator"":"""&amp;SUBSTITUTE(Catalog!F378,"""","\""")&amp;""",""language"":"""&amp;Catalog!M378&amp;""",""identifier"":"""&amp;Catalog!C378&amp;"""}")</f>
        <v/>
      </c>
    </row>
    <row r="383">
      <c r="A383" s="23">
        <f>Catalog!A379</f>
        <v/>
      </c>
      <c r="B383" s="24">
        <f>Catalog!D379</f>
        <v/>
      </c>
      <c r="C383" s="24">
        <f>Catalog!F379</f>
        <v/>
      </c>
      <c r="D383" s="31">
        <f>IF(Catalog!D379="","","{""item_id"":"&amp;Catalog!A379&amp;",""title"":"""&amp;SUBSTITUTE(Catalog!D379,"""","\""")&amp;""",""creator"":"""&amp;SUBSTITUTE(Catalog!F379,"""","\""")&amp;""",""language"":"""&amp;Catalog!M379&amp;""",""identifier"":"""&amp;Catalog!C379&amp;"""}")</f>
        <v/>
      </c>
    </row>
    <row r="384">
      <c r="A384" s="23">
        <f>Catalog!A380</f>
        <v/>
      </c>
      <c r="B384" s="24">
        <f>Catalog!D380</f>
        <v/>
      </c>
      <c r="C384" s="24">
        <f>Catalog!F380</f>
        <v/>
      </c>
      <c r="D384" s="31">
        <f>IF(Catalog!D380="","","{""item_id"":"&amp;Catalog!A380&amp;",""title"":"""&amp;SUBSTITUTE(Catalog!D380,"""","\""")&amp;""",""creator"":"""&amp;SUBSTITUTE(Catalog!F380,"""","\""")&amp;""",""language"":"""&amp;Catalog!M380&amp;""",""identifier"":"""&amp;Catalog!C380&amp;"""}")</f>
        <v/>
      </c>
    </row>
    <row r="385">
      <c r="A385" s="23">
        <f>Catalog!A381</f>
        <v/>
      </c>
      <c r="B385" s="24">
        <f>Catalog!D381</f>
        <v/>
      </c>
      <c r="C385" s="24">
        <f>Catalog!F381</f>
        <v/>
      </c>
      <c r="D385" s="31">
        <f>IF(Catalog!D381="","","{""item_id"":"&amp;Catalog!A381&amp;",""title"":"""&amp;SUBSTITUTE(Catalog!D381,"""","\""")&amp;""",""creator"":"""&amp;SUBSTITUTE(Catalog!F381,"""","\""")&amp;""",""language"":"""&amp;Catalog!M381&amp;""",""identifier"":"""&amp;Catalog!C381&amp;"""}")</f>
        <v/>
      </c>
    </row>
    <row r="386">
      <c r="A386" s="23">
        <f>Catalog!A382</f>
        <v/>
      </c>
      <c r="B386" s="24">
        <f>Catalog!D382</f>
        <v/>
      </c>
      <c r="C386" s="24">
        <f>Catalog!F382</f>
        <v/>
      </c>
      <c r="D386" s="31">
        <f>IF(Catalog!D382="","","{""item_id"":"&amp;Catalog!A382&amp;",""title"":"""&amp;SUBSTITUTE(Catalog!D382,"""","\""")&amp;""",""creator"":"""&amp;SUBSTITUTE(Catalog!F382,"""","\""")&amp;""",""language"":"""&amp;Catalog!M382&amp;""",""identifier"":"""&amp;Catalog!C382&amp;"""}")</f>
        <v/>
      </c>
    </row>
    <row r="387">
      <c r="A387" s="23">
        <f>Catalog!A383</f>
        <v/>
      </c>
      <c r="B387" s="24">
        <f>Catalog!D383</f>
        <v/>
      </c>
      <c r="C387" s="24">
        <f>Catalog!F383</f>
        <v/>
      </c>
      <c r="D387" s="31">
        <f>IF(Catalog!D383="","","{""item_id"":"&amp;Catalog!A383&amp;",""title"":"""&amp;SUBSTITUTE(Catalog!D383,"""","\""")&amp;""",""creator"":"""&amp;SUBSTITUTE(Catalog!F383,"""","\""")&amp;""",""language"":"""&amp;Catalog!M383&amp;""",""identifier"":"""&amp;Catalog!C383&amp;"""}")</f>
        <v/>
      </c>
    </row>
    <row r="388">
      <c r="A388" s="23">
        <f>Catalog!A384</f>
        <v/>
      </c>
      <c r="B388" s="24">
        <f>Catalog!D384</f>
        <v/>
      </c>
      <c r="C388" s="24">
        <f>Catalog!F384</f>
        <v/>
      </c>
      <c r="D388" s="31">
        <f>IF(Catalog!D384="","","{""item_id"":"&amp;Catalog!A384&amp;",""title"":"""&amp;SUBSTITUTE(Catalog!D384,"""","\""")&amp;""",""creator"":"""&amp;SUBSTITUTE(Catalog!F384,"""","\""")&amp;""",""language"":"""&amp;Catalog!M384&amp;""",""identifier"":"""&amp;Catalog!C384&amp;"""}")</f>
        <v/>
      </c>
    </row>
    <row r="389">
      <c r="A389" s="23">
        <f>Catalog!A385</f>
        <v/>
      </c>
      <c r="B389" s="24">
        <f>Catalog!D385</f>
        <v/>
      </c>
      <c r="C389" s="24">
        <f>Catalog!F385</f>
        <v/>
      </c>
      <c r="D389" s="31">
        <f>IF(Catalog!D385="","","{""item_id"":"&amp;Catalog!A385&amp;",""title"":"""&amp;SUBSTITUTE(Catalog!D385,"""","\""")&amp;""",""creator"":"""&amp;SUBSTITUTE(Catalog!F385,"""","\""")&amp;""",""language"":"""&amp;Catalog!M385&amp;""",""identifier"":"""&amp;Catalog!C385&amp;"""}")</f>
        <v/>
      </c>
    </row>
    <row r="390">
      <c r="A390" s="23">
        <f>Catalog!A386</f>
        <v/>
      </c>
      <c r="B390" s="24">
        <f>Catalog!D386</f>
        <v/>
      </c>
      <c r="C390" s="24">
        <f>Catalog!F386</f>
        <v/>
      </c>
      <c r="D390" s="31">
        <f>IF(Catalog!D386="","","{""item_id"":"&amp;Catalog!A386&amp;",""title"":"""&amp;SUBSTITUTE(Catalog!D386,"""","\""")&amp;""",""creator"":"""&amp;SUBSTITUTE(Catalog!F386,"""","\""")&amp;""",""language"":"""&amp;Catalog!M386&amp;""",""identifier"":"""&amp;Catalog!C386&amp;"""}")</f>
        <v/>
      </c>
    </row>
    <row r="391">
      <c r="A391" s="23">
        <f>Catalog!A387</f>
        <v/>
      </c>
      <c r="B391" s="24">
        <f>Catalog!D387</f>
        <v/>
      </c>
      <c r="C391" s="24">
        <f>Catalog!F387</f>
        <v/>
      </c>
      <c r="D391" s="31">
        <f>IF(Catalog!D387="","","{""item_id"":"&amp;Catalog!A387&amp;",""title"":"""&amp;SUBSTITUTE(Catalog!D387,"""","\""")&amp;""",""creator"":"""&amp;SUBSTITUTE(Catalog!F387,"""","\""")&amp;""",""language"":"""&amp;Catalog!M387&amp;""",""identifier"":"""&amp;Catalog!C387&amp;"""}")</f>
        <v/>
      </c>
    </row>
    <row r="392">
      <c r="A392" s="23">
        <f>Catalog!A388</f>
        <v/>
      </c>
      <c r="B392" s="24">
        <f>Catalog!D388</f>
        <v/>
      </c>
      <c r="C392" s="24">
        <f>Catalog!F388</f>
        <v/>
      </c>
      <c r="D392" s="31">
        <f>IF(Catalog!D388="","","{""item_id"":"&amp;Catalog!A388&amp;",""title"":"""&amp;SUBSTITUTE(Catalog!D388,"""","\""")&amp;""",""creator"":"""&amp;SUBSTITUTE(Catalog!F388,"""","\""")&amp;""",""language"":"""&amp;Catalog!M388&amp;""",""identifier"":"""&amp;Catalog!C388&amp;"""}")</f>
        <v/>
      </c>
    </row>
    <row r="393">
      <c r="A393" s="23">
        <f>Catalog!A389</f>
        <v/>
      </c>
      <c r="B393" s="24">
        <f>Catalog!D389</f>
        <v/>
      </c>
      <c r="C393" s="24">
        <f>Catalog!F389</f>
        <v/>
      </c>
      <c r="D393" s="31">
        <f>IF(Catalog!D389="","","{""item_id"":"&amp;Catalog!A389&amp;",""title"":"""&amp;SUBSTITUTE(Catalog!D389,"""","\""")&amp;""",""creator"":"""&amp;SUBSTITUTE(Catalog!F389,"""","\""")&amp;""",""language"":"""&amp;Catalog!M389&amp;""",""identifier"":"""&amp;Catalog!C389&amp;"""}")</f>
        <v/>
      </c>
    </row>
    <row r="394">
      <c r="A394" s="23">
        <f>Catalog!A390</f>
        <v/>
      </c>
      <c r="B394" s="24">
        <f>Catalog!D390</f>
        <v/>
      </c>
      <c r="C394" s="24">
        <f>Catalog!F390</f>
        <v/>
      </c>
      <c r="D394" s="31">
        <f>IF(Catalog!D390="","","{""item_id"":"&amp;Catalog!A390&amp;",""title"":"""&amp;SUBSTITUTE(Catalog!D390,"""","\""")&amp;""",""creator"":"""&amp;SUBSTITUTE(Catalog!F390,"""","\""")&amp;""",""language"":"""&amp;Catalog!M390&amp;""",""identifier"":"""&amp;Catalog!C390&amp;"""}")</f>
        <v/>
      </c>
    </row>
    <row r="395">
      <c r="A395" s="23">
        <f>Catalog!A391</f>
        <v/>
      </c>
      <c r="B395" s="24">
        <f>Catalog!D391</f>
        <v/>
      </c>
      <c r="C395" s="24">
        <f>Catalog!F391</f>
        <v/>
      </c>
      <c r="D395" s="31">
        <f>IF(Catalog!D391="","","{""item_id"":"&amp;Catalog!A391&amp;",""title"":"""&amp;SUBSTITUTE(Catalog!D391,"""","\""")&amp;""",""creator"":"""&amp;SUBSTITUTE(Catalog!F391,"""","\""")&amp;""",""language"":"""&amp;Catalog!M391&amp;""",""identifier"":"""&amp;Catalog!C391&amp;"""}")</f>
        <v/>
      </c>
    </row>
    <row r="396">
      <c r="A396" s="23">
        <f>Catalog!A392</f>
        <v/>
      </c>
      <c r="B396" s="24">
        <f>Catalog!D392</f>
        <v/>
      </c>
      <c r="C396" s="24">
        <f>Catalog!F392</f>
        <v/>
      </c>
      <c r="D396" s="31">
        <f>IF(Catalog!D392="","","{""item_id"":"&amp;Catalog!A392&amp;",""title"":"""&amp;SUBSTITUTE(Catalog!D392,"""","\""")&amp;""",""creator"":"""&amp;SUBSTITUTE(Catalog!F392,"""","\""")&amp;""",""language"":"""&amp;Catalog!M392&amp;""",""identifier"":"""&amp;Catalog!C392&amp;"""}")</f>
        <v/>
      </c>
    </row>
    <row r="397">
      <c r="A397" s="23">
        <f>Catalog!A393</f>
        <v/>
      </c>
      <c r="B397" s="24">
        <f>Catalog!D393</f>
        <v/>
      </c>
      <c r="C397" s="24">
        <f>Catalog!F393</f>
        <v/>
      </c>
      <c r="D397" s="31">
        <f>IF(Catalog!D393="","","{""item_id"":"&amp;Catalog!A393&amp;",""title"":"""&amp;SUBSTITUTE(Catalog!D393,"""","\""")&amp;""",""creator"":"""&amp;SUBSTITUTE(Catalog!F393,"""","\""")&amp;""",""language"":"""&amp;Catalog!M393&amp;""",""identifier"":"""&amp;Catalog!C393&amp;"""}")</f>
        <v/>
      </c>
    </row>
    <row r="398">
      <c r="A398" s="23">
        <f>Catalog!A394</f>
        <v/>
      </c>
      <c r="B398" s="24">
        <f>Catalog!D394</f>
        <v/>
      </c>
      <c r="C398" s="24">
        <f>Catalog!F394</f>
        <v/>
      </c>
      <c r="D398" s="31">
        <f>IF(Catalog!D394="","","{""item_id"":"&amp;Catalog!A394&amp;",""title"":"""&amp;SUBSTITUTE(Catalog!D394,"""","\""")&amp;""",""creator"":"""&amp;SUBSTITUTE(Catalog!F394,"""","\""")&amp;""",""language"":"""&amp;Catalog!M394&amp;""",""identifier"":"""&amp;Catalog!C394&amp;"""}")</f>
        <v/>
      </c>
    </row>
    <row r="399">
      <c r="A399" s="23">
        <f>Catalog!A395</f>
        <v/>
      </c>
      <c r="B399" s="24">
        <f>Catalog!D395</f>
        <v/>
      </c>
      <c r="C399" s="24">
        <f>Catalog!F395</f>
        <v/>
      </c>
      <c r="D399" s="31">
        <f>IF(Catalog!D395="","","{""item_id"":"&amp;Catalog!A395&amp;",""title"":"""&amp;SUBSTITUTE(Catalog!D395,"""","\""")&amp;""",""creator"":"""&amp;SUBSTITUTE(Catalog!F395,"""","\""")&amp;""",""language"":"""&amp;Catalog!M395&amp;""",""identifier"":"""&amp;Catalog!C395&amp;"""}")</f>
        <v/>
      </c>
    </row>
    <row r="400">
      <c r="A400" s="23">
        <f>Catalog!A396</f>
        <v/>
      </c>
      <c r="B400" s="24">
        <f>Catalog!D396</f>
        <v/>
      </c>
      <c r="C400" s="24">
        <f>Catalog!F396</f>
        <v/>
      </c>
      <c r="D400" s="31">
        <f>IF(Catalog!D396="","","{""item_id"":"&amp;Catalog!A396&amp;",""title"":"""&amp;SUBSTITUTE(Catalog!D396,"""","\""")&amp;""",""creator"":"""&amp;SUBSTITUTE(Catalog!F396,"""","\""")&amp;""",""language"":"""&amp;Catalog!M396&amp;""",""identifier"":"""&amp;Catalog!C396&amp;"""}")</f>
        <v/>
      </c>
    </row>
    <row r="401">
      <c r="A401" s="23">
        <f>Catalog!A397</f>
        <v/>
      </c>
      <c r="B401" s="24">
        <f>Catalog!D397</f>
        <v/>
      </c>
      <c r="C401" s="24">
        <f>Catalog!F397</f>
        <v/>
      </c>
      <c r="D401" s="31">
        <f>IF(Catalog!D397="","","{""item_id"":"&amp;Catalog!A397&amp;",""title"":"""&amp;SUBSTITUTE(Catalog!D397,"""","\""")&amp;""",""creator"":"""&amp;SUBSTITUTE(Catalog!F397,"""","\""")&amp;""",""language"":"""&amp;Catalog!M397&amp;""",""identifier"":"""&amp;Catalog!C397&amp;"""}")</f>
        <v/>
      </c>
    </row>
    <row r="402">
      <c r="A402" s="23">
        <f>Catalog!A398</f>
        <v/>
      </c>
      <c r="B402" s="24">
        <f>Catalog!D398</f>
        <v/>
      </c>
      <c r="C402" s="24">
        <f>Catalog!F398</f>
        <v/>
      </c>
      <c r="D402" s="31">
        <f>IF(Catalog!D398="","","{""item_id"":"&amp;Catalog!A398&amp;",""title"":"""&amp;SUBSTITUTE(Catalog!D398,"""","\""")&amp;""",""creator"":"""&amp;SUBSTITUTE(Catalog!F398,"""","\""")&amp;""",""language"":"""&amp;Catalog!M398&amp;""",""identifier"":"""&amp;Catalog!C398&amp;"""}")</f>
        <v/>
      </c>
    </row>
    <row r="403">
      <c r="A403" s="23">
        <f>Catalog!A399</f>
        <v/>
      </c>
      <c r="B403" s="24">
        <f>Catalog!D399</f>
        <v/>
      </c>
      <c r="C403" s="24">
        <f>Catalog!F399</f>
        <v/>
      </c>
      <c r="D403" s="31">
        <f>IF(Catalog!D399="","","{""item_id"":"&amp;Catalog!A399&amp;",""title"":"""&amp;SUBSTITUTE(Catalog!D399,"""","\""")&amp;""",""creator"":"""&amp;SUBSTITUTE(Catalog!F399,"""","\""")&amp;""",""language"":"""&amp;Catalog!M399&amp;""",""identifier"":"""&amp;Catalog!C399&amp;"""}")</f>
        <v/>
      </c>
    </row>
    <row r="404">
      <c r="A404" s="23">
        <f>Catalog!A400</f>
        <v/>
      </c>
      <c r="B404" s="24">
        <f>Catalog!D400</f>
        <v/>
      </c>
      <c r="C404" s="24">
        <f>Catalog!F400</f>
        <v/>
      </c>
      <c r="D404" s="31">
        <f>IF(Catalog!D400="","","{""item_id"":"&amp;Catalog!A400&amp;",""title"":"""&amp;SUBSTITUTE(Catalog!D400,"""","\""")&amp;""",""creator"":"""&amp;SUBSTITUTE(Catalog!F400,"""","\""")&amp;""",""language"":"""&amp;Catalog!M400&amp;""",""identifier"":"""&amp;Catalog!C400&amp;"""}")</f>
        <v/>
      </c>
    </row>
    <row r="405">
      <c r="A405" s="23">
        <f>Catalog!A401</f>
        <v/>
      </c>
      <c r="B405" s="24">
        <f>Catalog!D401</f>
        <v/>
      </c>
      <c r="C405" s="24">
        <f>Catalog!F401</f>
        <v/>
      </c>
      <c r="D405" s="31">
        <f>IF(Catalog!D401="","","{""item_id"":"&amp;Catalog!A401&amp;",""title"":"""&amp;SUBSTITUTE(Catalog!D401,"""","\""")&amp;""",""creator"":"""&amp;SUBSTITUTE(Catalog!F401,"""","\""")&amp;""",""language"":"""&amp;Catalog!M401&amp;""",""identifier"":"""&amp;Catalog!C401&amp;"""}")</f>
        <v/>
      </c>
    </row>
    <row r="406">
      <c r="A406" s="23">
        <f>Catalog!A402</f>
        <v/>
      </c>
      <c r="B406" s="24">
        <f>Catalog!D402</f>
        <v/>
      </c>
      <c r="C406" s="24">
        <f>Catalog!F402</f>
        <v/>
      </c>
      <c r="D406" s="31">
        <f>IF(Catalog!D402="","","{""item_id"":"&amp;Catalog!A402&amp;",""title"":"""&amp;SUBSTITUTE(Catalog!D402,"""","\""")&amp;""",""creator"":"""&amp;SUBSTITUTE(Catalog!F402,"""","\""")&amp;""",""language"":"""&amp;Catalog!M402&amp;""",""identifier"":"""&amp;Catalog!C402&amp;"""}")</f>
        <v/>
      </c>
    </row>
    <row r="407">
      <c r="A407" s="23">
        <f>Catalog!A403</f>
        <v/>
      </c>
      <c r="B407" s="24">
        <f>Catalog!D403</f>
        <v/>
      </c>
      <c r="C407" s="24">
        <f>Catalog!F403</f>
        <v/>
      </c>
      <c r="D407" s="31">
        <f>IF(Catalog!D403="","","{""item_id"":"&amp;Catalog!A403&amp;",""title"":"""&amp;SUBSTITUTE(Catalog!D403,"""","\""")&amp;""",""creator"":"""&amp;SUBSTITUTE(Catalog!F403,"""","\""")&amp;""",""language"":"""&amp;Catalog!M403&amp;""",""identifier"":"""&amp;Catalog!C403&amp;"""}")</f>
        <v/>
      </c>
    </row>
    <row r="408">
      <c r="A408" s="23">
        <f>Catalog!A404</f>
        <v/>
      </c>
      <c r="B408" s="24">
        <f>Catalog!D404</f>
        <v/>
      </c>
      <c r="C408" s="24">
        <f>Catalog!F404</f>
        <v/>
      </c>
      <c r="D408" s="31">
        <f>IF(Catalog!D404="","","{""item_id"":"&amp;Catalog!A404&amp;",""title"":"""&amp;SUBSTITUTE(Catalog!D404,"""","\""")&amp;""",""creator"":"""&amp;SUBSTITUTE(Catalog!F404,"""","\""")&amp;""",""language"":"""&amp;Catalog!M404&amp;""",""identifier"":"""&amp;Catalog!C404&amp;"""}")</f>
        <v/>
      </c>
    </row>
    <row r="409">
      <c r="A409" s="23">
        <f>Catalog!A405</f>
        <v/>
      </c>
      <c r="B409" s="24">
        <f>Catalog!D405</f>
        <v/>
      </c>
      <c r="C409" s="24">
        <f>Catalog!F405</f>
        <v/>
      </c>
      <c r="D409" s="31">
        <f>IF(Catalog!D405="","","{""item_id"":"&amp;Catalog!A405&amp;",""title"":"""&amp;SUBSTITUTE(Catalog!D405,"""","\""")&amp;""",""creator"":"""&amp;SUBSTITUTE(Catalog!F405,"""","\""")&amp;""",""language"":"""&amp;Catalog!M405&amp;""",""identifier"":"""&amp;Catalog!C405&amp;"""}")</f>
        <v/>
      </c>
    </row>
    <row r="410">
      <c r="A410" s="23">
        <f>Catalog!A406</f>
        <v/>
      </c>
      <c r="B410" s="24">
        <f>Catalog!D406</f>
        <v/>
      </c>
      <c r="C410" s="24">
        <f>Catalog!F406</f>
        <v/>
      </c>
      <c r="D410" s="31">
        <f>IF(Catalog!D406="","","{""item_id"":"&amp;Catalog!A406&amp;",""title"":"""&amp;SUBSTITUTE(Catalog!D406,"""","\""")&amp;""",""creator"":"""&amp;SUBSTITUTE(Catalog!F406,"""","\""")&amp;""",""language"":"""&amp;Catalog!M406&amp;""",""identifier"":"""&amp;Catalog!C406&amp;"""}")</f>
        <v/>
      </c>
    </row>
    <row r="411">
      <c r="A411" s="23">
        <f>Catalog!A407</f>
        <v/>
      </c>
      <c r="B411" s="24">
        <f>Catalog!D407</f>
        <v/>
      </c>
      <c r="C411" s="24">
        <f>Catalog!F407</f>
        <v/>
      </c>
      <c r="D411" s="31">
        <f>IF(Catalog!D407="","","{""item_id"":"&amp;Catalog!A407&amp;",""title"":"""&amp;SUBSTITUTE(Catalog!D407,"""","\""")&amp;""",""creator"":"""&amp;SUBSTITUTE(Catalog!F407,"""","\""")&amp;""",""language"":"""&amp;Catalog!M407&amp;""",""identifier"":"""&amp;Catalog!C407&amp;"""}")</f>
        <v/>
      </c>
    </row>
    <row r="412">
      <c r="A412" s="23">
        <f>Catalog!A408</f>
        <v/>
      </c>
      <c r="B412" s="24">
        <f>Catalog!D408</f>
        <v/>
      </c>
      <c r="C412" s="24">
        <f>Catalog!F408</f>
        <v/>
      </c>
      <c r="D412" s="31">
        <f>IF(Catalog!D408="","","{""item_id"":"&amp;Catalog!A408&amp;",""title"":"""&amp;SUBSTITUTE(Catalog!D408,"""","\""")&amp;""",""creator"":"""&amp;SUBSTITUTE(Catalog!F408,"""","\""")&amp;""",""language"":"""&amp;Catalog!M408&amp;""",""identifier"":"""&amp;Catalog!C408&amp;"""}")</f>
        <v/>
      </c>
    </row>
    <row r="413">
      <c r="A413" s="23">
        <f>Catalog!A409</f>
        <v/>
      </c>
      <c r="B413" s="24">
        <f>Catalog!D409</f>
        <v/>
      </c>
      <c r="C413" s="24">
        <f>Catalog!F409</f>
        <v/>
      </c>
      <c r="D413" s="31">
        <f>IF(Catalog!D409="","","{""item_id"":"&amp;Catalog!A409&amp;",""title"":"""&amp;SUBSTITUTE(Catalog!D409,"""","\""")&amp;""",""creator"":"""&amp;SUBSTITUTE(Catalog!F409,"""","\""")&amp;""",""language"":"""&amp;Catalog!M409&amp;""",""identifier"":"""&amp;Catalog!C409&amp;"""}")</f>
        <v/>
      </c>
    </row>
    <row r="414">
      <c r="A414" s="23">
        <f>Catalog!A410</f>
        <v/>
      </c>
      <c r="B414" s="24">
        <f>Catalog!D410</f>
        <v/>
      </c>
      <c r="C414" s="24">
        <f>Catalog!F410</f>
        <v/>
      </c>
      <c r="D414" s="31">
        <f>IF(Catalog!D410="","","{""item_id"":"&amp;Catalog!A410&amp;",""title"":"""&amp;SUBSTITUTE(Catalog!D410,"""","\""")&amp;""",""creator"":"""&amp;SUBSTITUTE(Catalog!F410,"""","\""")&amp;""",""language"":"""&amp;Catalog!M410&amp;""",""identifier"":"""&amp;Catalog!C410&amp;"""}")</f>
        <v/>
      </c>
    </row>
    <row r="415">
      <c r="A415" s="23">
        <f>Catalog!A411</f>
        <v/>
      </c>
      <c r="B415" s="24">
        <f>Catalog!D411</f>
        <v/>
      </c>
      <c r="C415" s="24">
        <f>Catalog!F411</f>
        <v/>
      </c>
      <c r="D415" s="31">
        <f>IF(Catalog!D411="","","{""item_id"":"&amp;Catalog!A411&amp;",""title"":"""&amp;SUBSTITUTE(Catalog!D411,"""","\""")&amp;""",""creator"":"""&amp;SUBSTITUTE(Catalog!F411,"""","\""")&amp;""",""language"":"""&amp;Catalog!M411&amp;""",""identifier"":"""&amp;Catalog!C411&amp;"""}")</f>
        <v/>
      </c>
    </row>
    <row r="416">
      <c r="A416" s="23">
        <f>Catalog!A412</f>
        <v/>
      </c>
      <c r="B416" s="24">
        <f>Catalog!D412</f>
        <v/>
      </c>
      <c r="C416" s="24">
        <f>Catalog!F412</f>
        <v/>
      </c>
      <c r="D416" s="31">
        <f>IF(Catalog!D412="","","{""item_id"":"&amp;Catalog!A412&amp;",""title"":"""&amp;SUBSTITUTE(Catalog!D412,"""","\""")&amp;""",""creator"":"""&amp;SUBSTITUTE(Catalog!F412,"""","\""")&amp;""",""language"":"""&amp;Catalog!M412&amp;""",""identifier"":"""&amp;Catalog!C412&amp;"""}")</f>
        <v/>
      </c>
    </row>
    <row r="417">
      <c r="A417" s="23">
        <f>Catalog!A413</f>
        <v/>
      </c>
      <c r="B417" s="24">
        <f>Catalog!D413</f>
        <v/>
      </c>
      <c r="C417" s="24">
        <f>Catalog!F413</f>
        <v/>
      </c>
      <c r="D417" s="31">
        <f>IF(Catalog!D413="","","{""item_id"":"&amp;Catalog!A413&amp;",""title"":"""&amp;SUBSTITUTE(Catalog!D413,"""","\""")&amp;""",""creator"":"""&amp;SUBSTITUTE(Catalog!F413,"""","\""")&amp;""",""language"":"""&amp;Catalog!M413&amp;""",""identifier"":"""&amp;Catalog!C413&amp;"""}")</f>
        <v/>
      </c>
    </row>
    <row r="418">
      <c r="A418" s="23">
        <f>Catalog!A414</f>
        <v/>
      </c>
      <c r="B418" s="24">
        <f>Catalog!D414</f>
        <v/>
      </c>
      <c r="C418" s="24">
        <f>Catalog!F414</f>
        <v/>
      </c>
      <c r="D418" s="31">
        <f>IF(Catalog!D414="","","{""item_id"":"&amp;Catalog!A414&amp;",""title"":"""&amp;SUBSTITUTE(Catalog!D414,"""","\""")&amp;""",""creator"":"""&amp;SUBSTITUTE(Catalog!F414,"""","\""")&amp;""",""language"":"""&amp;Catalog!M414&amp;""",""identifier"":"""&amp;Catalog!C414&amp;"""}")</f>
        <v/>
      </c>
    </row>
    <row r="419">
      <c r="A419" s="23">
        <f>Catalog!A415</f>
        <v/>
      </c>
      <c r="B419" s="24">
        <f>Catalog!D415</f>
        <v/>
      </c>
      <c r="C419" s="24">
        <f>Catalog!F415</f>
        <v/>
      </c>
      <c r="D419" s="31">
        <f>IF(Catalog!D415="","","{""item_id"":"&amp;Catalog!A415&amp;",""title"":"""&amp;SUBSTITUTE(Catalog!D415,"""","\""")&amp;""",""creator"":"""&amp;SUBSTITUTE(Catalog!F415,"""","\""")&amp;""",""language"":"""&amp;Catalog!M415&amp;""",""identifier"":"""&amp;Catalog!C415&amp;"""}")</f>
        <v/>
      </c>
    </row>
    <row r="420">
      <c r="A420" s="23">
        <f>Catalog!A416</f>
        <v/>
      </c>
      <c r="B420" s="24">
        <f>Catalog!D416</f>
        <v/>
      </c>
      <c r="C420" s="24">
        <f>Catalog!F416</f>
        <v/>
      </c>
      <c r="D420" s="31">
        <f>IF(Catalog!D416="","","{""item_id"":"&amp;Catalog!A416&amp;",""title"":"""&amp;SUBSTITUTE(Catalog!D416,"""","\""")&amp;""",""creator"":"""&amp;SUBSTITUTE(Catalog!F416,"""","\""")&amp;""",""language"":"""&amp;Catalog!M416&amp;""",""identifier"":"""&amp;Catalog!C416&amp;"""}")</f>
        <v/>
      </c>
    </row>
    <row r="421">
      <c r="A421" s="23">
        <f>Catalog!A417</f>
        <v/>
      </c>
      <c r="B421" s="24">
        <f>Catalog!D417</f>
        <v/>
      </c>
      <c r="C421" s="24">
        <f>Catalog!F417</f>
        <v/>
      </c>
      <c r="D421" s="31">
        <f>IF(Catalog!D417="","","{""item_id"":"&amp;Catalog!A417&amp;",""title"":"""&amp;SUBSTITUTE(Catalog!D417,"""","\""")&amp;""",""creator"":"""&amp;SUBSTITUTE(Catalog!F417,"""","\""")&amp;""",""language"":"""&amp;Catalog!M417&amp;""",""identifier"":"""&amp;Catalog!C417&amp;"""}")</f>
        <v/>
      </c>
    </row>
    <row r="422">
      <c r="A422" s="23">
        <f>Catalog!A418</f>
        <v/>
      </c>
      <c r="B422" s="24">
        <f>Catalog!D418</f>
        <v/>
      </c>
      <c r="C422" s="24">
        <f>Catalog!F418</f>
        <v/>
      </c>
      <c r="D422" s="31">
        <f>IF(Catalog!D418="","","{""item_id"":"&amp;Catalog!A418&amp;",""title"":"""&amp;SUBSTITUTE(Catalog!D418,"""","\""")&amp;""",""creator"":"""&amp;SUBSTITUTE(Catalog!F418,"""","\""")&amp;""",""language"":"""&amp;Catalog!M418&amp;""",""identifier"":"""&amp;Catalog!C418&amp;"""}")</f>
        <v/>
      </c>
    </row>
    <row r="423">
      <c r="A423" s="23">
        <f>Catalog!A419</f>
        <v/>
      </c>
      <c r="B423" s="24">
        <f>Catalog!D419</f>
        <v/>
      </c>
      <c r="C423" s="24">
        <f>Catalog!F419</f>
        <v/>
      </c>
      <c r="D423" s="31">
        <f>IF(Catalog!D419="","","{""item_id"":"&amp;Catalog!A419&amp;",""title"":"""&amp;SUBSTITUTE(Catalog!D419,"""","\""")&amp;""",""creator"":"""&amp;SUBSTITUTE(Catalog!F419,"""","\""")&amp;""",""language"":"""&amp;Catalog!M419&amp;""",""identifier"":"""&amp;Catalog!C419&amp;"""}")</f>
        <v/>
      </c>
    </row>
    <row r="424">
      <c r="A424" s="23">
        <f>Catalog!A420</f>
        <v/>
      </c>
      <c r="B424" s="24">
        <f>Catalog!D420</f>
        <v/>
      </c>
      <c r="C424" s="24">
        <f>Catalog!F420</f>
        <v/>
      </c>
      <c r="D424" s="31">
        <f>IF(Catalog!D420="","","{""item_id"":"&amp;Catalog!A420&amp;",""title"":"""&amp;SUBSTITUTE(Catalog!D420,"""","\""")&amp;""",""creator"":"""&amp;SUBSTITUTE(Catalog!F420,"""","\""")&amp;""",""language"":"""&amp;Catalog!M420&amp;""",""identifier"":"""&amp;Catalog!C420&amp;"""}")</f>
        <v/>
      </c>
    </row>
    <row r="425">
      <c r="A425" s="23">
        <f>Catalog!A421</f>
        <v/>
      </c>
      <c r="B425" s="24">
        <f>Catalog!D421</f>
        <v/>
      </c>
      <c r="C425" s="24">
        <f>Catalog!F421</f>
        <v/>
      </c>
      <c r="D425" s="31">
        <f>IF(Catalog!D421="","","{""item_id"":"&amp;Catalog!A421&amp;",""title"":"""&amp;SUBSTITUTE(Catalog!D421,"""","\""")&amp;""",""creator"":"""&amp;SUBSTITUTE(Catalog!F421,"""","\""")&amp;""",""language"":"""&amp;Catalog!M421&amp;""",""identifier"":"""&amp;Catalog!C421&amp;"""}")</f>
        <v/>
      </c>
    </row>
    <row r="426">
      <c r="A426" s="23">
        <f>Catalog!A422</f>
        <v/>
      </c>
      <c r="B426" s="24">
        <f>Catalog!D422</f>
        <v/>
      </c>
      <c r="C426" s="24">
        <f>Catalog!F422</f>
        <v/>
      </c>
      <c r="D426" s="31">
        <f>IF(Catalog!D422="","","{""item_id"":"&amp;Catalog!A422&amp;",""title"":"""&amp;SUBSTITUTE(Catalog!D422,"""","\""")&amp;""",""creator"":"""&amp;SUBSTITUTE(Catalog!F422,"""","\""")&amp;""",""language"":"""&amp;Catalog!M422&amp;""",""identifier"":"""&amp;Catalog!C422&amp;"""}")</f>
        <v/>
      </c>
    </row>
    <row r="427">
      <c r="A427" s="23">
        <f>Catalog!A423</f>
        <v/>
      </c>
      <c r="B427" s="24">
        <f>Catalog!D423</f>
        <v/>
      </c>
      <c r="C427" s="24">
        <f>Catalog!F423</f>
        <v/>
      </c>
      <c r="D427" s="31">
        <f>IF(Catalog!D423="","","{""item_id"":"&amp;Catalog!A423&amp;",""title"":"""&amp;SUBSTITUTE(Catalog!D423,"""","\""")&amp;""",""creator"":"""&amp;SUBSTITUTE(Catalog!F423,"""","\""")&amp;""",""language"":"""&amp;Catalog!M423&amp;""",""identifier"":"""&amp;Catalog!C423&amp;"""}")</f>
        <v/>
      </c>
    </row>
    <row r="428">
      <c r="A428" s="23">
        <f>Catalog!A424</f>
        <v/>
      </c>
      <c r="B428" s="24">
        <f>Catalog!D424</f>
        <v/>
      </c>
      <c r="C428" s="24">
        <f>Catalog!F424</f>
        <v/>
      </c>
      <c r="D428" s="31">
        <f>IF(Catalog!D424="","","{""item_id"":"&amp;Catalog!A424&amp;",""title"":"""&amp;SUBSTITUTE(Catalog!D424,"""","\""")&amp;""",""creator"":"""&amp;SUBSTITUTE(Catalog!F424,"""","\""")&amp;""",""language"":"""&amp;Catalog!M424&amp;""",""identifier"":"""&amp;Catalog!C424&amp;"""}")</f>
        <v/>
      </c>
    </row>
    <row r="429">
      <c r="A429" s="23">
        <f>Catalog!A425</f>
        <v/>
      </c>
      <c r="B429" s="24">
        <f>Catalog!D425</f>
        <v/>
      </c>
      <c r="C429" s="24">
        <f>Catalog!F425</f>
        <v/>
      </c>
      <c r="D429" s="31">
        <f>IF(Catalog!D425="","","{""item_id"":"&amp;Catalog!A425&amp;",""title"":"""&amp;SUBSTITUTE(Catalog!D425,"""","\""")&amp;""",""creator"":"""&amp;SUBSTITUTE(Catalog!F425,"""","\""")&amp;""",""language"":"""&amp;Catalog!M425&amp;""",""identifier"":"""&amp;Catalog!C425&amp;"""}")</f>
        <v/>
      </c>
    </row>
    <row r="430">
      <c r="A430" s="23">
        <f>Catalog!A426</f>
        <v/>
      </c>
      <c r="B430" s="24">
        <f>Catalog!D426</f>
        <v/>
      </c>
      <c r="C430" s="24">
        <f>Catalog!F426</f>
        <v/>
      </c>
      <c r="D430" s="31">
        <f>IF(Catalog!D426="","","{""item_id"":"&amp;Catalog!A426&amp;",""title"":"""&amp;SUBSTITUTE(Catalog!D426,"""","\""")&amp;""",""creator"":"""&amp;SUBSTITUTE(Catalog!F426,"""","\""")&amp;""",""language"":"""&amp;Catalog!M426&amp;""",""identifier"":"""&amp;Catalog!C426&amp;"""}")</f>
        <v/>
      </c>
    </row>
    <row r="431">
      <c r="A431" s="23">
        <f>Catalog!A427</f>
        <v/>
      </c>
      <c r="B431" s="24">
        <f>Catalog!D427</f>
        <v/>
      </c>
      <c r="C431" s="24">
        <f>Catalog!F427</f>
        <v/>
      </c>
      <c r="D431" s="31">
        <f>IF(Catalog!D427="","","{""item_id"":"&amp;Catalog!A427&amp;",""title"":"""&amp;SUBSTITUTE(Catalog!D427,"""","\""")&amp;""",""creator"":"""&amp;SUBSTITUTE(Catalog!F427,"""","\""")&amp;""",""language"":"""&amp;Catalog!M427&amp;""",""identifier"":"""&amp;Catalog!C427&amp;"""}")</f>
        <v/>
      </c>
    </row>
    <row r="432">
      <c r="A432" s="23">
        <f>Catalog!A428</f>
        <v/>
      </c>
      <c r="B432" s="24">
        <f>Catalog!D428</f>
        <v/>
      </c>
      <c r="C432" s="24">
        <f>Catalog!F428</f>
        <v/>
      </c>
      <c r="D432" s="31">
        <f>IF(Catalog!D428="","","{""item_id"":"&amp;Catalog!A428&amp;",""title"":"""&amp;SUBSTITUTE(Catalog!D428,"""","\""")&amp;""",""creator"":"""&amp;SUBSTITUTE(Catalog!F428,"""","\""")&amp;""",""language"":"""&amp;Catalog!M428&amp;""",""identifier"":"""&amp;Catalog!C428&amp;"""}")</f>
        <v/>
      </c>
    </row>
    <row r="433">
      <c r="A433" s="23">
        <f>Catalog!A429</f>
        <v/>
      </c>
      <c r="B433" s="24">
        <f>Catalog!D429</f>
        <v/>
      </c>
      <c r="C433" s="24">
        <f>Catalog!F429</f>
        <v/>
      </c>
      <c r="D433" s="31">
        <f>IF(Catalog!D429="","","{""item_id"":"&amp;Catalog!A429&amp;",""title"":"""&amp;SUBSTITUTE(Catalog!D429,"""","\""")&amp;""",""creator"":"""&amp;SUBSTITUTE(Catalog!F429,"""","\""")&amp;""",""language"":"""&amp;Catalog!M429&amp;""",""identifier"":"""&amp;Catalog!C429&amp;"""}")</f>
        <v/>
      </c>
    </row>
    <row r="434">
      <c r="A434" s="23">
        <f>Catalog!A430</f>
        <v/>
      </c>
      <c r="B434" s="24">
        <f>Catalog!D430</f>
        <v/>
      </c>
      <c r="C434" s="24">
        <f>Catalog!F430</f>
        <v/>
      </c>
      <c r="D434" s="31">
        <f>IF(Catalog!D430="","","{""item_id"":"&amp;Catalog!A430&amp;",""title"":"""&amp;SUBSTITUTE(Catalog!D430,"""","\""")&amp;""",""creator"":"""&amp;SUBSTITUTE(Catalog!F430,"""","\""")&amp;""",""language"":"""&amp;Catalog!M430&amp;""",""identifier"":"""&amp;Catalog!C430&amp;"""}")</f>
        <v/>
      </c>
    </row>
    <row r="435">
      <c r="A435" s="23">
        <f>Catalog!A431</f>
        <v/>
      </c>
      <c r="B435" s="24">
        <f>Catalog!D431</f>
        <v/>
      </c>
      <c r="C435" s="24">
        <f>Catalog!F431</f>
        <v/>
      </c>
      <c r="D435" s="31">
        <f>IF(Catalog!D431="","","{""item_id"":"&amp;Catalog!A431&amp;",""title"":"""&amp;SUBSTITUTE(Catalog!D431,"""","\""")&amp;""",""creator"":"""&amp;SUBSTITUTE(Catalog!F431,"""","\""")&amp;""",""language"":"""&amp;Catalog!M431&amp;""",""identifier"":"""&amp;Catalog!C431&amp;"""}")</f>
        <v/>
      </c>
    </row>
    <row r="436">
      <c r="A436" s="23">
        <f>Catalog!A432</f>
        <v/>
      </c>
      <c r="B436" s="24">
        <f>Catalog!D432</f>
        <v/>
      </c>
      <c r="C436" s="24">
        <f>Catalog!F432</f>
        <v/>
      </c>
      <c r="D436" s="31">
        <f>IF(Catalog!D432="","","{""item_id"":"&amp;Catalog!A432&amp;",""title"":"""&amp;SUBSTITUTE(Catalog!D432,"""","\""")&amp;""",""creator"":"""&amp;SUBSTITUTE(Catalog!F432,"""","\""")&amp;""",""language"":"""&amp;Catalog!M432&amp;""",""identifier"":"""&amp;Catalog!C432&amp;"""}")</f>
        <v/>
      </c>
    </row>
    <row r="437">
      <c r="A437" s="23">
        <f>Catalog!A433</f>
        <v/>
      </c>
      <c r="B437" s="24">
        <f>Catalog!D433</f>
        <v/>
      </c>
      <c r="C437" s="24">
        <f>Catalog!F433</f>
        <v/>
      </c>
      <c r="D437" s="31">
        <f>IF(Catalog!D433="","","{""item_id"":"&amp;Catalog!A433&amp;",""title"":"""&amp;SUBSTITUTE(Catalog!D433,"""","\""")&amp;""",""creator"":"""&amp;SUBSTITUTE(Catalog!F433,"""","\""")&amp;""",""language"":"""&amp;Catalog!M433&amp;""",""identifier"":"""&amp;Catalog!C433&amp;"""}")</f>
        <v/>
      </c>
    </row>
    <row r="438">
      <c r="A438" s="23">
        <f>Catalog!A434</f>
        <v/>
      </c>
      <c r="B438" s="24">
        <f>Catalog!D434</f>
        <v/>
      </c>
      <c r="C438" s="24">
        <f>Catalog!F434</f>
        <v/>
      </c>
      <c r="D438" s="31">
        <f>IF(Catalog!D434="","","{""item_id"":"&amp;Catalog!A434&amp;",""title"":"""&amp;SUBSTITUTE(Catalog!D434,"""","\""")&amp;""",""creator"":"""&amp;SUBSTITUTE(Catalog!F434,"""","\""")&amp;""",""language"":"""&amp;Catalog!M434&amp;""",""identifier"":"""&amp;Catalog!C434&amp;"""}")</f>
        <v/>
      </c>
    </row>
    <row r="439">
      <c r="A439" s="23">
        <f>Catalog!A435</f>
        <v/>
      </c>
      <c r="B439" s="24">
        <f>Catalog!D435</f>
        <v/>
      </c>
      <c r="C439" s="24">
        <f>Catalog!F435</f>
        <v/>
      </c>
      <c r="D439" s="31">
        <f>IF(Catalog!D435="","","{""item_id"":"&amp;Catalog!A435&amp;",""title"":"""&amp;SUBSTITUTE(Catalog!D435,"""","\""")&amp;""",""creator"":"""&amp;SUBSTITUTE(Catalog!F435,"""","\""")&amp;""",""language"":"""&amp;Catalog!M435&amp;""",""identifier"":"""&amp;Catalog!C435&amp;"""}")</f>
        <v/>
      </c>
    </row>
    <row r="440">
      <c r="A440" s="23">
        <f>Catalog!A436</f>
        <v/>
      </c>
      <c r="B440" s="24">
        <f>Catalog!D436</f>
        <v/>
      </c>
      <c r="C440" s="24">
        <f>Catalog!F436</f>
        <v/>
      </c>
      <c r="D440" s="31">
        <f>IF(Catalog!D436="","","{""item_id"":"&amp;Catalog!A436&amp;",""title"":"""&amp;SUBSTITUTE(Catalog!D436,"""","\""")&amp;""",""creator"":"""&amp;SUBSTITUTE(Catalog!F436,"""","\""")&amp;""",""language"":"""&amp;Catalog!M436&amp;""",""identifier"":"""&amp;Catalog!C436&amp;"""}")</f>
        <v/>
      </c>
    </row>
    <row r="441">
      <c r="A441" s="23">
        <f>Catalog!A437</f>
        <v/>
      </c>
      <c r="B441" s="24">
        <f>Catalog!D437</f>
        <v/>
      </c>
      <c r="C441" s="24">
        <f>Catalog!F437</f>
        <v/>
      </c>
      <c r="D441" s="31">
        <f>IF(Catalog!D437="","","{""item_id"":"&amp;Catalog!A437&amp;",""title"":"""&amp;SUBSTITUTE(Catalog!D437,"""","\""")&amp;""",""creator"":"""&amp;SUBSTITUTE(Catalog!F437,"""","\""")&amp;""",""language"":"""&amp;Catalog!M437&amp;""",""identifier"":"""&amp;Catalog!C437&amp;"""}")</f>
        <v/>
      </c>
    </row>
    <row r="442">
      <c r="A442" s="23">
        <f>Catalog!A438</f>
        <v/>
      </c>
      <c r="B442" s="24">
        <f>Catalog!D438</f>
        <v/>
      </c>
      <c r="C442" s="24">
        <f>Catalog!F438</f>
        <v/>
      </c>
      <c r="D442" s="31">
        <f>IF(Catalog!D438="","","{""item_id"":"&amp;Catalog!A438&amp;",""title"":"""&amp;SUBSTITUTE(Catalog!D438,"""","\""")&amp;""",""creator"":"""&amp;SUBSTITUTE(Catalog!F438,"""","\""")&amp;""",""language"":"""&amp;Catalog!M438&amp;""",""identifier"":"""&amp;Catalog!C438&amp;"""}")</f>
        <v/>
      </c>
    </row>
    <row r="443">
      <c r="A443" s="23">
        <f>Catalog!A439</f>
        <v/>
      </c>
      <c r="B443" s="24">
        <f>Catalog!D439</f>
        <v/>
      </c>
      <c r="C443" s="24">
        <f>Catalog!F439</f>
        <v/>
      </c>
      <c r="D443" s="31">
        <f>IF(Catalog!D439="","","{""item_id"":"&amp;Catalog!A439&amp;",""title"":"""&amp;SUBSTITUTE(Catalog!D439,"""","\""")&amp;""",""creator"":"""&amp;SUBSTITUTE(Catalog!F439,"""","\""")&amp;""",""language"":"""&amp;Catalog!M439&amp;""",""identifier"":"""&amp;Catalog!C439&amp;"""}")</f>
        <v/>
      </c>
    </row>
    <row r="444">
      <c r="A444" s="23">
        <f>Catalog!A440</f>
        <v/>
      </c>
      <c r="B444" s="24">
        <f>Catalog!D440</f>
        <v/>
      </c>
      <c r="C444" s="24">
        <f>Catalog!F440</f>
        <v/>
      </c>
      <c r="D444" s="31">
        <f>IF(Catalog!D440="","","{""item_id"":"&amp;Catalog!A440&amp;",""title"":"""&amp;SUBSTITUTE(Catalog!D440,"""","\""")&amp;""",""creator"":"""&amp;SUBSTITUTE(Catalog!F440,"""","\""")&amp;""",""language"":"""&amp;Catalog!M440&amp;""",""identifier"":"""&amp;Catalog!C440&amp;"""}")</f>
        <v/>
      </c>
    </row>
    <row r="445">
      <c r="A445" s="23">
        <f>Catalog!A441</f>
        <v/>
      </c>
      <c r="B445" s="24">
        <f>Catalog!D441</f>
        <v/>
      </c>
      <c r="C445" s="24">
        <f>Catalog!F441</f>
        <v/>
      </c>
      <c r="D445" s="31">
        <f>IF(Catalog!D441="","","{""item_id"":"&amp;Catalog!A441&amp;",""title"":"""&amp;SUBSTITUTE(Catalog!D441,"""","\""")&amp;""",""creator"":"""&amp;SUBSTITUTE(Catalog!F441,"""","\""")&amp;""",""language"":"""&amp;Catalog!M441&amp;""",""identifier"":"""&amp;Catalog!C441&amp;"""}")</f>
        <v/>
      </c>
    </row>
    <row r="446">
      <c r="A446" s="23">
        <f>Catalog!A442</f>
        <v/>
      </c>
      <c r="B446" s="24">
        <f>Catalog!D442</f>
        <v/>
      </c>
      <c r="C446" s="24">
        <f>Catalog!F442</f>
        <v/>
      </c>
      <c r="D446" s="31">
        <f>IF(Catalog!D442="","","{""item_id"":"&amp;Catalog!A442&amp;",""title"":"""&amp;SUBSTITUTE(Catalog!D442,"""","\""")&amp;""",""creator"":"""&amp;SUBSTITUTE(Catalog!F442,"""","\""")&amp;""",""language"":"""&amp;Catalog!M442&amp;""",""identifier"":"""&amp;Catalog!C442&amp;"""}")</f>
        <v/>
      </c>
    </row>
    <row r="447">
      <c r="A447" s="23">
        <f>Catalog!A443</f>
        <v/>
      </c>
      <c r="B447" s="24">
        <f>Catalog!D443</f>
        <v/>
      </c>
      <c r="C447" s="24">
        <f>Catalog!F443</f>
        <v/>
      </c>
      <c r="D447" s="31">
        <f>IF(Catalog!D443="","","{""item_id"":"&amp;Catalog!A443&amp;",""title"":"""&amp;SUBSTITUTE(Catalog!D443,"""","\""")&amp;""",""creator"":"""&amp;SUBSTITUTE(Catalog!F443,"""","\""")&amp;""",""language"":"""&amp;Catalog!M443&amp;""",""identifier"":"""&amp;Catalog!C443&amp;"""}")</f>
        <v/>
      </c>
    </row>
    <row r="448">
      <c r="A448" s="23">
        <f>Catalog!A444</f>
        <v/>
      </c>
      <c r="B448" s="24">
        <f>Catalog!D444</f>
        <v/>
      </c>
      <c r="C448" s="24">
        <f>Catalog!F444</f>
        <v/>
      </c>
      <c r="D448" s="31">
        <f>IF(Catalog!D444="","","{""item_id"":"&amp;Catalog!A444&amp;",""title"":"""&amp;SUBSTITUTE(Catalog!D444,"""","\""")&amp;""",""creator"":"""&amp;SUBSTITUTE(Catalog!F444,"""","\""")&amp;""",""language"":"""&amp;Catalog!M444&amp;""",""identifier"":"""&amp;Catalog!C444&amp;"""}")</f>
        <v/>
      </c>
    </row>
    <row r="449">
      <c r="A449" s="23">
        <f>Catalog!A445</f>
        <v/>
      </c>
      <c r="B449" s="24">
        <f>Catalog!D445</f>
        <v/>
      </c>
      <c r="C449" s="24">
        <f>Catalog!F445</f>
        <v/>
      </c>
      <c r="D449" s="31">
        <f>IF(Catalog!D445="","","{""item_id"":"&amp;Catalog!A445&amp;",""title"":"""&amp;SUBSTITUTE(Catalog!D445,"""","\""")&amp;""",""creator"":"""&amp;SUBSTITUTE(Catalog!F445,"""","\""")&amp;""",""language"":"""&amp;Catalog!M445&amp;""",""identifier"":"""&amp;Catalog!C445&amp;"""}")</f>
        <v/>
      </c>
    </row>
    <row r="450">
      <c r="A450" s="23">
        <f>Catalog!A446</f>
        <v/>
      </c>
      <c r="B450" s="24">
        <f>Catalog!D446</f>
        <v/>
      </c>
      <c r="C450" s="24">
        <f>Catalog!F446</f>
        <v/>
      </c>
      <c r="D450" s="31">
        <f>IF(Catalog!D446="","","{""item_id"":"&amp;Catalog!A446&amp;",""title"":"""&amp;SUBSTITUTE(Catalog!D446,"""","\""")&amp;""",""creator"":"""&amp;SUBSTITUTE(Catalog!F446,"""","\""")&amp;""",""language"":"""&amp;Catalog!M446&amp;""",""identifier"":"""&amp;Catalog!C446&amp;"""}")</f>
        <v/>
      </c>
    </row>
    <row r="451">
      <c r="A451" s="23">
        <f>Catalog!A447</f>
        <v/>
      </c>
      <c r="B451" s="24">
        <f>Catalog!D447</f>
        <v/>
      </c>
      <c r="C451" s="24">
        <f>Catalog!F447</f>
        <v/>
      </c>
      <c r="D451" s="31">
        <f>IF(Catalog!D447="","","{""item_id"":"&amp;Catalog!A447&amp;",""title"":"""&amp;SUBSTITUTE(Catalog!D447,"""","\""")&amp;""",""creator"":"""&amp;SUBSTITUTE(Catalog!F447,"""","\""")&amp;""",""language"":"""&amp;Catalog!M447&amp;""",""identifier"":"""&amp;Catalog!C447&amp;"""}")</f>
        <v/>
      </c>
    </row>
    <row r="452">
      <c r="A452" s="23">
        <f>Catalog!A448</f>
        <v/>
      </c>
      <c r="B452" s="24">
        <f>Catalog!D448</f>
        <v/>
      </c>
      <c r="C452" s="24">
        <f>Catalog!F448</f>
        <v/>
      </c>
      <c r="D452" s="31">
        <f>IF(Catalog!D448="","","{""item_id"":"&amp;Catalog!A448&amp;",""title"":"""&amp;SUBSTITUTE(Catalog!D448,"""","\""")&amp;""",""creator"":"""&amp;SUBSTITUTE(Catalog!F448,"""","\""")&amp;""",""language"":"""&amp;Catalog!M448&amp;""",""identifier"":"""&amp;Catalog!C448&amp;"""}")</f>
        <v/>
      </c>
    </row>
    <row r="453">
      <c r="A453" s="23">
        <f>Catalog!A449</f>
        <v/>
      </c>
      <c r="B453" s="24">
        <f>Catalog!D449</f>
        <v/>
      </c>
      <c r="C453" s="24">
        <f>Catalog!F449</f>
        <v/>
      </c>
      <c r="D453" s="31">
        <f>IF(Catalog!D449="","","{""item_id"":"&amp;Catalog!A449&amp;",""title"":"""&amp;SUBSTITUTE(Catalog!D449,"""","\""")&amp;""",""creator"":"""&amp;SUBSTITUTE(Catalog!F449,"""","\""")&amp;""",""language"":"""&amp;Catalog!M449&amp;""",""identifier"":"""&amp;Catalog!C449&amp;"""}")</f>
        <v/>
      </c>
    </row>
    <row r="454">
      <c r="A454" s="23">
        <f>Catalog!A450</f>
        <v/>
      </c>
      <c r="B454" s="24">
        <f>Catalog!D450</f>
        <v/>
      </c>
      <c r="C454" s="24">
        <f>Catalog!F450</f>
        <v/>
      </c>
      <c r="D454" s="31">
        <f>IF(Catalog!D450="","","{""item_id"":"&amp;Catalog!A450&amp;",""title"":"""&amp;SUBSTITUTE(Catalog!D450,"""","\""")&amp;""",""creator"":"""&amp;SUBSTITUTE(Catalog!F450,"""","\""")&amp;""",""language"":"""&amp;Catalog!M450&amp;""",""identifier"":"""&amp;Catalog!C450&amp;"""}")</f>
        <v/>
      </c>
    </row>
    <row r="455">
      <c r="A455" s="23">
        <f>Catalog!A451</f>
        <v/>
      </c>
      <c r="B455" s="24">
        <f>Catalog!D451</f>
        <v/>
      </c>
      <c r="C455" s="24">
        <f>Catalog!F451</f>
        <v/>
      </c>
      <c r="D455" s="31">
        <f>IF(Catalog!D451="","","{""item_id"":"&amp;Catalog!A451&amp;",""title"":"""&amp;SUBSTITUTE(Catalog!D451,"""","\""")&amp;""",""creator"":"""&amp;SUBSTITUTE(Catalog!F451,"""","\""")&amp;""",""language"":"""&amp;Catalog!M451&amp;""",""identifier"":"""&amp;Catalog!C451&amp;"""}")</f>
        <v/>
      </c>
    </row>
    <row r="456">
      <c r="A456" s="23">
        <f>Catalog!A452</f>
        <v/>
      </c>
      <c r="B456" s="24">
        <f>Catalog!D452</f>
        <v/>
      </c>
      <c r="C456" s="24">
        <f>Catalog!F452</f>
        <v/>
      </c>
      <c r="D456" s="31">
        <f>IF(Catalog!D452="","","{""item_id"":"&amp;Catalog!A452&amp;",""title"":"""&amp;SUBSTITUTE(Catalog!D452,"""","\""")&amp;""",""creator"":"""&amp;SUBSTITUTE(Catalog!F452,"""","\""")&amp;""",""language"":"""&amp;Catalog!M452&amp;""",""identifier"":"""&amp;Catalog!C452&amp;"""}")</f>
        <v/>
      </c>
    </row>
    <row r="457">
      <c r="A457" s="23">
        <f>Catalog!A453</f>
        <v/>
      </c>
      <c r="B457" s="24">
        <f>Catalog!D453</f>
        <v/>
      </c>
      <c r="C457" s="24">
        <f>Catalog!F453</f>
        <v/>
      </c>
      <c r="D457" s="31">
        <f>IF(Catalog!D453="","","{""item_id"":"&amp;Catalog!A453&amp;",""title"":"""&amp;SUBSTITUTE(Catalog!D453,"""","\""")&amp;""",""creator"":"""&amp;SUBSTITUTE(Catalog!F453,"""","\""")&amp;""",""language"":"""&amp;Catalog!M453&amp;""",""identifier"":"""&amp;Catalog!C453&amp;"""}")</f>
        <v/>
      </c>
    </row>
    <row r="458">
      <c r="A458" s="23">
        <f>Catalog!A454</f>
        <v/>
      </c>
      <c r="B458" s="24">
        <f>Catalog!D454</f>
        <v/>
      </c>
      <c r="C458" s="24">
        <f>Catalog!F454</f>
        <v/>
      </c>
      <c r="D458" s="31">
        <f>IF(Catalog!D454="","","{""item_id"":"&amp;Catalog!A454&amp;",""title"":"""&amp;SUBSTITUTE(Catalog!D454,"""","\""")&amp;""",""creator"":"""&amp;SUBSTITUTE(Catalog!F454,"""","\""")&amp;""",""language"":"""&amp;Catalog!M454&amp;""",""identifier"":"""&amp;Catalog!C454&amp;"""}")</f>
        <v/>
      </c>
    </row>
    <row r="459">
      <c r="A459" s="23">
        <f>Catalog!A455</f>
        <v/>
      </c>
      <c r="B459" s="24">
        <f>Catalog!D455</f>
        <v/>
      </c>
      <c r="C459" s="24">
        <f>Catalog!F455</f>
        <v/>
      </c>
      <c r="D459" s="31">
        <f>IF(Catalog!D455="","","{""item_id"":"&amp;Catalog!A455&amp;",""title"":"""&amp;SUBSTITUTE(Catalog!D455,"""","\""")&amp;""",""creator"":"""&amp;SUBSTITUTE(Catalog!F455,"""","\""")&amp;""",""language"":"""&amp;Catalog!M455&amp;""",""identifier"":"""&amp;Catalog!C455&amp;"""}")</f>
        <v/>
      </c>
    </row>
    <row r="460">
      <c r="A460" s="23">
        <f>Catalog!A456</f>
        <v/>
      </c>
      <c r="B460" s="24">
        <f>Catalog!D456</f>
        <v/>
      </c>
      <c r="C460" s="24">
        <f>Catalog!F456</f>
        <v/>
      </c>
      <c r="D460" s="31">
        <f>IF(Catalog!D456="","","{""item_id"":"&amp;Catalog!A456&amp;",""title"":"""&amp;SUBSTITUTE(Catalog!D456,"""","\""")&amp;""",""creator"":"""&amp;SUBSTITUTE(Catalog!F456,"""","\""")&amp;""",""language"":"""&amp;Catalog!M456&amp;""",""identifier"":"""&amp;Catalog!C456&amp;"""}")</f>
        <v/>
      </c>
    </row>
    <row r="461">
      <c r="A461" s="23">
        <f>Catalog!A457</f>
        <v/>
      </c>
      <c r="B461" s="24">
        <f>Catalog!D457</f>
        <v/>
      </c>
      <c r="C461" s="24">
        <f>Catalog!F457</f>
        <v/>
      </c>
      <c r="D461" s="31">
        <f>IF(Catalog!D457="","","{""item_id"":"&amp;Catalog!A457&amp;",""title"":"""&amp;SUBSTITUTE(Catalog!D457,"""","\""")&amp;""",""creator"":"""&amp;SUBSTITUTE(Catalog!F457,"""","\""")&amp;""",""language"":"""&amp;Catalog!M457&amp;""",""identifier"":"""&amp;Catalog!C457&amp;"""}")</f>
        <v/>
      </c>
    </row>
    <row r="462">
      <c r="A462" s="23">
        <f>Catalog!A458</f>
        <v/>
      </c>
      <c r="B462" s="24">
        <f>Catalog!D458</f>
        <v/>
      </c>
      <c r="C462" s="24">
        <f>Catalog!F458</f>
        <v/>
      </c>
      <c r="D462" s="31">
        <f>IF(Catalog!D458="","","{""item_id"":"&amp;Catalog!A458&amp;",""title"":"""&amp;SUBSTITUTE(Catalog!D458,"""","\""")&amp;""",""creator"":"""&amp;SUBSTITUTE(Catalog!F458,"""","\""")&amp;""",""language"":"""&amp;Catalog!M458&amp;""",""identifier"":"""&amp;Catalog!C458&amp;"""}")</f>
        <v/>
      </c>
    </row>
    <row r="463">
      <c r="A463" s="23">
        <f>Catalog!A459</f>
        <v/>
      </c>
      <c r="B463" s="24">
        <f>Catalog!D459</f>
        <v/>
      </c>
      <c r="C463" s="24">
        <f>Catalog!F459</f>
        <v/>
      </c>
      <c r="D463" s="31">
        <f>IF(Catalog!D459="","","{""item_id"":"&amp;Catalog!A459&amp;",""title"":"""&amp;SUBSTITUTE(Catalog!D459,"""","\""")&amp;""",""creator"":"""&amp;SUBSTITUTE(Catalog!F459,"""","\""")&amp;""",""language"":"""&amp;Catalog!M459&amp;""",""identifier"":"""&amp;Catalog!C459&amp;"""}")</f>
        <v/>
      </c>
    </row>
    <row r="464">
      <c r="A464" s="23">
        <f>Catalog!A460</f>
        <v/>
      </c>
      <c r="B464" s="24">
        <f>Catalog!D460</f>
        <v/>
      </c>
      <c r="C464" s="24">
        <f>Catalog!F460</f>
        <v/>
      </c>
      <c r="D464" s="31">
        <f>IF(Catalog!D460="","","{""item_id"":"&amp;Catalog!A460&amp;",""title"":"""&amp;SUBSTITUTE(Catalog!D460,"""","\""")&amp;""",""creator"":"""&amp;SUBSTITUTE(Catalog!F460,"""","\""")&amp;""",""language"":"""&amp;Catalog!M460&amp;""",""identifier"":"""&amp;Catalog!C460&amp;"""}")</f>
        <v/>
      </c>
    </row>
    <row r="465">
      <c r="A465" s="23">
        <f>Catalog!A461</f>
        <v/>
      </c>
      <c r="B465" s="24">
        <f>Catalog!D461</f>
        <v/>
      </c>
      <c r="C465" s="24">
        <f>Catalog!F461</f>
        <v/>
      </c>
      <c r="D465" s="31">
        <f>IF(Catalog!D461="","","{""item_id"":"&amp;Catalog!A461&amp;",""title"":"""&amp;SUBSTITUTE(Catalog!D461,"""","\""")&amp;""",""creator"":"""&amp;SUBSTITUTE(Catalog!F461,"""","\""")&amp;""",""language"":"""&amp;Catalog!M461&amp;""",""identifier"":"""&amp;Catalog!C461&amp;"""}")</f>
        <v/>
      </c>
    </row>
    <row r="466">
      <c r="A466" s="23">
        <f>Catalog!A462</f>
        <v/>
      </c>
      <c r="B466" s="24">
        <f>Catalog!D462</f>
        <v/>
      </c>
      <c r="C466" s="24">
        <f>Catalog!F462</f>
        <v/>
      </c>
      <c r="D466" s="31">
        <f>IF(Catalog!D462="","","{""item_id"":"&amp;Catalog!A462&amp;",""title"":"""&amp;SUBSTITUTE(Catalog!D462,"""","\""")&amp;""",""creator"":"""&amp;SUBSTITUTE(Catalog!F462,"""","\""")&amp;""",""language"":"""&amp;Catalog!M462&amp;""",""identifier"":"""&amp;Catalog!C462&amp;"""}")</f>
        <v/>
      </c>
    </row>
    <row r="467">
      <c r="A467" s="23">
        <f>Catalog!A463</f>
        <v/>
      </c>
      <c r="B467" s="24">
        <f>Catalog!D463</f>
        <v/>
      </c>
      <c r="C467" s="24">
        <f>Catalog!F463</f>
        <v/>
      </c>
      <c r="D467" s="31">
        <f>IF(Catalog!D463="","","{""item_id"":"&amp;Catalog!A463&amp;",""title"":"""&amp;SUBSTITUTE(Catalog!D463,"""","\""")&amp;""",""creator"":"""&amp;SUBSTITUTE(Catalog!F463,"""","\""")&amp;""",""language"":"""&amp;Catalog!M463&amp;""",""identifier"":"""&amp;Catalog!C463&amp;"""}")</f>
        <v/>
      </c>
    </row>
    <row r="468">
      <c r="A468" s="23">
        <f>Catalog!A464</f>
        <v/>
      </c>
      <c r="B468" s="24">
        <f>Catalog!D464</f>
        <v/>
      </c>
      <c r="C468" s="24">
        <f>Catalog!F464</f>
        <v/>
      </c>
      <c r="D468" s="31">
        <f>IF(Catalog!D464="","","{""item_id"":"&amp;Catalog!A464&amp;",""title"":"""&amp;SUBSTITUTE(Catalog!D464,"""","\""")&amp;""",""creator"":"""&amp;SUBSTITUTE(Catalog!F464,"""","\""")&amp;""",""language"":"""&amp;Catalog!M464&amp;""",""identifier"":"""&amp;Catalog!C464&amp;"""}")</f>
        <v/>
      </c>
    </row>
    <row r="469">
      <c r="A469" s="23">
        <f>Catalog!A465</f>
        <v/>
      </c>
      <c r="B469" s="24">
        <f>Catalog!D465</f>
        <v/>
      </c>
      <c r="C469" s="24">
        <f>Catalog!F465</f>
        <v/>
      </c>
      <c r="D469" s="31">
        <f>IF(Catalog!D465="","","{""item_id"":"&amp;Catalog!A465&amp;",""title"":"""&amp;SUBSTITUTE(Catalog!D465,"""","\""")&amp;""",""creator"":"""&amp;SUBSTITUTE(Catalog!F465,"""","\""")&amp;""",""language"":"""&amp;Catalog!M465&amp;""",""identifier"":"""&amp;Catalog!C465&amp;"""}")</f>
        <v/>
      </c>
    </row>
    <row r="470">
      <c r="A470" s="23">
        <f>Catalog!A466</f>
        <v/>
      </c>
      <c r="B470" s="24">
        <f>Catalog!D466</f>
        <v/>
      </c>
      <c r="C470" s="24">
        <f>Catalog!F466</f>
        <v/>
      </c>
      <c r="D470" s="31">
        <f>IF(Catalog!D466="","","{""item_id"":"&amp;Catalog!A466&amp;",""title"":"""&amp;SUBSTITUTE(Catalog!D466,"""","\""")&amp;""",""creator"":"""&amp;SUBSTITUTE(Catalog!F466,"""","\""")&amp;""",""language"":"""&amp;Catalog!M466&amp;""",""identifier"":"""&amp;Catalog!C466&amp;"""}")</f>
        <v/>
      </c>
    </row>
    <row r="471">
      <c r="A471" s="23">
        <f>Catalog!A467</f>
        <v/>
      </c>
      <c r="B471" s="24">
        <f>Catalog!D467</f>
        <v/>
      </c>
      <c r="C471" s="24">
        <f>Catalog!F467</f>
        <v/>
      </c>
      <c r="D471" s="31">
        <f>IF(Catalog!D467="","","{""item_id"":"&amp;Catalog!A467&amp;",""title"":"""&amp;SUBSTITUTE(Catalog!D467,"""","\""")&amp;""",""creator"":"""&amp;SUBSTITUTE(Catalog!F467,"""","\""")&amp;""",""language"":"""&amp;Catalog!M467&amp;""",""identifier"":"""&amp;Catalog!C467&amp;"""}")</f>
        <v/>
      </c>
    </row>
    <row r="472">
      <c r="A472" s="23">
        <f>Catalog!A468</f>
        <v/>
      </c>
      <c r="B472" s="24">
        <f>Catalog!D468</f>
        <v/>
      </c>
      <c r="C472" s="24">
        <f>Catalog!F468</f>
        <v/>
      </c>
      <c r="D472" s="31">
        <f>IF(Catalog!D468="","","{""item_id"":"&amp;Catalog!A468&amp;",""title"":"""&amp;SUBSTITUTE(Catalog!D468,"""","\""")&amp;""",""creator"":"""&amp;SUBSTITUTE(Catalog!F468,"""","\""")&amp;""",""language"":"""&amp;Catalog!M468&amp;""",""identifier"":"""&amp;Catalog!C468&amp;"""}")</f>
        <v/>
      </c>
    </row>
    <row r="473">
      <c r="A473" s="23">
        <f>Catalog!A469</f>
        <v/>
      </c>
      <c r="B473" s="24">
        <f>Catalog!D469</f>
        <v/>
      </c>
      <c r="C473" s="24">
        <f>Catalog!F469</f>
        <v/>
      </c>
      <c r="D473" s="31">
        <f>IF(Catalog!D469="","","{""item_id"":"&amp;Catalog!A469&amp;",""title"":"""&amp;SUBSTITUTE(Catalog!D469,"""","\""")&amp;""",""creator"":"""&amp;SUBSTITUTE(Catalog!F469,"""","\""")&amp;""",""language"":"""&amp;Catalog!M469&amp;""",""identifier"":"""&amp;Catalog!C469&amp;"""}")</f>
        <v/>
      </c>
    </row>
    <row r="474">
      <c r="A474" s="23">
        <f>Catalog!A470</f>
        <v/>
      </c>
      <c r="B474" s="24">
        <f>Catalog!D470</f>
        <v/>
      </c>
      <c r="C474" s="24">
        <f>Catalog!F470</f>
        <v/>
      </c>
      <c r="D474" s="31">
        <f>IF(Catalog!D470="","","{""item_id"":"&amp;Catalog!A470&amp;",""title"":"""&amp;SUBSTITUTE(Catalog!D470,"""","\""")&amp;""",""creator"":"""&amp;SUBSTITUTE(Catalog!F470,"""","\""")&amp;""",""language"":"""&amp;Catalog!M470&amp;""",""identifier"":"""&amp;Catalog!C470&amp;"""}")</f>
        <v/>
      </c>
    </row>
    <row r="475">
      <c r="A475" s="23">
        <f>Catalog!A471</f>
        <v/>
      </c>
      <c r="B475" s="24">
        <f>Catalog!D471</f>
        <v/>
      </c>
      <c r="C475" s="24">
        <f>Catalog!F471</f>
        <v/>
      </c>
      <c r="D475" s="31">
        <f>IF(Catalog!D471="","","{""item_id"":"&amp;Catalog!A471&amp;",""title"":"""&amp;SUBSTITUTE(Catalog!D471,"""","\""")&amp;""",""creator"":"""&amp;SUBSTITUTE(Catalog!F471,"""","\""")&amp;""",""language"":"""&amp;Catalog!M471&amp;""",""identifier"":"""&amp;Catalog!C471&amp;"""}")</f>
        <v/>
      </c>
    </row>
    <row r="476">
      <c r="A476" s="23">
        <f>Catalog!A472</f>
        <v/>
      </c>
      <c r="B476" s="24">
        <f>Catalog!D472</f>
        <v/>
      </c>
      <c r="C476" s="24">
        <f>Catalog!F472</f>
        <v/>
      </c>
      <c r="D476" s="31">
        <f>IF(Catalog!D472="","","{""item_id"":"&amp;Catalog!A472&amp;",""title"":"""&amp;SUBSTITUTE(Catalog!D472,"""","\""")&amp;""",""creator"":"""&amp;SUBSTITUTE(Catalog!F472,"""","\""")&amp;""",""language"":"""&amp;Catalog!M472&amp;""",""identifier"":"""&amp;Catalog!C472&amp;"""}")</f>
        <v/>
      </c>
    </row>
    <row r="477">
      <c r="A477" s="23">
        <f>Catalog!A473</f>
        <v/>
      </c>
      <c r="B477" s="24">
        <f>Catalog!D473</f>
        <v/>
      </c>
      <c r="C477" s="24">
        <f>Catalog!F473</f>
        <v/>
      </c>
      <c r="D477" s="31">
        <f>IF(Catalog!D473="","","{""item_id"":"&amp;Catalog!A473&amp;",""title"":"""&amp;SUBSTITUTE(Catalog!D473,"""","\""")&amp;""",""creator"":"""&amp;SUBSTITUTE(Catalog!F473,"""","\""")&amp;""",""language"":"""&amp;Catalog!M473&amp;""",""identifier"":"""&amp;Catalog!C473&amp;"""}")</f>
        <v/>
      </c>
    </row>
    <row r="478">
      <c r="A478" s="23">
        <f>Catalog!A474</f>
        <v/>
      </c>
      <c r="B478" s="24">
        <f>Catalog!D474</f>
        <v/>
      </c>
      <c r="C478" s="24">
        <f>Catalog!F474</f>
        <v/>
      </c>
      <c r="D478" s="31">
        <f>IF(Catalog!D474="","","{""item_id"":"&amp;Catalog!A474&amp;",""title"":"""&amp;SUBSTITUTE(Catalog!D474,"""","\""")&amp;""",""creator"":"""&amp;SUBSTITUTE(Catalog!F474,"""","\""")&amp;""",""language"":"""&amp;Catalog!M474&amp;""",""identifier"":"""&amp;Catalog!C474&amp;"""}")</f>
        <v/>
      </c>
    </row>
    <row r="479">
      <c r="A479" s="23">
        <f>Catalog!A475</f>
        <v/>
      </c>
      <c r="B479" s="24">
        <f>Catalog!D475</f>
        <v/>
      </c>
      <c r="C479" s="24">
        <f>Catalog!F475</f>
        <v/>
      </c>
      <c r="D479" s="31">
        <f>IF(Catalog!D475="","","{""item_id"":"&amp;Catalog!A475&amp;",""title"":"""&amp;SUBSTITUTE(Catalog!D475,"""","\""")&amp;""",""creator"":"""&amp;SUBSTITUTE(Catalog!F475,"""","\""")&amp;""",""language"":"""&amp;Catalog!M475&amp;""",""identifier"":"""&amp;Catalog!C475&amp;"""}")</f>
        <v/>
      </c>
    </row>
    <row r="480">
      <c r="A480" s="23">
        <f>Catalog!A476</f>
        <v/>
      </c>
      <c r="B480" s="24">
        <f>Catalog!D476</f>
        <v/>
      </c>
      <c r="C480" s="24">
        <f>Catalog!F476</f>
        <v/>
      </c>
      <c r="D480" s="31">
        <f>IF(Catalog!D476="","","{""item_id"":"&amp;Catalog!A476&amp;",""title"":"""&amp;SUBSTITUTE(Catalog!D476,"""","\""")&amp;""",""creator"":"""&amp;SUBSTITUTE(Catalog!F476,"""","\""")&amp;""",""language"":"""&amp;Catalog!M476&amp;""",""identifier"":"""&amp;Catalog!C476&amp;"""}")</f>
        <v/>
      </c>
    </row>
    <row r="481">
      <c r="A481" s="23">
        <f>Catalog!A477</f>
        <v/>
      </c>
      <c r="B481" s="24">
        <f>Catalog!D477</f>
        <v/>
      </c>
      <c r="C481" s="24">
        <f>Catalog!F477</f>
        <v/>
      </c>
      <c r="D481" s="31">
        <f>IF(Catalog!D477="","","{""item_id"":"&amp;Catalog!A477&amp;",""title"":"""&amp;SUBSTITUTE(Catalog!D477,"""","\""")&amp;""",""creator"":"""&amp;SUBSTITUTE(Catalog!F477,"""","\""")&amp;""",""language"":"""&amp;Catalog!M477&amp;""",""identifier"":"""&amp;Catalog!C477&amp;"""}")</f>
        <v/>
      </c>
    </row>
    <row r="482">
      <c r="A482" s="23">
        <f>Catalog!A478</f>
        <v/>
      </c>
      <c r="B482" s="24">
        <f>Catalog!D478</f>
        <v/>
      </c>
      <c r="C482" s="24">
        <f>Catalog!F478</f>
        <v/>
      </c>
      <c r="D482" s="31">
        <f>IF(Catalog!D478="","","{""item_id"":"&amp;Catalog!A478&amp;",""title"":"""&amp;SUBSTITUTE(Catalog!D478,"""","\""")&amp;""",""creator"":"""&amp;SUBSTITUTE(Catalog!F478,"""","\""")&amp;""",""language"":"""&amp;Catalog!M478&amp;""",""identifier"":"""&amp;Catalog!C478&amp;"""}")</f>
        <v/>
      </c>
    </row>
    <row r="483">
      <c r="A483" s="23">
        <f>Catalog!A479</f>
        <v/>
      </c>
      <c r="B483" s="24">
        <f>Catalog!D479</f>
        <v/>
      </c>
      <c r="C483" s="24">
        <f>Catalog!F479</f>
        <v/>
      </c>
      <c r="D483" s="31">
        <f>IF(Catalog!D479="","","{""item_id"":"&amp;Catalog!A479&amp;",""title"":"""&amp;SUBSTITUTE(Catalog!D479,"""","\""")&amp;""",""creator"":"""&amp;SUBSTITUTE(Catalog!F479,"""","\""")&amp;""",""language"":"""&amp;Catalog!M479&amp;""",""identifier"":"""&amp;Catalog!C479&amp;"""}")</f>
        <v/>
      </c>
    </row>
    <row r="484">
      <c r="A484" s="23">
        <f>Catalog!A480</f>
        <v/>
      </c>
      <c r="B484" s="24">
        <f>Catalog!D480</f>
        <v/>
      </c>
      <c r="C484" s="24">
        <f>Catalog!F480</f>
        <v/>
      </c>
      <c r="D484" s="31">
        <f>IF(Catalog!D480="","","{""item_id"":"&amp;Catalog!A480&amp;",""title"":"""&amp;SUBSTITUTE(Catalog!D480,"""","\""")&amp;""",""creator"":"""&amp;SUBSTITUTE(Catalog!F480,"""","\""")&amp;""",""language"":"""&amp;Catalog!M480&amp;""",""identifier"":"""&amp;Catalog!C480&amp;"""}")</f>
        <v/>
      </c>
    </row>
    <row r="485">
      <c r="A485" s="23">
        <f>Catalog!A481</f>
        <v/>
      </c>
      <c r="B485" s="24">
        <f>Catalog!D481</f>
        <v/>
      </c>
      <c r="C485" s="24">
        <f>Catalog!F481</f>
        <v/>
      </c>
      <c r="D485" s="31">
        <f>IF(Catalog!D481="","","{""item_id"":"&amp;Catalog!A481&amp;",""title"":"""&amp;SUBSTITUTE(Catalog!D481,"""","\""")&amp;""",""creator"":"""&amp;SUBSTITUTE(Catalog!F481,"""","\""")&amp;""",""language"":"""&amp;Catalog!M481&amp;""",""identifier"":"""&amp;Catalog!C481&amp;"""}")</f>
        <v/>
      </c>
    </row>
    <row r="486">
      <c r="A486" s="23">
        <f>Catalog!A482</f>
        <v/>
      </c>
      <c r="B486" s="24">
        <f>Catalog!D482</f>
        <v/>
      </c>
      <c r="C486" s="24">
        <f>Catalog!F482</f>
        <v/>
      </c>
      <c r="D486" s="31">
        <f>IF(Catalog!D482="","","{""item_id"":"&amp;Catalog!A482&amp;",""title"":"""&amp;SUBSTITUTE(Catalog!D482,"""","\""")&amp;""",""creator"":"""&amp;SUBSTITUTE(Catalog!F482,"""","\""")&amp;""",""language"":"""&amp;Catalog!M482&amp;""",""identifier"":"""&amp;Catalog!C482&amp;"""}")</f>
        <v/>
      </c>
    </row>
    <row r="487">
      <c r="A487" s="23">
        <f>Catalog!A483</f>
        <v/>
      </c>
      <c r="B487" s="24">
        <f>Catalog!D483</f>
        <v/>
      </c>
      <c r="C487" s="24">
        <f>Catalog!F483</f>
        <v/>
      </c>
      <c r="D487" s="31">
        <f>IF(Catalog!D483="","","{""item_id"":"&amp;Catalog!A483&amp;",""title"":"""&amp;SUBSTITUTE(Catalog!D483,"""","\""")&amp;""",""creator"":"""&amp;SUBSTITUTE(Catalog!F483,"""","\""")&amp;""",""language"":"""&amp;Catalog!M483&amp;""",""identifier"":"""&amp;Catalog!C483&amp;"""}")</f>
        <v/>
      </c>
    </row>
    <row r="488">
      <c r="A488" s="23">
        <f>Catalog!A484</f>
        <v/>
      </c>
      <c r="B488" s="24">
        <f>Catalog!D484</f>
        <v/>
      </c>
      <c r="C488" s="24">
        <f>Catalog!F484</f>
        <v/>
      </c>
      <c r="D488" s="31">
        <f>IF(Catalog!D484="","","{""item_id"":"&amp;Catalog!A484&amp;",""title"":"""&amp;SUBSTITUTE(Catalog!D484,"""","\""")&amp;""",""creator"":"""&amp;SUBSTITUTE(Catalog!F484,"""","\""")&amp;""",""language"":"""&amp;Catalog!M484&amp;""",""identifier"":"""&amp;Catalog!C484&amp;"""}")</f>
        <v/>
      </c>
    </row>
    <row r="489">
      <c r="A489" s="23">
        <f>Catalog!A485</f>
        <v/>
      </c>
      <c r="B489" s="24">
        <f>Catalog!D485</f>
        <v/>
      </c>
      <c r="C489" s="24">
        <f>Catalog!F485</f>
        <v/>
      </c>
      <c r="D489" s="31">
        <f>IF(Catalog!D485="","","{""item_id"":"&amp;Catalog!A485&amp;",""title"":"""&amp;SUBSTITUTE(Catalog!D485,"""","\""")&amp;""",""creator"":"""&amp;SUBSTITUTE(Catalog!F485,"""","\""")&amp;""",""language"":"""&amp;Catalog!M485&amp;""",""identifier"":"""&amp;Catalog!C485&amp;"""}")</f>
        <v/>
      </c>
    </row>
    <row r="490">
      <c r="A490" s="23">
        <f>Catalog!A486</f>
        <v/>
      </c>
      <c r="B490" s="24">
        <f>Catalog!D486</f>
        <v/>
      </c>
      <c r="C490" s="24">
        <f>Catalog!F486</f>
        <v/>
      </c>
      <c r="D490" s="31">
        <f>IF(Catalog!D486="","","{""item_id"":"&amp;Catalog!A486&amp;",""title"":"""&amp;SUBSTITUTE(Catalog!D486,"""","\""")&amp;""",""creator"":"""&amp;SUBSTITUTE(Catalog!F486,"""","\""")&amp;""",""language"":"""&amp;Catalog!M486&amp;""",""identifier"":"""&amp;Catalog!C486&amp;"""}")</f>
        <v/>
      </c>
    </row>
    <row r="491">
      <c r="A491" s="23">
        <f>Catalog!A487</f>
        <v/>
      </c>
      <c r="B491" s="24">
        <f>Catalog!D487</f>
        <v/>
      </c>
      <c r="C491" s="24">
        <f>Catalog!F487</f>
        <v/>
      </c>
      <c r="D491" s="31">
        <f>IF(Catalog!D487="","","{""item_id"":"&amp;Catalog!A487&amp;",""title"":"""&amp;SUBSTITUTE(Catalog!D487,"""","\""")&amp;""",""creator"":"""&amp;SUBSTITUTE(Catalog!F487,"""","\""")&amp;""",""language"":"""&amp;Catalog!M487&amp;""",""identifier"":"""&amp;Catalog!C487&amp;"""}")</f>
        <v/>
      </c>
    </row>
    <row r="492">
      <c r="A492" s="23">
        <f>Catalog!A488</f>
        <v/>
      </c>
      <c r="B492" s="24">
        <f>Catalog!D488</f>
        <v/>
      </c>
      <c r="C492" s="24">
        <f>Catalog!F488</f>
        <v/>
      </c>
      <c r="D492" s="31">
        <f>IF(Catalog!D488="","","{""item_id"":"&amp;Catalog!A488&amp;",""title"":"""&amp;SUBSTITUTE(Catalog!D488,"""","\""")&amp;""",""creator"":"""&amp;SUBSTITUTE(Catalog!F488,"""","\""")&amp;""",""language"":"""&amp;Catalog!M488&amp;""",""identifier"":"""&amp;Catalog!C488&amp;"""}")</f>
        <v/>
      </c>
    </row>
    <row r="493">
      <c r="A493" s="23">
        <f>Catalog!A489</f>
        <v/>
      </c>
      <c r="B493" s="24">
        <f>Catalog!D489</f>
        <v/>
      </c>
      <c r="C493" s="24">
        <f>Catalog!F489</f>
        <v/>
      </c>
      <c r="D493" s="31">
        <f>IF(Catalog!D489="","","{""item_id"":"&amp;Catalog!A489&amp;",""title"":"""&amp;SUBSTITUTE(Catalog!D489,"""","\""")&amp;""",""creator"":"""&amp;SUBSTITUTE(Catalog!F489,"""","\""")&amp;""",""language"":"""&amp;Catalog!M489&amp;""",""identifier"":"""&amp;Catalog!C489&amp;"""}")</f>
        <v/>
      </c>
    </row>
    <row r="494">
      <c r="A494" s="23">
        <f>Catalog!A490</f>
        <v/>
      </c>
      <c r="B494" s="24">
        <f>Catalog!D490</f>
        <v/>
      </c>
      <c r="C494" s="24">
        <f>Catalog!F490</f>
        <v/>
      </c>
      <c r="D494" s="31">
        <f>IF(Catalog!D490="","","{""item_id"":"&amp;Catalog!A490&amp;",""title"":"""&amp;SUBSTITUTE(Catalog!D490,"""","\""")&amp;""",""creator"":"""&amp;SUBSTITUTE(Catalog!F490,"""","\""")&amp;""",""language"":"""&amp;Catalog!M490&amp;""",""identifier"":"""&amp;Catalog!C490&amp;"""}")</f>
        <v/>
      </c>
    </row>
    <row r="495">
      <c r="A495" s="23">
        <f>Catalog!A491</f>
        <v/>
      </c>
      <c r="B495" s="24">
        <f>Catalog!D491</f>
        <v/>
      </c>
      <c r="C495" s="24">
        <f>Catalog!F491</f>
        <v/>
      </c>
      <c r="D495" s="31">
        <f>IF(Catalog!D491="","","{""item_id"":"&amp;Catalog!A491&amp;",""title"":"""&amp;SUBSTITUTE(Catalog!D491,"""","\""")&amp;""",""creator"":"""&amp;SUBSTITUTE(Catalog!F491,"""","\""")&amp;""",""language"":"""&amp;Catalog!M491&amp;""",""identifier"":"""&amp;Catalog!C491&amp;"""}")</f>
        <v/>
      </c>
    </row>
    <row r="496">
      <c r="A496" s="23">
        <f>Catalog!A492</f>
        <v/>
      </c>
      <c r="B496" s="24">
        <f>Catalog!D492</f>
        <v/>
      </c>
      <c r="C496" s="24">
        <f>Catalog!F492</f>
        <v/>
      </c>
      <c r="D496" s="31">
        <f>IF(Catalog!D492="","","{""item_id"":"&amp;Catalog!A492&amp;",""title"":"""&amp;SUBSTITUTE(Catalog!D492,"""","\""")&amp;""",""creator"":"""&amp;SUBSTITUTE(Catalog!F492,"""","\""")&amp;""",""language"":"""&amp;Catalog!M492&amp;""",""identifier"":"""&amp;Catalog!C492&amp;"""}")</f>
        <v/>
      </c>
    </row>
    <row r="497">
      <c r="A497" s="23">
        <f>Catalog!A493</f>
        <v/>
      </c>
      <c r="B497" s="24">
        <f>Catalog!D493</f>
        <v/>
      </c>
      <c r="C497" s="24">
        <f>Catalog!F493</f>
        <v/>
      </c>
      <c r="D497" s="31">
        <f>IF(Catalog!D493="","","{""item_id"":"&amp;Catalog!A493&amp;",""title"":"""&amp;SUBSTITUTE(Catalog!D493,"""","\""")&amp;""",""creator"":"""&amp;SUBSTITUTE(Catalog!F493,"""","\""")&amp;""",""language"":"""&amp;Catalog!M493&amp;""",""identifier"":"""&amp;Catalog!C493&amp;"""}")</f>
        <v/>
      </c>
    </row>
    <row r="498">
      <c r="A498" s="23">
        <f>Catalog!A494</f>
        <v/>
      </c>
      <c r="B498" s="24">
        <f>Catalog!D494</f>
        <v/>
      </c>
      <c r="C498" s="24">
        <f>Catalog!F494</f>
        <v/>
      </c>
      <c r="D498" s="31">
        <f>IF(Catalog!D494="","","{""item_id"":"&amp;Catalog!A494&amp;",""title"":"""&amp;SUBSTITUTE(Catalog!D494,"""","\""")&amp;""",""creator"":"""&amp;SUBSTITUTE(Catalog!F494,"""","\""")&amp;""",""language"":"""&amp;Catalog!M494&amp;""",""identifier"":"""&amp;Catalog!C494&amp;"""}")</f>
        <v/>
      </c>
    </row>
    <row r="499">
      <c r="A499" s="23">
        <f>Catalog!A495</f>
        <v/>
      </c>
      <c r="B499" s="24">
        <f>Catalog!D495</f>
        <v/>
      </c>
      <c r="C499" s="24">
        <f>Catalog!F495</f>
        <v/>
      </c>
      <c r="D499" s="31">
        <f>IF(Catalog!D495="","","{""item_id"":"&amp;Catalog!A495&amp;",""title"":"""&amp;SUBSTITUTE(Catalog!D495,"""","\""")&amp;""",""creator"":"""&amp;SUBSTITUTE(Catalog!F495,"""","\""")&amp;""",""language"":"""&amp;Catalog!M495&amp;""",""identifier"":"""&amp;Catalog!C495&amp;"""}")</f>
        <v/>
      </c>
    </row>
    <row r="500">
      <c r="A500" s="23">
        <f>Catalog!A496</f>
        <v/>
      </c>
      <c r="B500" s="24">
        <f>Catalog!D496</f>
        <v/>
      </c>
      <c r="C500" s="24">
        <f>Catalog!F496</f>
        <v/>
      </c>
      <c r="D500" s="31">
        <f>IF(Catalog!D496="","","{""item_id"":"&amp;Catalog!A496&amp;",""title"":"""&amp;SUBSTITUTE(Catalog!D496,"""","\""")&amp;""",""creator"":"""&amp;SUBSTITUTE(Catalog!F496,"""","\""")&amp;""",""language"":"""&amp;Catalog!M496&amp;""",""identifier"":"""&amp;Catalog!C496&amp;"""}")</f>
        <v/>
      </c>
    </row>
    <row r="501">
      <c r="A501" s="23">
        <f>Catalog!A497</f>
        <v/>
      </c>
      <c r="B501" s="24">
        <f>Catalog!D497</f>
        <v/>
      </c>
      <c r="C501" s="24">
        <f>Catalog!F497</f>
        <v/>
      </c>
      <c r="D501" s="31">
        <f>IF(Catalog!D497="","","{""item_id"":"&amp;Catalog!A497&amp;",""title"":"""&amp;SUBSTITUTE(Catalog!D497,"""","\""")&amp;""",""creator"":"""&amp;SUBSTITUTE(Catalog!F497,"""","\""")&amp;""",""language"":"""&amp;Catalog!M497&amp;""",""identifier"":"""&amp;Catalog!C497&amp;"""}")</f>
        <v/>
      </c>
    </row>
    <row r="502">
      <c r="A502" s="23">
        <f>Catalog!A498</f>
        <v/>
      </c>
      <c r="B502" s="24">
        <f>Catalog!D498</f>
        <v/>
      </c>
      <c r="C502" s="24">
        <f>Catalog!F498</f>
        <v/>
      </c>
      <c r="D502" s="31">
        <f>IF(Catalog!D498="","","{""item_id"":"&amp;Catalog!A498&amp;",""title"":"""&amp;SUBSTITUTE(Catalog!D498,"""","\""")&amp;""",""creator"":"""&amp;SUBSTITUTE(Catalog!F498,"""","\""")&amp;""",""language"":"""&amp;Catalog!M498&amp;""",""identifier"":"""&amp;Catalog!C498&amp;"""}")</f>
        <v/>
      </c>
    </row>
    <row r="503">
      <c r="A503" s="23">
        <f>Catalog!A499</f>
        <v/>
      </c>
      <c r="B503" s="24">
        <f>Catalog!D499</f>
        <v/>
      </c>
      <c r="C503" s="24">
        <f>Catalog!F499</f>
        <v/>
      </c>
      <c r="D503" s="31">
        <f>IF(Catalog!D499="","","{""item_id"":"&amp;Catalog!A499&amp;",""title"":"""&amp;SUBSTITUTE(Catalog!D499,"""","\""")&amp;""",""creator"":"""&amp;SUBSTITUTE(Catalog!F499,"""","\""")&amp;""",""language"":"""&amp;Catalog!M499&amp;""",""identifier"":"""&amp;Catalog!C499&amp;"""}")</f>
        <v/>
      </c>
    </row>
    <row r="504">
      <c r="A504" s="23">
        <f>Catalog!A500</f>
        <v/>
      </c>
      <c r="B504" s="24">
        <f>Catalog!D500</f>
        <v/>
      </c>
      <c r="C504" s="24">
        <f>Catalog!F500</f>
        <v/>
      </c>
      <c r="D504" s="31">
        <f>IF(Catalog!D500="","","{""item_id"":"&amp;Catalog!A500&amp;",""title"":"""&amp;SUBSTITUTE(Catalog!D500,"""","\""")&amp;""",""creator"":"""&amp;SUBSTITUTE(Catalog!F500,"""","\""")&amp;""",""language"":"""&amp;Catalog!M500&amp;""",""identifier"":"""&amp;Catalog!C500&amp;"""}")</f>
        <v/>
      </c>
    </row>
    <row r="505">
      <c r="A505" s="23">
        <f>Catalog!A501</f>
        <v/>
      </c>
      <c r="B505" s="24">
        <f>Catalog!D501</f>
        <v/>
      </c>
      <c r="C505" s="24">
        <f>Catalog!F501</f>
        <v/>
      </c>
      <c r="D505" s="31">
        <f>IF(Catalog!D501="","","{""item_id"":"&amp;Catalog!A501&amp;",""title"":"""&amp;SUBSTITUTE(Catalog!D501,"""","\""")&amp;""",""creator"":"""&amp;SUBSTITUTE(Catalog!F501,"""","\""")&amp;""",""language"":"""&amp;Catalog!M501&amp;""",""identifier"":"""&amp;Catalog!C501&amp;"""}")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720"/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2026-09-30T09:54:29Z</dcterms:created>
  <dcterms:modified xsi:type="dcterms:W3CDTF">2026-09-30T09:54:37Z</dcterms:modified>
</cp:coreProperties>
</file>